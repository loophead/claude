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tps://tranetechnologies-my.sharepoint.com/personal/michael_mcgovern_tranetechnologies_com/Documents/Michael/1. Trane Service Cloud/TSC 2.0/8. Alteryx/5. LT Weekly/5. Louis LTWeekly/3. QP2xBLNEW 2026/2. 2026 Week 18/"/>
    </mc:Choice>
  </mc:AlternateContent>
  <xr:revisionPtr revIDLastSave="105" documentId="13_ncr:1_{DC9B05E6-6275-43E0-AB34-9F9E9583F5F8}" xr6:coauthVersionLast="47" xr6:coauthVersionMax="47" xr10:uidLastSave="{7ECBDCC9-34A9-4BFA-9AAA-251819252537}"/>
  <bookViews>
    <workbookView xWindow="-110" yWindow="-110" windowWidth="19420" windowHeight="10300" tabRatio="675" xr2:uid="{00000000-000D-0000-FFFF-FFFF00000000}"/>
  </bookViews>
  <sheets>
    <sheet name="Dashboard" sheetId="2" r:id="rId1"/>
    <sheet name="Serviceorderfile_Current" sheetId="1" r:id="rId2"/>
    <sheet name="Serviceorderfile_PREVIOUS" sheetId="7" r:id="rId3"/>
    <sheet name="YOY Orders" sheetId="5" r:id="rId4"/>
    <sheet name="Aged" sheetId="3" r:id="rId5"/>
  </sheets>
  <definedNames>
    <definedName name="_xlnm.Print_Area" localSheetId="0">Dashboard!$EE$1:$FF$50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52" i="2" l="1"/>
  <c r="F6" i="2"/>
  <c r="AJ6" i="2"/>
  <c r="AD6" i="2"/>
  <c r="X6" i="2"/>
  <c r="R6" i="2"/>
  <c r="AJ33" i="2"/>
  <c r="AD33" i="2"/>
  <c r="X33" i="2"/>
  <c r="R33" i="2"/>
  <c r="L33" i="2"/>
  <c r="F33" i="2"/>
  <c r="AG7" i="2"/>
  <c r="V791" i="7"/>
  <c r="V784" i="7"/>
  <c r="V774" i="7"/>
  <c r="V767" i="7"/>
  <c r="V757" i="7"/>
  <c r="V750" i="7"/>
  <c r="V740" i="7"/>
  <c r="V733" i="7"/>
  <c r="V723" i="7"/>
  <c r="V716" i="7"/>
  <c r="V706" i="7"/>
  <c r="V699" i="7"/>
  <c r="V689" i="7"/>
  <c r="V682" i="7"/>
  <c r="V672" i="7"/>
  <c r="V665" i="7"/>
  <c r="V655" i="7"/>
  <c r="V648" i="7"/>
  <c r="V638" i="7"/>
  <c r="V631" i="7"/>
  <c r="V621" i="7"/>
  <c r="V614" i="7"/>
  <c r="V604" i="7"/>
  <c r="V597" i="7"/>
  <c r="V587" i="7"/>
  <c r="V580" i="7"/>
  <c r="V570" i="7"/>
  <c r="V563" i="7"/>
  <c r="V553" i="7"/>
  <c r="V546" i="7"/>
  <c r="V536" i="7"/>
  <c r="V529" i="7"/>
  <c r="V519" i="7"/>
  <c r="V512" i="7"/>
  <c r="V502" i="7"/>
  <c r="V495" i="7"/>
  <c r="V485" i="7"/>
  <c r="V478" i="7"/>
  <c r="V468" i="7"/>
  <c r="V461" i="7"/>
  <c r="V451" i="7"/>
  <c r="V444" i="7"/>
  <c r="V434" i="7"/>
  <c r="V427" i="7"/>
  <c r="V417" i="7"/>
  <c r="V410" i="7"/>
  <c r="V400" i="7"/>
  <c r="V393" i="7"/>
  <c r="V383" i="7"/>
  <c r="V376" i="7"/>
  <c r="V366" i="7"/>
  <c r="V359" i="7"/>
  <c r="V349" i="7"/>
  <c r="V342" i="7"/>
  <c r="V332" i="7"/>
  <c r="V325" i="7"/>
  <c r="V315" i="7"/>
  <c r="V308" i="7"/>
  <c r="V298" i="7"/>
  <c r="V291" i="7"/>
  <c r="V281" i="7"/>
  <c r="V274" i="7"/>
  <c r="V264" i="7"/>
  <c r="V257" i="7"/>
  <c r="V247" i="7"/>
  <c r="V240" i="7"/>
  <c r="V230" i="7"/>
  <c r="V223" i="7"/>
  <c r="V213" i="7"/>
  <c r="V206" i="7"/>
  <c r="V196" i="7"/>
  <c r="V189" i="7"/>
  <c r="V179" i="7"/>
  <c r="V172" i="7"/>
  <c r="V162" i="7"/>
  <c r="V155" i="7"/>
  <c r="V145" i="7"/>
  <c r="V138" i="7"/>
  <c r="V128" i="7"/>
  <c r="V121" i="7"/>
  <c r="V111" i="7"/>
  <c r="V104" i="7"/>
  <c r="V94" i="7"/>
  <c r="V87" i="7"/>
  <c r="V77" i="7"/>
  <c r="V70" i="7"/>
  <c r="V60" i="7"/>
  <c r="V53" i="7"/>
  <c r="V43" i="7"/>
  <c r="V36" i="7"/>
  <c r="V26" i="7"/>
  <c r="V19" i="7"/>
  <c r="V9" i="7"/>
  <c r="V2" i="7"/>
  <c r="V791" i="1"/>
  <c r="V784" i="1"/>
  <c r="V774" i="1"/>
  <c r="V767" i="1"/>
  <c r="V757" i="1"/>
  <c r="V750" i="1"/>
  <c r="V740" i="1"/>
  <c r="V733" i="1"/>
  <c r="V723" i="1"/>
  <c r="V716" i="1"/>
  <c r="V706" i="1"/>
  <c r="V699" i="1"/>
  <c r="V689" i="1"/>
  <c r="V682" i="1"/>
  <c r="V672" i="1"/>
  <c r="V665" i="1"/>
  <c r="V655" i="1"/>
  <c r="V648" i="1"/>
  <c r="V638" i="1"/>
  <c r="V631" i="1"/>
  <c r="V621" i="1"/>
  <c r="V614" i="1"/>
  <c r="V604" i="1"/>
  <c r="V597" i="1"/>
  <c r="V587" i="1"/>
  <c r="V580" i="1"/>
  <c r="V570" i="1"/>
  <c r="V563" i="1"/>
  <c r="V553" i="1"/>
  <c r="V546" i="1"/>
  <c r="V536" i="1"/>
  <c r="V529" i="1"/>
  <c r="V519" i="1"/>
  <c r="V512" i="1"/>
  <c r="V502" i="1"/>
  <c r="V495" i="1"/>
  <c r="V485" i="1"/>
  <c r="V478" i="1"/>
  <c r="V468" i="1"/>
  <c r="V461" i="1"/>
  <c r="V451" i="1"/>
  <c r="V444" i="1"/>
  <c r="V434" i="1"/>
  <c r="V427" i="1"/>
  <c r="V417" i="1"/>
  <c r="V410" i="1"/>
  <c r="V400" i="1"/>
  <c r="V393" i="1"/>
  <c r="V383" i="1"/>
  <c r="V376" i="1"/>
  <c r="V366" i="1"/>
  <c r="V359" i="1"/>
  <c r="V349" i="1"/>
  <c r="V342" i="1"/>
  <c r="V332" i="1"/>
  <c r="V325" i="1"/>
  <c r="V315" i="1"/>
  <c r="V308" i="1"/>
  <c r="V298" i="1"/>
  <c r="V291" i="1"/>
  <c r="V281" i="1"/>
  <c r="V274" i="1"/>
  <c r="V264" i="1"/>
  <c r="V257" i="1"/>
  <c r="V247" i="1"/>
  <c r="V240" i="1"/>
  <c r="V230" i="1"/>
  <c r="V223" i="1"/>
  <c r="V213" i="1"/>
  <c r="V206" i="1"/>
  <c r="V196" i="1"/>
  <c r="V189" i="1"/>
  <c r="V179" i="1"/>
  <c r="V172" i="1"/>
  <c r="V162" i="1"/>
  <c r="V155" i="1"/>
  <c r="V145" i="1"/>
  <c r="V138" i="1"/>
  <c r="V128" i="1"/>
  <c r="V121" i="1"/>
  <c r="V111" i="1"/>
  <c r="V104" i="1"/>
  <c r="V94" i="1"/>
  <c r="V87" i="1"/>
  <c r="V77" i="1"/>
  <c r="V70" i="1"/>
  <c r="V60" i="1"/>
  <c r="V53" i="1"/>
  <c r="V43" i="1"/>
  <c r="V36" i="1"/>
  <c r="V26" i="1"/>
  <c r="V19" i="1"/>
  <c r="V9" i="1"/>
  <c r="V2" i="1"/>
  <c r="EG4" i="2"/>
  <c r="EY53" i="2" l="1"/>
  <c r="EY52" i="2"/>
  <c r="EY45" i="2"/>
  <c r="EY44" i="2"/>
  <c r="EY43" i="2"/>
  <c r="EY42" i="2"/>
  <c r="EY41" i="2"/>
  <c r="EY40" i="2"/>
  <c r="EY39" i="2"/>
  <c r="EY34" i="2"/>
  <c r="EY33" i="2"/>
  <c r="EY32" i="2"/>
  <c r="EY31" i="2"/>
  <c r="EY30" i="2"/>
  <c r="EY29" i="2"/>
  <c r="EY28" i="2"/>
  <c r="EY27" i="2"/>
  <c r="EY26" i="2"/>
  <c r="EY25" i="2"/>
  <c r="EY24" i="2"/>
  <c r="EY23" i="2"/>
  <c r="EY22" i="2"/>
  <c r="EY21" i="2" l="1"/>
  <c r="EY18" i="2"/>
  <c r="EY17" i="2"/>
  <c r="EY16" i="2"/>
  <c r="EY15" i="2"/>
  <c r="EY14" i="2"/>
  <c r="EY13" i="2"/>
  <c r="EY12" i="2"/>
  <c r="EY11" i="2"/>
  <c r="EY10" i="2"/>
  <c r="EY9" i="2"/>
  <c r="EY8" i="2"/>
  <c r="EY7" i="2"/>
  <c r="EY6" i="2"/>
  <c r="EY5" i="2"/>
  <c r="EY4" i="2"/>
  <c r="EG53" i="2"/>
  <c r="EG52" i="2"/>
  <c r="EG45" i="2"/>
  <c r="EG44" i="2"/>
  <c r="EG43" i="2"/>
  <c r="EG42" i="2"/>
  <c r="EG41" i="2"/>
  <c r="EG40" i="2"/>
  <c r="EG39" i="2"/>
  <c r="EG38" i="2"/>
  <c r="EG37" i="2"/>
  <c r="EG36" i="2"/>
  <c r="EG35" i="2"/>
  <c r="EG33" i="2"/>
  <c r="EG32" i="2"/>
  <c r="EG31" i="2"/>
  <c r="EG30" i="2"/>
  <c r="EG29" i="2"/>
  <c r="EG28" i="2"/>
  <c r="EG27" i="2"/>
  <c r="EG26" i="2"/>
  <c r="EG25" i="2"/>
  <c r="EG24" i="2"/>
  <c r="EG23" i="2"/>
  <c r="EG22" i="2"/>
  <c r="EG21" i="2"/>
  <c r="EG18" i="2"/>
  <c r="EG17" i="2"/>
  <c r="EG16" i="2"/>
  <c r="EG15" i="2"/>
  <c r="EG14" i="2"/>
  <c r="EG13" i="2"/>
  <c r="EG12" i="2"/>
  <c r="EG11" i="2"/>
  <c r="EG10" i="2"/>
  <c r="EG9" i="2"/>
  <c r="EG8" i="2"/>
  <c r="EG7" i="2"/>
  <c r="EG6" i="2"/>
  <c r="EG5" i="2"/>
  <c r="FA46" i="2"/>
  <c r="EZ46" i="2"/>
  <c r="EU46" i="2"/>
  <c r="ET46" i="2"/>
  <c r="ER46" i="2"/>
  <c r="EQ46" i="2"/>
  <c r="EO46" i="2"/>
  <c r="EN46" i="2"/>
  <c r="EL46" i="2"/>
  <c r="EK46" i="2"/>
  <c r="EI46" i="2"/>
  <c r="EH46" i="2"/>
  <c r="DY46" i="2"/>
  <c r="DX46" i="2"/>
  <c r="DV46" i="2"/>
  <c r="DU46" i="2"/>
  <c r="DS46" i="2"/>
  <c r="DR46" i="2"/>
  <c r="DP46" i="2"/>
  <c r="DO46" i="2"/>
  <c r="DM46" i="2"/>
  <c r="DL46" i="2"/>
  <c r="DJ46" i="2"/>
  <c r="DI46" i="2"/>
  <c r="DB46" i="2"/>
  <c r="DA46" i="2"/>
  <c r="CY46" i="2"/>
  <c r="CX46" i="2"/>
  <c r="CV46" i="2"/>
  <c r="CU46" i="2"/>
  <c r="CS46" i="2"/>
  <c r="CR46" i="2"/>
  <c r="CP46" i="2"/>
  <c r="CO46" i="2"/>
  <c r="CM46" i="2"/>
  <c r="CL46" i="2"/>
  <c r="BY46" i="2"/>
  <c r="BX46" i="2"/>
  <c r="BS46" i="2"/>
  <c r="BR46" i="2"/>
  <c r="BM46" i="2"/>
  <c r="BL46" i="2"/>
  <c r="BG46" i="2"/>
  <c r="BF46" i="2"/>
  <c r="BA46" i="2"/>
  <c r="AZ46" i="2"/>
  <c r="AU46" i="2"/>
  <c r="AT46" i="2"/>
  <c r="E46" i="2"/>
  <c r="AJ46" i="2"/>
  <c r="AI46" i="2"/>
  <c r="AD46" i="2"/>
  <c r="AC46" i="2"/>
  <c r="X46" i="2"/>
  <c r="W46" i="2"/>
  <c r="EG34" i="2" l="1"/>
  <c r="R46" i="2"/>
  <c r="Q46" i="2"/>
  <c r="L46" i="2" l="1"/>
  <c r="K46" i="2"/>
  <c r="F46" i="2"/>
  <c r="W799" i="1" l="1"/>
  <c r="AC798" i="1"/>
  <c r="AB798" i="1"/>
  <c r="W798" i="1"/>
  <c r="AC797" i="1"/>
  <c r="AB797" i="1"/>
  <c r="W797" i="1"/>
  <c r="W796" i="1"/>
  <c r="AC795" i="1"/>
  <c r="AB795" i="1"/>
  <c r="W795" i="1"/>
  <c r="AC794" i="1"/>
  <c r="AB794" i="1"/>
  <c r="W794" i="1"/>
  <c r="AC793" i="1"/>
  <c r="AB793" i="1"/>
  <c r="W793" i="1"/>
  <c r="AC792" i="1"/>
  <c r="AB792" i="1"/>
  <c r="W792" i="1"/>
  <c r="Y799" i="1" s="1"/>
  <c r="W791" i="1"/>
  <c r="W790" i="1"/>
  <c r="W789" i="1"/>
  <c r="W788" i="1"/>
  <c r="W787" i="1"/>
  <c r="W786" i="1"/>
  <c r="W785" i="1"/>
  <c r="W784" i="1"/>
  <c r="Y791" i="1" s="1"/>
  <c r="W782" i="1"/>
  <c r="AC781" i="1"/>
  <c r="AB781" i="1"/>
  <c r="W781" i="1"/>
  <c r="AC780" i="1"/>
  <c r="AB780" i="1"/>
  <c r="W780" i="1"/>
  <c r="W779" i="1"/>
  <c r="AC778" i="1"/>
  <c r="AB778" i="1"/>
  <c r="W778" i="1"/>
  <c r="AC777" i="1"/>
  <c r="AB777" i="1"/>
  <c r="W777" i="1"/>
  <c r="AC776" i="1"/>
  <c r="AB776" i="1"/>
  <c r="W776" i="1"/>
  <c r="AC775" i="1"/>
  <c r="AB775" i="1"/>
  <c r="W775" i="1"/>
  <c r="Y782" i="1" s="1"/>
  <c r="W774" i="1"/>
  <c r="W773" i="1"/>
  <c r="W772" i="1"/>
  <c r="W771" i="1"/>
  <c r="W770" i="1"/>
  <c r="W769" i="1"/>
  <c r="W768" i="1"/>
  <c r="W767" i="1"/>
  <c r="Y774" i="1" s="1"/>
  <c r="W765" i="1"/>
  <c r="AC764" i="1"/>
  <c r="AB764" i="1"/>
  <c r="W764" i="1"/>
  <c r="AC763" i="1"/>
  <c r="AB763" i="1"/>
  <c r="W763" i="1"/>
  <c r="W762" i="1"/>
  <c r="AC761" i="1"/>
  <c r="AB761" i="1"/>
  <c r="W761" i="1"/>
  <c r="AC760" i="1"/>
  <c r="AB760" i="1"/>
  <c r="W760" i="1"/>
  <c r="AC759" i="1"/>
  <c r="AB759" i="1"/>
  <c r="W759" i="1"/>
  <c r="AC758" i="1"/>
  <c r="AB758" i="1"/>
  <c r="W758" i="1"/>
  <c r="Y765" i="1" s="1"/>
  <c r="AA765" i="1" s="1"/>
  <c r="W757" i="1"/>
  <c r="W756" i="1"/>
  <c r="W755" i="1"/>
  <c r="W754" i="1"/>
  <c r="W753" i="1"/>
  <c r="W752" i="1"/>
  <c r="W751" i="1"/>
  <c r="W750" i="1"/>
  <c r="Y757" i="1" s="1"/>
  <c r="W748" i="1"/>
  <c r="AC747" i="1"/>
  <c r="AB747" i="1"/>
  <c r="W747" i="1"/>
  <c r="Z46" i="2" s="1"/>
  <c r="AC746" i="1"/>
  <c r="AB746" i="1"/>
  <c r="W746" i="1"/>
  <c r="T46" i="2" s="1"/>
  <c r="W745" i="1"/>
  <c r="H46" i="2" s="1"/>
  <c r="AC744" i="1"/>
  <c r="AB744" i="1"/>
  <c r="W744" i="1"/>
  <c r="N46" i="2" s="1"/>
  <c r="AC743" i="1"/>
  <c r="AB743" i="1"/>
  <c r="W743" i="1"/>
  <c r="B46" i="2" s="1"/>
  <c r="AC742" i="1"/>
  <c r="AB742" i="1"/>
  <c r="W742" i="1"/>
  <c r="AC741" i="1"/>
  <c r="AB741" i="1"/>
  <c r="W741" i="1"/>
  <c r="W740" i="1"/>
  <c r="EF46" i="2"/>
  <c r="W739" i="1"/>
  <c r="W738" i="1"/>
  <c r="W737" i="1"/>
  <c r="W736" i="1"/>
  <c r="W735" i="1"/>
  <c r="W734" i="1"/>
  <c r="W733" i="1"/>
  <c r="Y740" i="1" s="1"/>
  <c r="EX46" i="2"/>
  <c r="G46" i="2"/>
  <c r="M46" i="2"/>
  <c r="S46" i="2"/>
  <c r="Y46" i="2"/>
  <c r="AO46" i="2"/>
  <c r="AE46" i="2"/>
  <c r="AK46" i="2"/>
  <c r="AV46" i="2"/>
  <c r="BB46" i="2"/>
  <c r="BH46" i="2"/>
  <c r="BN46" i="2"/>
  <c r="CE46" i="2"/>
  <c r="BT46" i="2"/>
  <c r="BZ46" i="2"/>
  <c r="CN46" i="2"/>
  <c r="CQ46" i="2"/>
  <c r="CT46" i="2"/>
  <c r="DE46" i="2"/>
  <c r="CW46" i="2"/>
  <c r="CZ46" i="2"/>
  <c r="DK46" i="2"/>
  <c r="DN46" i="2"/>
  <c r="EA46" i="2"/>
  <c r="DQ46" i="2"/>
  <c r="DT46" i="2"/>
  <c r="DW46" i="2"/>
  <c r="DZ46" i="2"/>
  <c r="EG46" i="2"/>
  <c r="EJ46" i="2"/>
  <c r="EM46" i="2"/>
  <c r="EP46" i="2"/>
  <c r="FE46" i="2"/>
  <c r="ES46" i="2"/>
  <c r="EY46" i="2"/>
  <c r="FB46" i="2"/>
  <c r="W799" i="7"/>
  <c r="AC798" i="7"/>
  <c r="AB798" i="7"/>
  <c r="W798" i="7"/>
  <c r="AC797" i="7"/>
  <c r="AB797" i="7"/>
  <c r="W797" i="7"/>
  <c r="W796" i="7"/>
  <c r="AC795" i="7"/>
  <c r="AB795" i="7"/>
  <c r="W795" i="7"/>
  <c r="AC794" i="7"/>
  <c r="AB794" i="7"/>
  <c r="W794" i="7"/>
  <c r="AC793" i="7"/>
  <c r="AB793" i="7"/>
  <c r="W793" i="7"/>
  <c r="AC792" i="7"/>
  <c r="AB792" i="7"/>
  <c r="W792" i="7"/>
  <c r="Y799" i="7" s="1"/>
  <c r="W791" i="7"/>
  <c r="W790" i="7"/>
  <c r="W789" i="7"/>
  <c r="W788" i="7"/>
  <c r="W787" i="7"/>
  <c r="W786" i="7"/>
  <c r="W785" i="7"/>
  <c r="W784" i="7"/>
  <c r="Y791" i="7" s="1"/>
  <c r="W783" i="7"/>
  <c r="W782" i="7"/>
  <c r="AC781" i="7"/>
  <c r="AB781" i="7"/>
  <c r="W781" i="7"/>
  <c r="AC780" i="7"/>
  <c r="AB780" i="7"/>
  <c r="W780" i="7"/>
  <c r="W779" i="7"/>
  <c r="AC778" i="7"/>
  <c r="AB778" i="7"/>
  <c r="W778" i="7"/>
  <c r="AC777" i="7"/>
  <c r="AB777" i="7"/>
  <c r="W777" i="7"/>
  <c r="AC776" i="7"/>
  <c r="AB776" i="7"/>
  <c r="W776" i="7"/>
  <c r="AC775" i="7"/>
  <c r="AB775" i="7"/>
  <c r="W775" i="7"/>
  <c r="Y782" i="7" s="1"/>
  <c r="AA782" i="7" s="1"/>
  <c r="W774" i="7"/>
  <c r="W773" i="7"/>
  <c r="W772" i="7"/>
  <c r="W771" i="7"/>
  <c r="W770" i="7"/>
  <c r="W769" i="7"/>
  <c r="W768" i="7"/>
  <c r="W767" i="7"/>
  <c r="Y774" i="7" s="1"/>
  <c r="W766" i="7"/>
  <c r="W765" i="7"/>
  <c r="AC764" i="7"/>
  <c r="AB764" i="7"/>
  <c r="W764" i="7"/>
  <c r="AC763" i="7"/>
  <c r="AB763" i="7"/>
  <c r="W763" i="7"/>
  <c r="W762" i="7"/>
  <c r="AC761" i="7"/>
  <c r="AB761" i="7"/>
  <c r="W761" i="7"/>
  <c r="AC760" i="7"/>
  <c r="AB760" i="7"/>
  <c r="W760" i="7"/>
  <c r="AC759" i="7"/>
  <c r="AB759" i="7"/>
  <c r="W759" i="7"/>
  <c r="AC758" i="7"/>
  <c r="AB758" i="7"/>
  <c r="W758" i="7"/>
  <c r="Y765" i="7" s="1"/>
  <c r="AA765" i="7" s="1"/>
  <c r="W757" i="7"/>
  <c r="W756" i="7"/>
  <c r="W755" i="7"/>
  <c r="W754" i="7"/>
  <c r="W753" i="7"/>
  <c r="W752" i="7"/>
  <c r="W751" i="7"/>
  <c r="W750" i="7"/>
  <c r="Y757" i="7" s="1"/>
  <c r="W749" i="7"/>
  <c r="W748" i="7"/>
  <c r="AC747" i="7"/>
  <c r="AB747" i="7"/>
  <c r="W747" i="7"/>
  <c r="AA46" i="2" s="1"/>
  <c r="BV46" i="2" s="1"/>
  <c r="AC746" i="7"/>
  <c r="AB746" i="7"/>
  <c r="W746" i="7"/>
  <c r="U46" i="2" s="1"/>
  <c r="BP46" i="2" s="1"/>
  <c r="W745" i="7"/>
  <c r="I46" i="2" s="1"/>
  <c r="BD46" i="2" s="1"/>
  <c r="AC744" i="7"/>
  <c r="AB744" i="7"/>
  <c r="W744" i="7"/>
  <c r="O46" i="2" s="1"/>
  <c r="BJ46" i="2" s="1"/>
  <c r="AC743" i="7"/>
  <c r="AB743" i="7"/>
  <c r="W743" i="7"/>
  <c r="C46" i="2" s="1"/>
  <c r="AC742" i="7"/>
  <c r="AB742" i="7"/>
  <c r="W742" i="7"/>
  <c r="AC741" i="7"/>
  <c r="AB741" i="7"/>
  <c r="W741" i="7"/>
  <c r="W740" i="7"/>
  <c r="W739" i="7"/>
  <c r="W738" i="7"/>
  <c r="W737" i="7"/>
  <c r="W736" i="7"/>
  <c r="W735" i="7"/>
  <c r="W734" i="7"/>
  <c r="W733" i="7"/>
  <c r="Y740" i="7" s="1"/>
  <c r="W732" i="7"/>
  <c r="X740" i="7" l="1"/>
  <c r="X791" i="7"/>
  <c r="X774" i="1"/>
  <c r="AA782" i="1"/>
  <c r="X774" i="7"/>
  <c r="Y748" i="1"/>
  <c r="AA748" i="1" s="1"/>
  <c r="AF46" i="2"/>
  <c r="X799" i="1"/>
  <c r="Z799" i="1" s="1"/>
  <c r="X791" i="1"/>
  <c r="X757" i="1"/>
  <c r="X757" i="7"/>
  <c r="Y748" i="7"/>
  <c r="AA748" i="7" s="1"/>
  <c r="AG46" i="2"/>
  <c r="CB46" i="2" s="1"/>
  <c r="AX46" i="2"/>
  <c r="EV46" i="2"/>
  <c r="FD46" i="2"/>
  <c r="FF46" i="2" s="1"/>
  <c r="X748" i="1"/>
  <c r="Z748" i="1" s="1"/>
  <c r="X765" i="1"/>
  <c r="Z765" i="1" s="1"/>
  <c r="DC46" i="2"/>
  <c r="X740" i="1"/>
  <c r="X782" i="1"/>
  <c r="Z782" i="1" s="1"/>
  <c r="AA799" i="1"/>
  <c r="AP46" i="2"/>
  <c r="AQ46" i="2" s="1"/>
  <c r="DD46" i="2"/>
  <c r="DF46" i="2" s="1"/>
  <c r="EB46" i="2"/>
  <c r="EC46" i="2" s="1"/>
  <c r="CD46" i="2"/>
  <c r="X748" i="7"/>
  <c r="Z748" i="7" s="1"/>
  <c r="X765" i="7"/>
  <c r="Z765" i="7" s="1"/>
  <c r="X782" i="7"/>
  <c r="Z782" i="7" s="1"/>
  <c r="AA799" i="7"/>
  <c r="X799" i="7"/>
  <c r="Z799" i="7" s="1"/>
  <c r="AM46" i="2" l="1"/>
  <c r="CH46" i="2" s="1"/>
  <c r="CF46" i="2"/>
  <c r="FA11" i="2" l="1"/>
  <c r="ER11" i="2"/>
  <c r="EO11" i="2"/>
  <c r="EL10" i="2"/>
  <c r="EL11" i="2"/>
  <c r="EI10" i="2"/>
  <c r="EI11" i="2"/>
  <c r="DY11" i="2"/>
  <c r="DV11" i="2"/>
  <c r="DW11" i="2" s="1"/>
  <c r="DS11" i="2"/>
  <c r="DP11" i="2"/>
  <c r="DM11" i="2"/>
  <c r="DN11" i="2" s="1"/>
  <c r="DJ11" i="2"/>
  <c r="DB11" i="2"/>
  <c r="CY11" i="2"/>
  <c r="CV11" i="2"/>
  <c r="CS11" i="2"/>
  <c r="CP11" i="2"/>
  <c r="CM11" i="2"/>
  <c r="BY11" i="2"/>
  <c r="BS11" i="2"/>
  <c r="BM11" i="2"/>
  <c r="BG11" i="2"/>
  <c r="BA11" i="2"/>
  <c r="AU11" i="2"/>
  <c r="W629" i="7"/>
  <c r="AC628" i="7"/>
  <c r="AB628" i="7"/>
  <c r="W628" i="7"/>
  <c r="AA11" i="2" s="1"/>
  <c r="AC627" i="7"/>
  <c r="AB627" i="7"/>
  <c r="W627" i="7"/>
  <c r="U11" i="2" s="1"/>
  <c r="W626" i="7"/>
  <c r="I11" i="2" s="1"/>
  <c r="AC625" i="7"/>
  <c r="AB625" i="7"/>
  <c r="W625" i="7"/>
  <c r="O11" i="2" s="1"/>
  <c r="AC624" i="7"/>
  <c r="AB624" i="7"/>
  <c r="W624" i="7"/>
  <c r="C11" i="2" s="1"/>
  <c r="AC623" i="7"/>
  <c r="AB623" i="7"/>
  <c r="W623" i="7"/>
  <c r="AC622" i="7"/>
  <c r="AB622" i="7"/>
  <c r="W622" i="7"/>
  <c r="Y629" i="7" s="1"/>
  <c r="W621" i="7"/>
  <c r="W620" i="7"/>
  <c r="W619" i="7"/>
  <c r="W618" i="7"/>
  <c r="W617" i="7"/>
  <c r="W616" i="7"/>
  <c r="W615" i="7"/>
  <c r="W614" i="7"/>
  <c r="Y621" i="7" s="1"/>
  <c r="X621" i="7" l="1"/>
  <c r="AG11" i="2"/>
  <c r="AA629" i="7"/>
  <c r="X629" i="7"/>
  <c r="Z629" i="7" s="1"/>
  <c r="EH4" i="2" l="1"/>
  <c r="EI4" i="2"/>
  <c r="EK4" i="2"/>
  <c r="EL4" i="2"/>
  <c r="EN4" i="2"/>
  <c r="EO4" i="2"/>
  <c r="EP4" i="2" s="1"/>
  <c r="EQ4" i="2"/>
  <c r="ER4" i="2"/>
  <c r="ET4" i="2"/>
  <c r="EU4" i="2"/>
  <c r="EZ4" i="2"/>
  <c r="FA4" i="2"/>
  <c r="EH5" i="2"/>
  <c r="EI5" i="2"/>
  <c r="EK5" i="2"/>
  <c r="EL5" i="2"/>
  <c r="EN5" i="2"/>
  <c r="EO5" i="2"/>
  <c r="EP5" i="2" s="1"/>
  <c r="EQ5" i="2"/>
  <c r="ER5" i="2"/>
  <c r="ET5" i="2"/>
  <c r="EU5" i="2"/>
  <c r="EZ5" i="2"/>
  <c r="FA5" i="2"/>
  <c r="EH6" i="2"/>
  <c r="EI6" i="2"/>
  <c r="EJ6" i="2" s="1"/>
  <c r="EK6" i="2"/>
  <c r="EL6" i="2"/>
  <c r="EM6" i="2" s="1"/>
  <c r="EN6" i="2"/>
  <c r="EO6" i="2"/>
  <c r="EP6" i="2" s="1"/>
  <c r="EQ6" i="2"/>
  <c r="ER6" i="2"/>
  <c r="ES6" i="2" s="1"/>
  <c r="ET6" i="2"/>
  <c r="EU6" i="2"/>
  <c r="EV6" i="2" s="1"/>
  <c r="EZ6" i="2"/>
  <c r="FA6" i="2"/>
  <c r="FB6" i="2" s="1"/>
  <c r="EH7" i="2"/>
  <c r="EI7" i="2"/>
  <c r="EK7" i="2"/>
  <c r="EL7" i="2"/>
  <c r="EN7" i="2"/>
  <c r="EO7" i="2"/>
  <c r="EQ7" i="2"/>
  <c r="ER7" i="2"/>
  <c r="ET7" i="2"/>
  <c r="EU7" i="2"/>
  <c r="EZ7" i="2"/>
  <c r="FA7" i="2"/>
  <c r="EH8" i="2"/>
  <c r="EI8" i="2"/>
  <c r="EK8" i="2"/>
  <c r="EL8" i="2"/>
  <c r="EN8" i="2"/>
  <c r="EO8" i="2"/>
  <c r="EQ8" i="2"/>
  <c r="ER8" i="2"/>
  <c r="ET8" i="2"/>
  <c r="EU8" i="2"/>
  <c r="EZ8" i="2"/>
  <c r="FA8" i="2"/>
  <c r="EH9" i="2"/>
  <c r="EI9" i="2"/>
  <c r="EK9" i="2"/>
  <c r="EL9" i="2"/>
  <c r="EN9" i="2"/>
  <c r="EO9" i="2"/>
  <c r="EP9" i="2" s="1"/>
  <c r="EQ9" i="2"/>
  <c r="ER9" i="2"/>
  <c r="ET9" i="2"/>
  <c r="EU9" i="2"/>
  <c r="EZ9" i="2"/>
  <c r="FA9" i="2"/>
  <c r="EH10" i="2"/>
  <c r="EK10" i="2"/>
  <c r="EN10" i="2"/>
  <c r="EO10" i="2"/>
  <c r="EQ10" i="2"/>
  <c r="ER10" i="2"/>
  <c r="ET10" i="2"/>
  <c r="EU10" i="2"/>
  <c r="EV10" i="2" s="1"/>
  <c r="EZ10" i="2"/>
  <c r="FA10" i="2"/>
  <c r="EH11" i="2"/>
  <c r="EJ11" i="2" s="1"/>
  <c r="EK11" i="2"/>
  <c r="EM11" i="2" s="1"/>
  <c r="EN11" i="2"/>
  <c r="EP11" i="2" s="1"/>
  <c r="EQ11" i="2"/>
  <c r="ES11" i="2" s="1"/>
  <c r="ET11" i="2"/>
  <c r="EV11" i="2"/>
  <c r="EX11" i="2"/>
  <c r="EZ11" i="2"/>
  <c r="FB11" i="2"/>
  <c r="FE11" i="2"/>
  <c r="EH12" i="2"/>
  <c r="EI12" i="2"/>
  <c r="EK12" i="2"/>
  <c r="EL12" i="2"/>
  <c r="EN12" i="2"/>
  <c r="EO12" i="2"/>
  <c r="EQ12" i="2"/>
  <c r="ER12" i="2"/>
  <c r="ET12" i="2"/>
  <c r="EU12" i="2"/>
  <c r="EV12" i="2" s="1"/>
  <c r="EZ12" i="2"/>
  <c r="FA12" i="2"/>
  <c r="EH13" i="2"/>
  <c r="EI13" i="2"/>
  <c r="EK13" i="2"/>
  <c r="EL13" i="2"/>
  <c r="EN13" i="2"/>
  <c r="EO13" i="2"/>
  <c r="EQ13" i="2"/>
  <c r="ER13" i="2"/>
  <c r="ET13" i="2"/>
  <c r="EU13" i="2"/>
  <c r="EZ13" i="2"/>
  <c r="FA13" i="2"/>
  <c r="EH14" i="2"/>
  <c r="EI14" i="2"/>
  <c r="EK14" i="2"/>
  <c r="EL14" i="2"/>
  <c r="EN14" i="2"/>
  <c r="EO14" i="2"/>
  <c r="EQ14" i="2"/>
  <c r="ER14" i="2"/>
  <c r="ET14" i="2"/>
  <c r="EU14" i="2"/>
  <c r="EZ14" i="2"/>
  <c r="FA14" i="2"/>
  <c r="EH15" i="2"/>
  <c r="EI15" i="2"/>
  <c r="EK15" i="2"/>
  <c r="EL15" i="2"/>
  <c r="EN15" i="2"/>
  <c r="EO15" i="2"/>
  <c r="EQ15" i="2"/>
  <c r="ER15" i="2"/>
  <c r="ET15" i="2"/>
  <c r="EU15" i="2"/>
  <c r="EV15" i="2" s="1"/>
  <c r="EZ15" i="2"/>
  <c r="FA15" i="2"/>
  <c r="EH16" i="2"/>
  <c r="EI16" i="2"/>
  <c r="EK16" i="2"/>
  <c r="EL16" i="2"/>
  <c r="EN16" i="2"/>
  <c r="EO16" i="2"/>
  <c r="EQ16" i="2"/>
  <c r="ER16" i="2"/>
  <c r="ET16" i="2"/>
  <c r="EU16" i="2"/>
  <c r="EZ16" i="2"/>
  <c r="FA16" i="2"/>
  <c r="EH17" i="2"/>
  <c r="EI17" i="2"/>
  <c r="EK17" i="2"/>
  <c r="EL17" i="2"/>
  <c r="EN17" i="2"/>
  <c r="EO17" i="2"/>
  <c r="EQ17" i="2"/>
  <c r="ER17" i="2"/>
  <c r="ET17" i="2"/>
  <c r="EU17" i="2"/>
  <c r="EV17" i="2" s="1"/>
  <c r="EZ17" i="2"/>
  <c r="FA17" i="2"/>
  <c r="EH18" i="2"/>
  <c r="EI18" i="2"/>
  <c r="EK18" i="2"/>
  <c r="EL18" i="2"/>
  <c r="EN18" i="2"/>
  <c r="EO18" i="2"/>
  <c r="EQ18" i="2"/>
  <c r="ER18" i="2"/>
  <c r="ET18" i="2"/>
  <c r="EU18" i="2"/>
  <c r="EZ18" i="2"/>
  <c r="FA18" i="2"/>
  <c r="EH21" i="2"/>
  <c r="EI21" i="2"/>
  <c r="EK21" i="2"/>
  <c r="EL21" i="2"/>
  <c r="EN21" i="2"/>
  <c r="EO21" i="2"/>
  <c r="EQ21" i="2"/>
  <c r="ER21" i="2"/>
  <c r="ET21" i="2"/>
  <c r="EU21" i="2"/>
  <c r="EZ21" i="2"/>
  <c r="FA21" i="2"/>
  <c r="EH22" i="2"/>
  <c r="EI22" i="2"/>
  <c r="EK22" i="2"/>
  <c r="EL22" i="2"/>
  <c r="EN22" i="2"/>
  <c r="EO22" i="2"/>
  <c r="EQ22" i="2"/>
  <c r="ER22" i="2"/>
  <c r="ET22" i="2"/>
  <c r="EU22" i="2"/>
  <c r="EZ22" i="2"/>
  <c r="FA22" i="2"/>
  <c r="EH23" i="2"/>
  <c r="EI23" i="2"/>
  <c r="EK23" i="2"/>
  <c r="EL23" i="2"/>
  <c r="EN23" i="2"/>
  <c r="EO23" i="2"/>
  <c r="EQ23" i="2"/>
  <c r="ER23" i="2"/>
  <c r="ET23" i="2"/>
  <c r="EU23" i="2"/>
  <c r="EZ23" i="2"/>
  <c r="FA23" i="2"/>
  <c r="EH24" i="2"/>
  <c r="EI24" i="2"/>
  <c r="EK24" i="2"/>
  <c r="EL24" i="2"/>
  <c r="EN24" i="2"/>
  <c r="EO24" i="2"/>
  <c r="EQ24" i="2"/>
  <c r="ER24" i="2"/>
  <c r="ET24" i="2"/>
  <c r="EU24" i="2"/>
  <c r="EZ24" i="2"/>
  <c r="FA24" i="2"/>
  <c r="EH25" i="2"/>
  <c r="EI25" i="2"/>
  <c r="EK25" i="2"/>
  <c r="EL25" i="2"/>
  <c r="EN25" i="2"/>
  <c r="EO25" i="2"/>
  <c r="EQ25" i="2"/>
  <c r="ER25" i="2"/>
  <c r="ET25" i="2"/>
  <c r="EU25" i="2"/>
  <c r="EZ25" i="2"/>
  <c r="FA25" i="2"/>
  <c r="EH26" i="2"/>
  <c r="EI26" i="2"/>
  <c r="EK26" i="2"/>
  <c r="EL26" i="2"/>
  <c r="EN26" i="2"/>
  <c r="EO26" i="2"/>
  <c r="EQ26" i="2"/>
  <c r="ER26" i="2"/>
  <c r="ET26" i="2"/>
  <c r="EU26" i="2"/>
  <c r="EZ26" i="2"/>
  <c r="FA26" i="2"/>
  <c r="EH27" i="2"/>
  <c r="EI27" i="2"/>
  <c r="EK27" i="2"/>
  <c r="EL27" i="2"/>
  <c r="EN27" i="2"/>
  <c r="EO27" i="2"/>
  <c r="EQ27" i="2"/>
  <c r="ER27" i="2"/>
  <c r="ET27" i="2"/>
  <c r="EU27" i="2"/>
  <c r="EZ27" i="2"/>
  <c r="FA27" i="2"/>
  <c r="EH28" i="2"/>
  <c r="EI28" i="2"/>
  <c r="EK28" i="2"/>
  <c r="EL28" i="2"/>
  <c r="EN28" i="2"/>
  <c r="EO28" i="2"/>
  <c r="EQ28" i="2"/>
  <c r="ER28" i="2"/>
  <c r="ET28" i="2"/>
  <c r="EU28" i="2"/>
  <c r="EZ28" i="2"/>
  <c r="FA28" i="2"/>
  <c r="EH29" i="2"/>
  <c r="EI29" i="2"/>
  <c r="EK29" i="2"/>
  <c r="EL29" i="2"/>
  <c r="EN29" i="2"/>
  <c r="EO29" i="2"/>
  <c r="EQ29" i="2"/>
  <c r="ER29" i="2"/>
  <c r="ET29" i="2"/>
  <c r="EU29" i="2"/>
  <c r="EZ29" i="2"/>
  <c r="FA29" i="2"/>
  <c r="EH30" i="2"/>
  <c r="EI30" i="2"/>
  <c r="EK30" i="2"/>
  <c r="EL30" i="2"/>
  <c r="EN30" i="2"/>
  <c r="EO30" i="2"/>
  <c r="EQ30" i="2"/>
  <c r="ER30" i="2"/>
  <c r="ET30" i="2"/>
  <c r="EU30" i="2"/>
  <c r="EZ30" i="2"/>
  <c r="FA30" i="2"/>
  <c r="EH31" i="2"/>
  <c r="EI31" i="2"/>
  <c r="EK31" i="2"/>
  <c r="EL31" i="2"/>
  <c r="EN31" i="2"/>
  <c r="EO31" i="2"/>
  <c r="EQ31" i="2"/>
  <c r="ER31" i="2"/>
  <c r="ET31" i="2"/>
  <c r="EU31" i="2"/>
  <c r="EZ31" i="2"/>
  <c r="FA31" i="2"/>
  <c r="EH32" i="2"/>
  <c r="EI32" i="2"/>
  <c r="EK32" i="2"/>
  <c r="EL32" i="2"/>
  <c r="EN32" i="2"/>
  <c r="EO32" i="2"/>
  <c r="EQ32" i="2"/>
  <c r="ER32" i="2"/>
  <c r="ET32" i="2"/>
  <c r="EU32" i="2"/>
  <c r="EZ32" i="2"/>
  <c r="FA32" i="2"/>
  <c r="EH33" i="2"/>
  <c r="EI33" i="2"/>
  <c r="EK33" i="2"/>
  <c r="EL33" i="2"/>
  <c r="EM33" i="2" s="1"/>
  <c r="EN33" i="2"/>
  <c r="EO33" i="2"/>
  <c r="EQ33" i="2"/>
  <c r="ER33" i="2"/>
  <c r="ET33" i="2"/>
  <c r="EU33" i="2"/>
  <c r="EZ33" i="2"/>
  <c r="FA33" i="2"/>
  <c r="EZ34" i="2"/>
  <c r="FA34" i="2"/>
  <c r="EH35" i="2"/>
  <c r="EI35" i="2"/>
  <c r="EK35" i="2"/>
  <c r="EL35" i="2"/>
  <c r="EN35" i="2"/>
  <c r="EO35" i="2"/>
  <c r="EQ35" i="2"/>
  <c r="ER35" i="2"/>
  <c r="ET35" i="2"/>
  <c r="EU35" i="2"/>
  <c r="EV35" i="2" s="1"/>
  <c r="FB35" i="2"/>
  <c r="EH36" i="2"/>
  <c r="EI36" i="2"/>
  <c r="EK36" i="2"/>
  <c r="EL36" i="2"/>
  <c r="EN36" i="2"/>
  <c r="EO36" i="2"/>
  <c r="EQ36" i="2"/>
  <c r="ER36" i="2"/>
  <c r="ET36" i="2"/>
  <c r="EU36" i="2"/>
  <c r="FB36" i="2"/>
  <c r="EH37" i="2"/>
  <c r="EI37" i="2"/>
  <c r="EK37" i="2"/>
  <c r="EL37" i="2"/>
  <c r="EN37" i="2"/>
  <c r="EO37" i="2"/>
  <c r="EQ37" i="2"/>
  <c r="ER37" i="2"/>
  <c r="ET37" i="2"/>
  <c r="EU37" i="2"/>
  <c r="FB37" i="2"/>
  <c r="EH38" i="2"/>
  <c r="EI38" i="2"/>
  <c r="EK38" i="2"/>
  <c r="EL38" i="2"/>
  <c r="EN38" i="2"/>
  <c r="EO38" i="2"/>
  <c r="EQ38" i="2"/>
  <c r="ER38" i="2"/>
  <c r="ET38" i="2"/>
  <c r="EU38" i="2"/>
  <c r="FB38" i="2"/>
  <c r="EH39" i="2"/>
  <c r="EI39" i="2"/>
  <c r="EK39" i="2"/>
  <c r="EL39" i="2"/>
  <c r="EN39" i="2"/>
  <c r="EO39" i="2"/>
  <c r="EQ39" i="2"/>
  <c r="ER39" i="2"/>
  <c r="ET39" i="2"/>
  <c r="EU39" i="2"/>
  <c r="EZ39" i="2"/>
  <c r="FA39" i="2"/>
  <c r="EH40" i="2"/>
  <c r="EI40" i="2"/>
  <c r="EK40" i="2"/>
  <c r="EL40" i="2"/>
  <c r="EN40" i="2"/>
  <c r="EO40" i="2"/>
  <c r="EQ40" i="2"/>
  <c r="ER40" i="2"/>
  <c r="ET40" i="2"/>
  <c r="EU40" i="2"/>
  <c r="EZ40" i="2"/>
  <c r="FA40" i="2"/>
  <c r="EH41" i="2"/>
  <c r="EI41" i="2"/>
  <c r="EK41" i="2"/>
  <c r="EL41" i="2"/>
  <c r="EN41" i="2"/>
  <c r="EO41" i="2"/>
  <c r="EQ41" i="2"/>
  <c r="ER41" i="2"/>
  <c r="ET41" i="2"/>
  <c r="EU41" i="2"/>
  <c r="EZ41" i="2"/>
  <c r="FA41" i="2"/>
  <c r="EH42" i="2"/>
  <c r="EI42" i="2"/>
  <c r="EK42" i="2"/>
  <c r="EL42" i="2"/>
  <c r="EN42" i="2"/>
  <c r="EO42" i="2"/>
  <c r="EQ42" i="2"/>
  <c r="ER42" i="2"/>
  <c r="ET42" i="2"/>
  <c r="EU42" i="2"/>
  <c r="EV42" i="2" s="1"/>
  <c r="EZ42" i="2"/>
  <c r="FA42" i="2"/>
  <c r="EH43" i="2"/>
  <c r="EI43" i="2"/>
  <c r="EK43" i="2"/>
  <c r="EL43" i="2"/>
  <c r="EN43" i="2"/>
  <c r="EO43" i="2"/>
  <c r="EQ43" i="2"/>
  <c r="ER43" i="2"/>
  <c r="ET43" i="2"/>
  <c r="EU43" i="2"/>
  <c r="EZ43" i="2"/>
  <c r="FA43" i="2"/>
  <c r="EH44" i="2"/>
  <c r="EI44" i="2"/>
  <c r="EK44" i="2"/>
  <c r="EL44" i="2"/>
  <c r="EN44" i="2"/>
  <c r="EO44" i="2"/>
  <c r="EQ44" i="2"/>
  <c r="ER44" i="2"/>
  <c r="ET44" i="2"/>
  <c r="EU44" i="2"/>
  <c r="EZ44" i="2"/>
  <c r="FA44" i="2"/>
  <c r="EH45" i="2"/>
  <c r="EI45" i="2"/>
  <c r="EK45" i="2"/>
  <c r="EL45" i="2"/>
  <c r="EN45" i="2"/>
  <c r="EO45" i="2"/>
  <c r="EQ45" i="2"/>
  <c r="ER45" i="2"/>
  <c r="ET45" i="2"/>
  <c r="EU45" i="2"/>
  <c r="EZ45" i="2"/>
  <c r="FA45" i="2"/>
  <c r="EH52" i="2"/>
  <c r="EI52" i="2"/>
  <c r="EK52" i="2"/>
  <c r="EL52" i="2"/>
  <c r="EN52" i="2"/>
  <c r="EO52" i="2"/>
  <c r="EQ52" i="2"/>
  <c r="ER52" i="2"/>
  <c r="ET52" i="2"/>
  <c r="EU52" i="2"/>
  <c r="EZ52" i="2"/>
  <c r="FA52" i="2"/>
  <c r="EH53" i="2"/>
  <c r="EI53" i="2"/>
  <c r="EK53" i="2"/>
  <c r="EL53" i="2"/>
  <c r="EN53" i="2"/>
  <c r="EO53" i="2"/>
  <c r="EQ53" i="2"/>
  <c r="ER53" i="2"/>
  <c r="ET53" i="2"/>
  <c r="EU53" i="2"/>
  <c r="EZ53" i="2"/>
  <c r="FA53" i="2"/>
  <c r="EX41" i="2"/>
  <c r="EF41" i="2"/>
  <c r="EX44" i="2"/>
  <c r="EF44" i="2"/>
  <c r="EX45" i="2"/>
  <c r="EF45" i="2"/>
  <c r="EX31" i="2"/>
  <c r="EF31" i="2"/>
  <c r="EX30" i="2"/>
  <c r="EF30" i="2"/>
  <c r="EX28" i="2"/>
  <c r="EF28" i="2"/>
  <c r="EX29" i="2"/>
  <c r="EF29" i="2"/>
  <c r="EX39" i="2"/>
  <c r="EF39" i="2"/>
  <c r="EX23" i="2"/>
  <c r="EF23" i="2"/>
  <c r="EX21" i="2"/>
  <c r="EF21" i="2"/>
  <c r="EX22" i="2"/>
  <c r="EF22" i="2"/>
  <c r="EX40" i="2"/>
  <c r="EF40" i="2"/>
  <c r="EX25" i="2"/>
  <c r="EF25" i="2"/>
  <c r="EX26" i="2"/>
  <c r="EF26" i="2"/>
  <c r="EX32" i="2"/>
  <c r="EF32" i="2"/>
  <c r="EX24" i="2"/>
  <c r="EF24" i="2"/>
  <c r="EX33" i="2"/>
  <c r="EF33" i="2"/>
  <c r="EF35" i="2"/>
  <c r="EF36" i="2"/>
  <c r="EF37" i="2"/>
  <c r="EF38" i="2"/>
  <c r="EX34" i="2"/>
  <c r="EX42" i="2"/>
  <c r="EF42" i="2"/>
  <c r="EX27" i="2"/>
  <c r="EF27" i="2"/>
  <c r="EX43" i="2"/>
  <c r="EF43" i="2"/>
  <c r="EX17" i="2"/>
  <c r="EF17" i="2"/>
  <c r="EX18" i="2"/>
  <c r="EF18" i="2"/>
  <c r="EX12" i="2"/>
  <c r="EF12" i="2"/>
  <c r="EX13" i="2"/>
  <c r="EF13" i="2"/>
  <c r="EX4" i="2"/>
  <c r="EF4" i="2"/>
  <c r="EX5" i="2"/>
  <c r="EF5" i="2"/>
  <c r="EX6" i="2"/>
  <c r="EF6" i="2"/>
  <c r="EX8" i="2"/>
  <c r="EF8" i="2"/>
  <c r="EX14" i="2"/>
  <c r="EF14" i="2"/>
  <c r="EX15" i="2"/>
  <c r="EF15" i="2"/>
  <c r="EF11" i="2"/>
  <c r="EX9" i="2"/>
  <c r="EF9" i="2"/>
  <c r="EX10" i="2"/>
  <c r="EF10" i="2"/>
  <c r="EX16" i="2"/>
  <c r="EF16" i="2"/>
  <c r="EX7" i="2"/>
  <c r="EF7" i="2"/>
  <c r="EX52" i="2"/>
  <c r="EF52" i="2"/>
  <c r="EX53" i="2"/>
  <c r="EF53" i="2"/>
  <c r="FB33" i="2" l="1"/>
  <c r="EV33" i="2"/>
  <c r="ES33" i="2"/>
  <c r="EV21" i="2"/>
  <c r="EV14" i="2"/>
  <c r="EJ33" i="2"/>
  <c r="EV38" i="2"/>
  <c r="EV37" i="2"/>
  <c r="EV13" i="2"/>
  <c r="EV9" i="2"/>
  <c r="EP53" i="2"/>
  <c r="FB5" i="2"/>
  <c r="FB12" i="2"/>
  <c r="EM12" i="2"/>
  <c r="EV45" i="2"/>
  <c r="EV8" i="2"/>
  <c r="ES10" i="2"/>
  <c r="EZ54" i="2"/>
  <c r="EM5" i="2"/>
  <c r="ES26" i="2"/>
  <c r="FB30" i="2"/>
  <c r="ES8" i="2"/>
  <c r="EV29" i="2"/>
  <c r="EJ29" i="2"/>
  <c r="EM31" i="2"/>
  <c r="EM29" i="2"/>
  <c r="EP28" i="2"/>
  <c r="ES27" i="2"/>
  <c r="EM28" i="2"/>
  <c r="ES15" i="2"/>
  <c r="EJ10" i="2"/>
  <c r="EJ8" i="2"/>
  <c r="EI54" i="2"/>
  <c r="EP44" i="2"/>
  <c r="FE29" i="2"/>
  <c r="ER54" i="2"/>
  <c r="EM21" i="2"/>
  <c r="EV23" i="2"/>
  <c r="EP15" i="2"/>
  <c r="EM18" i="2"/>
  <c r="EP17" i="2"/>
  <c r="ES16" i="2"/>
  <c r="EJ23" i="2"/>
  <c r="FB4" i="2"/>
  <c r="EJ41" i="2"/>
  <c r="EM40" i="2"/>
  <c r="EP37" i="2"/>
  <c r="EJ24" i="2"/>
  <c r="ES12" i="2"/>
  <c r="ES4" i="2"/>
  <c r="ES14" i="2"/>
  <c r="EM44" i="2"/>
  <c r="EJ38" i="2"/>
  <c r="EM13" i="2"/>
  <c r="EJ44" i="2"/>
  <c r="EP42" i="2"/>
  <c r="ES41" i="2"/>
  <c r="EP26" i="2"/>
  <c r="EV7" i="2"/>
  <c r="FB34" i="2"/>
  <c r="EM53" i="2"/>
  <c r="FB32" i="2"/>
  <c r="EP23" i="2"/>
  <c r="FB18" i="2"/>
  <c r="EM9" i="2"/>
  <c r="EM8" i="2"/>
  <c r="ES25" i="2"/>
  <c r="EM32" i="2"/>
  <c r="EJ27" i="2"/>
  <c r="EP40" i="2"/>
  <c r="EJ18" i="2"/>
  <c r="FA54" i="2"/>
  <c r="EM10" i="2"/>
  <c r="FE31" i="2"/>
  <c r="EM39" i="2"/>
  <c r="EJ45" i="2"/>
  <c r="FB39" i="2"/>
  <c r="EJ36" i="2"/>
  <c r="ET19" i="2"/>
  <c r="ES45" i="2"/>
  <c r="EV44" i="2"/>
  <c r="EV39" i="2"/>
  <c r="EF34" i="2"/>
  <c r="EK54" i="2"/>
  <c r="EM52" i="2"/>
  <c r="EJ42" i="2"/>
  <c r="ES39" i="2"/>
  <c r="EJ5" i="2"/>
  <c r="EV43" i="2"/>
  <c r="EP30" i="2"/>
  <c r="EM17" i="2"/>
  <c r="FD13" i="2"/>
  <c r="EM4" i="2"/>
  <c r="ET54" i="2"/>
  <c r="EV18" i="2"/>
  <c r="EJ16" i="2"/>
  <c r="EM15" i="2"/>
  <c r="FB40" i="2"/>
  <c r="EM38" i="2"/>
  <c r="EP36" i="2"/>
  <c r="EP35" i="2"/>
  <c r="FB27" i="2"/>
  <c r="FE14" i="2"/>
  <c r="FA19" i="2"/>
  <c r="ES52" i="2"/>
  <c r="FB44" i="2"/>
  <c r="EM43" i="2"/>
  <c r="FB31" i="2"/>
  <c r="FB26" i="2"/>
  <c r="EO54" i="2"/>
  <c r="EV40" i="2"/>
  <c r="EV32" i="2"/>
  <c r="EP29" i="2"/>
  <c r="EM24" i="2"/>
  <c r="EM42" i="2"/>
  <c r="EP41" i="2"/>
  <c r="ES40" i="2"/>
  <c r="EM16" i="2"/>
  <c r="FE36" i="2"/>
  <c r="FB17" i="2"/>
  <c r="EJ9" i="2"/>
  <c r="EV24" i="2"/>
  <c r="FB52" i="2"/>
  <c r="ES18" i="2"/>
  <c r="EJ15" i="2"/>
  <c r="EP45" i="2"/>
  <c r="FD37" i="2"/>
  <c r="FD36" i="2"/>
  <c r="ES29" i="2"/>
  <c r="EM26" i="2"/>
  <c r="ES24" i="2"/>
  <c r="FD16" i="2"/>
  <c r="EJ26" i="2"/>
  <c r="FB21" i="2"/>
  <c r="EV16" i="2"/>
  <c r="FB15" i="2"/>
  <c r="EH19" i="2"/>
  <c r="EP8" i="2"/>
  <c r="FD11" i="2"/>
  <c r="FF11" i="2" s="1"/>
  <c r="EV52" i="2"/>
  <c r="EP32" i="2"/>
  <c r="FD30" i="2"/>
  <c r="FD9" i="2"/>
  <c r="EV41" i="2"/>
  <c r="EP27" i="2"/>
  <c r="EP22" i="2"/>
  <c r="EJ7" i="2"/>
  <c r="EN54" i="2"/>
  <c r="EP31" i="2"/>
  <c r="FB13" i="2"/>
  <c r="FB7" i="2"/>
  <c r="ES5" i="2"/>
  <c r="FD52" i="2"/>
  <c r="FD44" i="2"/>
  <c r="FB43" i="2"/>
  <c r="ES42" i="2"/>
  <c r="EQ34" i="2"/>
  <c r="FD35" i="2"/>
  <c r="EP33" i="2"/>
  <c r="FD26" i="2"/>
  <c r="FB25" i="2"/>
  <c r="EJ25" i="2"/>
  <c r="EP18" i="2"/>
  <c r="EJ14" i="2"/>
  <c r="EP13" i="2"/>
  <c r="EP10" i="2"/>
  <c r="FB8" i="2"/>
  <c r="FD6" i="2"/>
  <c r="EM45" i="2"/>
  <c r="ES44" i="2"/>
  <c r="FD43" i="2"/>
  <c r="EJ43" i="2"/>
  <c r="EM37" i="2"/>
  <c r="FD33" i="2"/>
  <c r="EV28" i="2"/>
  <c r="EM27" i="2"/>
  <c r="EP24" i="2"/>
  <c r="EM22" i="2"/>
  <c r="ES21" i="2"/>
  <c r="FB16" i="2"/>
  <c r="FD12" i="2"/>
  <c r="FD8" i="2"/>
  <c r="EK19" i="2"/>
  <c r="EQ19" i="2"/>
  <c r="EZ19" i="2"/>
  <c r="FD45" i="2"/>
  <c r="EN34" i="2"/>
  <c r="EN50" i="2" s="1"/>
  <c r="ES32" i="2"/>
  <c r="ES28" i="2"/>
  <c r="FD18" i="2"/>
  <c r="ES9" i="2"/>
  <c r="FD7" i="2"/>
  <c r="FD38" i="2"/>
  <c r="EM36" i="2"/>
  <c r="EV25" i="2"/>
  <c r="FB24" i="2"/>
  <c r="ES23" i="2"/>
  <c r="EJ13" i="2"/>
  <c r="EP12" i="2"/>
  <c r="FB10" i="2"/>
  <c r="EN19" i="2"/>
  <c r="FB42" i="2"/>
  <c r="ES38" i="2"/>
  <c r="FD24" i="2"/>
  <c r="FD14" i="2"/>
  <c r="FD10" i="2"/>
  <c r="FD42" i="2"/>
  <c r="EK34" i="2"/>
  <c r="EK50" i="2" s="1"/>
  <c r="FD5" i="2"/>
  <c r="FD53" i="2"/>
  <c r="EH54" i="2"/>
  <c r="EP38" i="2"/>
  <c r="EJ35" i="2"/>
  <c r="EM30" i="2"/>
  <c r="FD27" i="2"/>
  <c r="FD15" i="2"/>
  <c r="FD4" i="2"/>
  <c r="EH34" i="2"/>
  <c r="EH50" i="2" s="1"/>
  <c r="FD31" i="2"/>
  <c r="FD21" i="2"/>
  <c r="EJ21" i="2"/>
  <c r="EP14" i="2"/>
  <c r="EJ12" i="2"/>
  <c r="ES7" i="2"/>
  <c r="EM41" i="2"/>
  <c r="FD39" i="2"/>
  <c r="EJ39" i="2"/>
  <c r="ES37" i="2"/>
  <c r="FD32" i="2"/>
  <c r="ES31" i="2"/>
  <c r="EJ30" i="2"/>
  <c r="FB28" i="2"/>
  <c r="EJ28" i="2"/>
  <c r="FB23" i="2"/>
  <c r="EM23" i="2"/>
  <c r="EJ52" i="2"/>
  <c r="FB41" i="2"/>
  <c r="FD41" i="2"/>
  <c r="EJ32" i="2"/>
  <c r="FD28" i="2"/>
  <c r="EM25" i="2"/>
  <c r="EM14" i="2"/>
  <c r="ES13" i="2"/>
  <c r="EP7" i="2"/>
  <c r="FB53" i="2"/>
  <c r="FE45" i="2"/>
  <c r="EL34" i="2"/>
  <c r="EL50" i="2" s="1"/>
  <c r="FE41" i="2"/>
  <c r="FE33" i="2"/>
  <c r="FE30" i="2"/>
  <c r="FE26" i="2"/>
  <c r="FB14" i="2"/>
  <c r="EP52" i="2"/>
  <c r="EV22" i="2"/>
  <c r="FE9" i="2"/>
  <c r="EU54" i="2"/>
  <c r="EJ31" i="2"/>
  <c r="ES30" i="2"/>
  <c r="FB29" i="2"/>
  <c r="FE27" i="2"/>
  <c r="FE44" i="2"/>
  <c r="FE42" i="2"/>
  <c r="ES17" i="2"/>
  <c r="FE5" i="2"/>
  <c r="ES53" i="2"/>
  <c r="FE52" i="2"/>
  <c r="ES43" i="2"/>
  <c r="FE38" i="2"/>
  <c r="ER34" i="2"/>
  <c r="ER50" i="2" s="1"/>
  <c r="FE10" i="2"/>
  <c r="FE8" i="2"/>
  <c r="EI19" i="2"/>
  <c r="EP43" i="2"/>
  <c r="EJ40" i="2"/>
  <c r="EP39" i="2"/>
  <c r="EJ37" i="2"/>
  <c r="EL19" i="2"/>
  <c r="EJ17" i="2"/>
  <c r="EP16" i="2"/>
  <c r="EL54" i="2"/>
  <c r="EU19" i="2"/>
  <c r="FE35" i="2"/>
  <c r="FE6" i="2"/>
  <c r="FF6" i="2" s="1"/>
  <c r="FB45" i="2"/>
  <c r="FE37" i="2"/>
  <c r="EM35" i="2"/>
  <c r="FB22" i="2"/>
  <c r="EJ22" i="2"/>
  <c r="EP21" i="2"/>
  <c r="FE12" i="2"/>
  <c r="FE4" i="2"/>
  <c r="EU34" i="2"/>
  <c r="EI34" i="2"/>
  <c r="EV31" i="2"/>
  <c r="FD25" i="2"/>
  <c r="EP25" i="2"/>
  <c r="FE24" i="2"/>
  <c r="ES22" i="2"/>
  <c r="FB9" i="2"/>
  <c r="EM7" i="2"/>
  <c r="FE43" i="2"/>
  <c r="FE25" i="2"/>
  <c r="FE53" i="2"/>
  <c r="EQ54" i="2"/>
  <c r="EV36" i="2"/>
  <c r="ES35" i="2"/>
  <c r="ET34" i="2"/>
  <c r="ET50" i="2" s="1"/>
  <c r="EV30" i="2"/>
  <c r="FE23" i="2"/>
  <c r="ER19" i="2"/>
  <c r="FE18" i="2"/>
  <c r="FD23" i="2"/>
  <c r="FE22" i="2"/>
  <c r="FE17" i="2"/>
  <c r="FD40" i="2"/>
  <c r="FE39" i="2"/>
  <c r="FD22" i="2"/>
  <c r="FE21" i="2"/>
  <c r="FD17" i="2"/>
  <c r="FE16" i="2"/>
  <c r="EZ50" i="2"/>
  <c r="ES36" i="2"/>
  <c r="FE32" i="2"/>
  <c r="EV27" i="2"/>
  <c r="EO19" i="2"/>
  <c r="FE15" i="2"/>
  <c r="FE40" i="2"/>
  <c r="EV26" i="2"/>
  <c r="EV5" i="2"/>
  <c r="FA50" i="2"/>
  <c r="EV53" i="2"/>
  <c r="EJ53" i="2"/>
  <c r="EO34" i="2"/>
  <c r="FE13" i="2"/>
  <c r="EV4" i="2"/>
  <c r="EJ4" i="2"/>
  <c r="FD29" i="2"/>
  <c r="FE28" i="2"/>
  <c r="FE7" i="2"/>
  <c r="CE59" i="2"/>
  <c r="E11" i="2"/>
  <c r="EB11" i="2"/>
  <c r="DE11" i="2"/>
  <c r="CE11" i="2"/>
  <c r="DX53" i="2"/>
  <c r="DV53" i="2"/>
  <c r="DU53" i="2"/>
  <c r="DS53" i="2"/>
  <c r="DR53" i="2"/>
  <c r="DP53" i="2"/>
  <c r="DO53" i="2"/>
  <c r="DM53" i="2"/>
  <c r="DL53" i="2"/>
  <c r="DJ53" i="2"/>
  <c r="DI53" i="2"/>
  <c r="DX52" i="2"/>
  <c r="DV52" i="2"/>
  <c r="DU52" i="2"/>
  <c r="DS52" i="2"/>
  <c r="DR52" i="2"/>
  <c r="DP52" i="2"/>
  <c r="DO52" i="2"/>
  <c r="DM52" i="2"/>
  <c r="DL52" i="2"/>
  <c r="DJ52" i="2"/>
  <c r="DI52" i="2"/>
  <c r="DY45" i="2"/>
  <c r="DX45" i="2"/>
  <c r="DV45" i="2"/>
  <c r="DU45" i="2"/>
  <c r="DS45" i="2"/>
  <c r="DR45" i="2"/>
  <c r="DP45" i="2"/>
  <c r="DO45" i="2"/>
  <c r="DM45" i="2"/>
  <c r="DL45" i="2"/>
  <c r="DJ45" i="2"/>
  <c r="DI45" i="2"/>
  <c r="DY44" i="2"/>
  <c r="DX44" i="2"/>
  <c r="DV44" i="2"/>
  <c r="DU44" i="2"/>
  <c r="DS44" i="2"/>
  <c r="DR44" i="2"/>
  <c r="DP44" i="2"/>
  <c r="DO44" i="2"/>
  <c r="DM44" i="2"/>
  <c r="DL44" i="2"/>
  <c r="DJ44" i="2"/>
  <c r="DI44" i="2"/>
  <c r="DY43" i="2"/>
  <c r="DX43" i="2"/>
  <c r="DV43" i="2"/>
  <c r="DU43" i="2"/>
  <c r="DS43" i="2"/>
  <c r="DR43" i="2"/>
  <c r="DP43" i="2"/>
  <c r="DO43" i="2"/>
  <c r="DM43" i="2"/>
  <c r="DL43" i="2"/>
  <c r="DJ43" i="2"/>
  <c r="DI43" i="2"/>
  <c r="DY42" i="2"/>
  <c r="DX42" i="2"/>
  <c r="DV42" i="2"/>
  <c r="DU42" i="2"/>
  <c r="DS42" i="2"/>
  <c r="DR42" i="2"/>
  <c r="DP42" i="2"/>
  <c r="DO42" i="2"/>
  <c r="DM42" i="2"/>
  <c r="DL42" i="2"/>
  <c r="DJ42" i="2"/>
  <c r="DI42" i="2"/>
  <c r="DY41" i="2"/>
  <c r="DX41" i="2"/>
  <c r="DV41" i="2"/>
  <c r="DU41" i="2"/>
  <c r="DS41" i="2"/>
  <c r="DR41" i="2"/>
  <c r="DP41" i="2"/>
  <c r="DO41" i="2"/>
  <c r="DM41" i="2"/>
  <c r="DL41" i="2"/>
  <c r="DJ41" i="2"/>
  <c r="DI41" i="2"/>
  <c r="DY40" i="2"/>
  <c r="DX40" i="2"/>
  <c r="DV40" i="2"/>
  <c r="DU40" i="2"/>
  <c r="DS40" i="2"/>
  <c r="DR40" i="2"/>
  <c r="DP40" i="2"/>
  <c r="DO40" i="2"/>
  <c r="DM40" i="2"/>
  <c r="DL40" i="2"/>
  <c r="DJ40" i="2"/>
  <c r="DI40" i="2"/>
  <c r="DY39" i="2"/>
  <c r="DZ39" i="2" s="1"/>
  <c r="DX39" i="2"/>
  <c r="DV39" i="2"/>
  <c r="DU39" i="2"/>
  <c r="DS39" i="2"/>
  <c r="DR39" i="2"/>
  <c r="DP39" i="2"/>
  <c r="DO39" i="2"/>
  <c r="DM39" i="2"/>
  <c r="DL39" i="2"/>
  <c r="DJ39" i="2"/>
  <c r="DI39" i="2"/>
  <c r="DV38" i="2"/>
  <c r="DU38" i="2"/>
  <c r="DS38" i="2"/>
  <c r="DR38" i="2"/>
  <c r="DP38" i="2"/>
  <c r="DO38" i="2"/>
  <c r="DM38" i="2"/>
  <c r="DL38" i="2"/>
  <c r="DJ38" i="2"/>
  <c r="DI38" i="2"/>
  <c r="DV37" i="2"/>
  <c r="DU37" i="2"/>
  <c r="DS37" i="2"/>
  <c r="DR37" i="2"/>
  <c r="DP37" i="2"/>
  <c r="DO37" i="2"/>
  <c r="DM37" i="2"/>
  <c r="DL37" i="2"/>
  <c r="DJ37" i="2"/>
  <c r="DI37" i="2"/>
  <c r="DV36" i="2"/>
  <c r="DW36" i="2" s="1"/>
  <c r="DU36" i="2"/>
  <c r="DS36" i="2"/>
  <c r="DR36" i="2"/>
  <c r="DP36" i="2"/>
  <c r="DO36" i="2"/>
  <c r="DM36" i="2"/>
  <c r="DL36" i="2"/>
  <c r="DJ36" i="2"/>
  <c r="DI36" i="2"/>
  <c r="DV35" i="2"/>
  <c r="DU35" i="2"/>
  <c r="DS35" i="2"/>
  <c r="DR35" i="2"/>
  <c r="DP35" i="2"/>
  <c r="DO35" i="2"/>
  <c r="DM35" i="2"/>
  <c r="DL35" i="2"/>
  <c r="DJ35" i="2"/>
  <c r="DI35" i="2"/>
  <c r="DY34" i="2"/>
  <c r="DX34" i="2"/>
  <c r="DY33" i="2"/>
  <c r="DZ33" i="2" s="1"/>
  <c r="DX33" i="2"/>
  <c r="DV33" i="2"/>
  <c r="DW33" i="2" s="1"/>
  <c r="DU33" i="2"/>
  <c r="DS33" i="2"/>
  <c r="DR33" i="2"/>
  <c r="DP33" i="2"/>
  <c r="DO33" i="2"/>
  <c r="DM33" i="2"/>
  <c r="DN33" i="2" s="1"/>
  <c r="DL33" i="2"/>
  <c r="DJ33" i="2"/>
  <c r="DI33" i="2"/>
  <c r="DY32" i="2"/>
  <c r="DX32" i="2"/>
  <c r="DV32" i="2"/>
  <c r="DU32" i="2"/>
  <c r="DS32" i="2"/>
  <c r="DR32" i="2"/>
  <c r="DP32" i="2"/>
  <c r="DO32" i="2"/>
  <c r="DM32" i="2"/>
  <c r="DL32" i="2"/>
  <c r="DJ32" i="2"/>
  <c r="DI32" i="2"/>
  <c r="DY31" i="2"/>
  <c r="DZ31" i="2" s="1"/>
  <c r="DX31" i="2"/>
  <c r="DV31" i="2"/>
  <c r="DU31" i="2"/>
  <c r="DS31" i="2"/>
  <c r="DR31" i="2"/>
  <c r="DP31" i="2"/>
  <c r="DO31" i="2"/>
  <c r="DM31" i="2"/>
  <c r="DL31" i="2"/>
  <c r="DJ31" i="2"/>
  <c r="DI31" i="2"/>
  <c r="DY30" i="2"/>
  <c r="DX30" i="2"/>
  <c r="DV30" i="2"/>
  <c r="DU30" i="2"/>
  <c r="DS30" i="2"/>
  <c r="DR30" i="2"/>
  <c r="DP30" i="2"/>
  <c r="DO30" i="2"/>
  <c r="DM30" i="2"/>
  <c r="DL30" i="2"/>
  <c r="DJ30" i="2"/>
  <c r="DI30" i="2"/>
  <c r="DY29" i="2"/>
  <c r="DX29" i="2"/>
  <c r="DV29" i="2"/>
  <c r="DU29" i="2"/>
  <c r="DS29" i="2"/>
  <c r="DR29" i="2"/>
  <c r="DP29" i="2"/>
  <c r="DO29" i="2"/>
  <c r="DM29" i="2"/>
  <c r="DL29" i="2"/>
  <c r="DJ29" i="2"/>
  <c r="DI29" i="2"/>
  <c r="DY28" i="2"/>
  <c r="DX28" i="2"/>
  <c r="DV28" i="2"/>
  <c r="DU28" i="2"/>
  <c r="DS28" i="2"/>
  <c r="DR28" i="2"/>
  <c r="DP28" i="2"/>
  <c r="DO28" i="2"/>
  <c r="DM28" i="2"/>
  <c r="DL28" i="2"/>
  <c r="DJ28" i="2"/>
  <c r="DI28" i="2"/>
  <c r="DY27" i="2"/>
  <c r="DX27" i="2"/>
  <c r="DV27" i="2"/>
  <c r="DU27" i="2"/>
  <c r="DS27" i="2"/>
  <c r="DR27" i="2"/>
  <c r="DP27" i="2"/>
  <c r="DO27" i="2"/>
  <c r="DM27" i="2"/>
  <c r="DL27" i="2"/>
  <c r="DJ27" i="2"/>
  <c r="DI27" i="2"/>
  <c r="DY26" i="2"/>
  <c r="DZ26" i="2" s="1"/>
  <c r="DX26" i="2"/>
  <c r="DV26" i="2"/>
  <c r="DU26" i="2"/>
  <c r="DS26" i="2"/>
  <c r="DR26" i="2"/>
  <c r="DP26" i="2"/>
  <c r="DO26" i="2"/>
  <c r="DM26" i="2"/>
  <c r="DL26" i="2"/>
  <c r="DJ26" i="2"/>
  <c r="DI26" i="2"/>
  <c r="DY25" i="2"/>
  <c r="DX25" i="2"/>
  <c r="DV25" i="2"/>
  <c r="DU25" i="2"/>
  <c r="DS25" i="2"/>
  <c r="DR25" i="2"/>
  <c r="DP25" i="2"/>
  <c r="DO25" i="2"/>
  <c r="DM25" i="2"/>
  <c r="DL25" i="2"/>
  <c r="DJ25" i="2"/>
  <c r="DI25" i="2"/>
  <c r="DY24" i="2"/>
  <c r="DX24" i="2"/>
  <c r="DV24" i="2"/>
  <c r="DU24" i="2"/>
  <c r="DS24" i="2"/>
  <c r="DR24" i="2"/>
  <c r="DP24" i="2"/>
  <c r="DO24" i="2"/>
  <c r="DM24" i="2"/>
  <c r="DL24" i="2"/>
  <c r="DJ24" i="2"/>
  <c r="DI24" i="2"/>
  <c r="DY23" i="2"/>
  <c r="DZ23" i="2" s="1"/>
  <c r="DX23" i="2"/>
  <c r="DV23" i="2"/>
  <c r="DU23" i="2"/>
  <c r="DS23" i="2"/>
  <c r="DR23" i="2"/>
  <c r="DP23" i="2"/>
  <c r="DO23" i="2"/>
  <c r="DM23" i="2"/>
  <c r="DL23" i="2"/>
  <c r="DJ23" i="2"/>
  <c r="DI23" i="2"/>
  <c r="DY22" i="2"/>
  <c r="DX22" i="2"/>
  <c r="DV22" i="2"/>
  <c r="DU22" i="2"/>
  <c r="DS22" i="2"/>
  <c r="DR22" i="2"/>
  <c r="DP22" i="2"/>
  <c r="DO22" i="2"/>
  <c r="DM22" i="2"/>
  <c r="DL22" i="2"/>
  <c r="DJ22" i="2"/>
  <c r="DI22" i="2"/>
  <c r="DY21" i="2"/>
  <c r="DX21" i="2"/>
  <c r="DV21" i="2"/>
  <c r="DW21" i="2" s="1"/>
  <c r="DU21" i="2"/>
  <c r="DS21" i="2"/>
  <c r="DR21" i="2"/>
  <c r="DP21" i="2"/>
  <c r="DO21" i="2"/>
  <c r="DM21" i="2"/>
  <c r="DL21" i="2"/>
  <c r="DJ21" i="2"/>
  <c r="DI21" i="2"/>
  <c r="DY18" i="2"/>
  <c r="DX18" i="2"/>
  <c r="DV18" i="2"/>
  <c r="DU18" i="2"/>
  <c r="DS18" i="2"/>
  <c r="DR18" i="2"/>
  <c r="DP18" i="2"/>
  <c r="DO18" i="2"/>
  <c r="DM18" i="2"/>
  <c r="DL18" i="2"/>
  <c r="DJ18" i="2"/>
  <c r="DI18" i="2"/>
  <c r="DY17" i="2"/>
  <c r="DX17" i="2"/>
  <c r="DV17" i="2"/>
  <c r="DW17" i="2" s="1"/>
  <c r="DU17" i="2"/>
  <c r="DS17" i="2"/>
  <c r="DR17" i="2"/>
  <c r="DP17" i="2"/>
  <c r="DO17" i="2"/>
  <c r="DM17" i="2"/>
  <c r="DL17" i="2"/>
  <c r="DJ17" i="2"/>
  <c r="DI17" i="2"/>
  <c r="DY16" i="2"/>
  <c r="DX16" i="2"/>
  <c r="DV16" i="2"/>
  <c r="DU16" i="2"/>
  <c r="DS16" i="2"/>
  <c r="DR16" i="2"/>
  <c r="DP16" i="2"/>
  <c r="DO16" i="2"/>
  <c r="DM16" i="2"/>
  <c r="DL16" i="2"/>
  <c r="DJ16" i="2"/>
  <c r="DI16" i="2"/>
  <c r="DY15" i="2"/>
  <c r="DZ15" i="2" s="1"/>
  <c r="DX15" i="2"/>
  <c r="DV15" i="2"/>
  <c r="DU15" i="2"/>
  <c r="DS15" i="2"/>
  <c r="DR15" i="2"/>
  <c r="DP15" i="2"/>
  <c r="DO15" i="2"/>
  <c r="DM15" i="2"/>
  <c r="DL15" i="2"/>
  <c r="DJ15" i="2"/>
  <c r="DI15" i="2"/>
  <c r="DY14" i="2"/>
  <c r="DX14" i="2"/>
  <c r="DV14" i="2"/>
  <c r="DU14" i="2"/>
  <c r="DS14" i="2"/>
  <c r="DR14" i="2"/>
  <c r="DP14" i="2"/>
  <c r="DO14" i="2"/>
  <c r="DM14" i="2"/>
  <c r="DL14" i="2"/>
  <c r="DJ14" i="2"/>
  <c r="DI14" i="2"/>
  <c r="DY13" i="2"/>
  <c r="DX13" i="2"/>
  <c r="DV13" i="2"/>
  <c r="DW13" i="2" s="1"/>
  <c r="DU13" i="2"/>
  <c r="DS13" i="2"/>
  <c r="DR13" i="2"/>
  <c r="DP13" i="2"/>
  <c r="DO13" i="2"/>
  <c r="DM13" i="2"/>
  <c r="DL13" i="2"/>
  <c r="DJ13" i="2"/>
  <c r="DI13" i="2"/>
  <c r="DY12" i="2"/>
  <c r="DZ12" i="2" s="1"/>
  <c r="DX12" i="2"/>
  <c r="DV12" i="2"/>
  <c r="DW12" i="2" s="1"/>
  <c r="DU12" i="2"/>
  <c r="DS12" i="2"/>
  <c r="DR12" i="2"/>
  <c r="DP12" i="2"/>
  <c r="DQ12" i="2" s="1"/>
  <c r="DO12" i="2"/>
  <c r="DM12" i="2"/>
  <c r="DL12" i="2"/>
  <c r="DJ12" i="2"/>
  <c r="DI12" i="2"/>
  <c r="DX11" i="2"/>
  <c r="DZ11" i="2" s="1"/>
  <c r="DU11" i="2"/>
  <c r="DR11" i="2"/>
  <c r="DT11" i="2" s="1"/>
  <c r="DO11" i="2"/>
  <c r="DQ11" i="2" s="1"/>
  <c r="DL11" i="2"/>
  <c r="DI11" i="2"/>
  <c r="DK11" i="2" s="1"/>
  <c r="DY10" i="2"/>
  <c r="DX10" i="2"/>
  <c r="DV10" i="2"/>
  <c r="DW10" i="2" s="1"/>
  <c r="DU10" i="2"/>
  <c r="DS10" i="2"/>
  <c r="DR10" i="2"/>
  <c r="DP10" i="2"/>
  <c r="DO10" i="2"/>
  <c r="DM10" i="2"/>
  <c r="DL10" i="2"/>
  <c r="DJ10" i="2"/>
  <c r="DI10" i="2"/>
  <c r="DY9" i="2"/>
  <c r="DX9" i="2"/>
  <c r="DV9" i="2"/>
  <c r="DW9" i="2" s="1"/>
  <c r="DU9" i="2"/>
  <c r="DS9" i="2"/>
  <c r="DR9" i="2"/>
  <c r="DP9" i="2"/>
  <c r="DQ9" i="2" s="1"/>
  <c r="DO9" i="2"/>
  <c r="DM9" i="2"/>
  <c r="DL9" i="2"/>
  <c r="DJ9" i="2"/>
  <c r="DI9" i="2"/>
  <c r="DY8" i="2"/>
  <c r="DX8" i="2"/>
  <c r="DV8" i="2"/>
  <c r="DU8" i="2"/>
  <c r="DS8" i="2"/>
  <c r="DR8" i="2"/>
  <c r="DP8" i="2"/>
  <c r="DO8" i="2"/>
  <c r="DM8" i="2"/>
  <c r="DL8" i="2"/>
  <c r="DJ8" i="2"/>
  <c r="DI8" i="2"/>
  <c r="DY7" i="2"/>
  <c r="DX7" i="2"/>
  <c r="DV7" i="2"/>
  <c r="DU7" i="2"/>
  <c r="DS7" i="2"/>
  <c r="DR7" i="2"/>
  <c r="DP7" i="2"/>
  <c r="DO7" i="2"/>
  <c r="DM7" i="2"/>
  <c r="DL7" i="2"/>
  <c r="DJ7" i="2"/>
  <c r="DI7" i="2"/>
  <c r="DY6" i="2"/>
  <c r="DX6" i="2"/>
  <c r="DV6" i="2"/>
  <c r="DW6" i="2" s="1"/>
  <c r="DU6" i="2"/>
  <c r="DS6" i="2"/>
  <c r="DT6" i="2" s="1"/>
  <c r="DR6" i="2"/>
  <c r="DP6" i="2"/>
  <c r="DQ6" i="2" s="1"/>
  <c r="DO6" i="2"/>
  <c r="DM6" i="2"/>
  <c r="DN6" i="2" s="1"/>
  <c r="DL6" i="2"/>
  <c r="DJ6" i="2"/>
  <c r="DI6" i="2"/>
  <c r="DY5" i="2"/>
  <c r="DX5" i="2"/>
  <c r="DV5" i="2"/>
  <c r="DU5" i="2"/>
  <c r="DS5" i="2"/>
  <c r="DR5" i="2"/>
  <c r="DP5" i="2"/>
  <c r="DQ5" i="2" s="1"/>
  <c r="DO5" i="2"/>
  <c r="DM5" i="2"/>
  <c r="DL5" i="2"/>
  <c r="DJ5" i="2"/>
  <c r="DI5" i="2"/>
  <c r="DY4" i="2"/>
  <c r="DX4" i="2"/>
  <c r="DV4" i="2"/>
  <c r="DU4" i="2"/>
  <c r="DS4" i="2"/>
  <c r="DR4" i="2"/>
  <c r="DP4" i="2"/>
  <c r="DQ4" i="2" s="1"/>
  <c r="DO4" i="2"/>
  <c r="DM4" i="2"/>
  <c r="DL4" i="2"/>
  <c r="DJ4" i="2"/>
  <c r="DI4" i="2"/>
  <c r="DY54" i="2"/>
  <c r="DZ54" i="2" s="1"/>
  <c r="DZ53" i="2"/>
  <c r="DZ52" i="2"/>
  <c r="DZ38" i="2"/>
  <c r="DZ37" i="2"/>
  <c r="DZ36" i="2"/>
  <c r="DZ35" i="2"/>
  <c r="DA53" i="2"/>
  <c r="CY53" i="2"/>
  <c r="CX53" i="2"/>
  <c r="CV53" i="2"/>
  <c r="CU53" i="2"/>
  <c r="CS53" i="2"/>
  <c r="CR53" i="2"/>
  <c r="CP53" i="2"/>
  <c r="CO53" i="2"/>
  <c r="CM53" i="2"/>
  <c r="CL53" i="2"/>
  <c r="DA52" i="2"/>
  <c r="CY52" i="2"/>
  <c r="CX52" i="2"/>
  <c r="CV52" i="2"/>
  <c r="CU52" i="2"/>
  <c r="CS52" i="2"/>
  <c r="CR52" i="2"/>
  <c r="CP52" i="2"/>
  <c r="CO52" i="2"/>
  <c r="CM52" i="2"/>
  <c r="CL52" i="2"/>
  <c r="DB45" i="2"/>
  <c r="DA45" i="2"/>
  <c r="CY45" i="2"/>
  <c r="CX45" i="2"/>
  <c r="CV45" i="2"/>
  <c r="CU45" i="2"/>
  <c r="CS45" i="2"/>
  <c r="CR45" i="2"/>
  <c r="CP45" i="2"/>
  <c r="CO45" i="2"/>
  <c r="CM45" i="2"/>
  <c r="CL45" i="2"/>
  <c r="DB44" i="2"/>
  <c r="DA44" i="2"/>
  <c r="CY44" i="2"/>
  <c r="CX44" i="2"/>
  <c r="CV44" i="2"/>
  <c r="CU44" i="2"/>
  <c r="CS44" i="2"/>
  <c r="CR44" i="2"/>
  <c r="CP44" i="2"/>
  <c r="CO44" i="2"/>
  <c r="CM44" i="2"/>
  <c r="CL44" i="2"/>
  <c r="DB43" i="2"/>
  <c r="DA43" i="2"/>
  <c r="CY43" i="2"/>
  <c r="CX43" i="2"/>
  <c r="CV43" i="2"/>
  <c r="CU43" i="2"/>
  <c r="CS43" i="2"/>
  <c r="CR43" i="2"/>
  <c r="CP43" i="2"/>
  <c r="CO43" i="2"/>
  <c r="CM43" i="2"/>
  <c r="CL43" i="2"/>
  <c r="DB42" i="2"/>
  <c r="DA42" i="2"/>
  <c r="CY42" i="2"/>
  <c r="CX42" i="2"/>
  <c r="CV42" i="2"/>
  <c r="CU42" i="2"/>
  <c r="CS42" i="2"/>
  <c r="CR42" i="2"/>
  <c r="CP42" i="2"/>
  <c r="CO42" i="2"/>
  <c r="CM42" i="2"/>
  <c r="CL42" i="2"/>
  <c r="DB41" i="2"/>
  <c r="DA41" i="2"/>
  <c r="CY41" i="2"/>
  <c r="CX41" i="2"/>
  <c r="CV41" i="2"/>
  <c r="CU41" i="2"/>
  <c r="CS41" i="2"/>
  <c r="CR41" i="2"/>
  <c r="CP41" i="2"/>
  <c r="CO41" i="2"/>
  <c r="CM41" i="2"/>
  <c r="CL41" i="2"/>
  <c r="DB40" i="2"/>
  <c r="DA40" i="2"/>
  <c r="CY40" i="2"/>
  <c r="CX40" i="2"/>
  <c r="CV40" i="2"/>
  <c r="CU40" i="2"/>
  <c r="CS40" i="2"/>
  <c r="CR40" i="2"/>
  <c r="CP40" i="2"/>
  <c r="CO40" i="2"/>
  <c r="CM40" i="2"/>
  <c r="CL40" i="2"/>
  <c r="DB39" i="2"/>
  <c r="DA39" i="2"/>
  <c r="CY39" i="2"/>
  <c r="CX39" i="2"/>
  <c r="CV39" i="2"/>
  <c r="CU39" i="2"/>
  <c r="CS39" i="2"/>
  <c r="CR39" i="2"/>
  <c r="CP39" i="2"/>
  <c r="CO39" i="2"/>
  <c r="CM39" i="2"/>
  <c r="CL39" i="2"/>
  <c r="CY38" i="2"/>
  <c r="CX38" i="2"/>
  <c r="CV38" i="2"/>
  <c r="CU38" i="2"/>
  <c r="CS38" i="2"/>
  <c r="CR38" i="2"/>
  <c r="CP38" i="2"/>
  <c r="CO38" i="2"/>
  <c r="CM38" i="2"/>
  <c r="CL38" i="2"/>
  <c r="CY37" i="2"/>
  <c r="CX37" i="2"/>
  <c r="CV37" i="2"/>
  <c r="CU37" i="2"/>
  <c r="CS37" i="2"/>
  <c r="CR37" i="2"/>
  <c r="CP37" i="2"/>
  <c r="CO37" i="2"/>
  <c r="CM37" i="2"/>
  <c r="CL37" i="2"/>
  <c r="CY36" i="2"/>
  <c r="CZ36" i="2" s="1"/>
  <c r="CX36" i="2"/>
  <c r="CV36" i="2"/>
  <c r="CU36" i="2"/>
  <c r="CS36" i="2"/>
  <c r="CR36" i="2"/>
  <c r="CP36" i="2"/>
  <c r="CO36" i="2"/>
  <c r="CM36" i="2"/>
  <c r="CL36" i="2"/>
  <c r="CY35" i="2"/>
  <c r="CX35" i="2"/>
  <c r="CV35" i="2"/>
  <c r="CU35" i="2"/>
  <c r="CS35" i="2"/>
  <c r="CR35" i="2"/>
  <c r="CP35" i="2"/>
  <c r="CO35" i="2"/>
  <c r="CM35" i="2"/>
  <c r="CL35" i="2"/>
  <c r="DB34" i="2"/>
  <c r="DA34" i="2"/>
  <c r="DB33" i="2"/>
  <c r="DC33" i="2" s="1"/>
  <c r="DA33" i="2"/>
  <c r="CY33" i="2"/>
  <c r="CX33" i="2"/>
  <c r="CV33" i="2"/>
  <c r="CU33" i="2"/>
  <c r="CS33" i="2"/>
  <c r="CR33" i="2"/>
  <c r="CP33" i="2"/>
  <c r="CO33" i="2"/>
  <c r="CM33" i="2"/>
  <c r="CL33" i="2"/>
  <c r="DB32" i="2"/>
  <c r="DA32" i="2"/>
  <c r="CY32" i="2"/>
  <c r="CX32" i="2"/>
  <c r="CV32" i="2"/>
  <c r="CU32" i="2"/>
  <c r="CS32" i="2"/>
  <c r="CR32" i="2"/>
  <c r="CP32" i="2"/>
  <c r="CO32" i="2"/>
  <c r="CM32" i="2"/>
  <c r="CL32" i="2"/>
  <c r="DB31" i="2"/>
  <c r="DA31" i="2"/>
  <c r="CY31" i="2"/>
  <c r="CX31" i="2"/>
  <c r="CV31" i="2"/>
  <c r="CU31" i="2"/>
  <c r="CS31" i="2"/>
  <c r="CR31" i="2"/>
  <c r="CP31" i="2"/>
  <c r="CO31" i="2"/>
  <c r="CM31" i="2"/>
  <c r="CL31" i="2"/>
  <c r="DB30" i="2"/>
  <c r="DA30" i="2"/>
  <c r="CY30" i="2"/>
  <c r="CX30" i="2"/>
  <c r="CV30" i="2"/>
  <c r="CU30" i="2"/>
  <c r="CS30" i="2"/>
  <c r="CR30" i="2"/>
  <c r="CP30" i="2"/>
  <c r="CO30" i="2"/>
  <c r="CM30" i="2"/>
  <c r="CL30" i="2"/>
  <c r="DB29" i="2"/>
  <c r="DA29" i="2"/>
  <c r="CY29" i="2"/>
  <c r="CX29" i="2"/>
  <c r="CV29" i="2"/>
  <c r="CU29" i="2"/>
  <c r="CS29" i="2"/>
  <c r="CR29" i="2"/>
  <c r="CP29" i="2"/>
  <c r="CO29" i="2"/>
  <c r="CM29" i="2"/>
  <c r="CL29" i="2"/>
  <c r="DB28" i="2"/>
  <c r="DA28" i="2"/>
  <c r="CY28" i="2"/>
  <c r="CX28" i="2"/>
  <c r="CV28" i="2"/>
  <c r="CU28" i="2"/>
  <c r="CS28" i="2"/>
  <c r="CR28" i="2"/>
  <c r="CP28" i="2"/>
  <c r="CO28" i="2"/>
  <c r="CM28" i="2"/>
  <c r="CL28" i="2"/>
  <c r="DB27" i="2"/>
  <c r="DA27" i="2"/>
  <c r="CY27" i="2"/>
  <c r="CX27" i="2"/>
  <c r="CV27" i="2"/>
  <c r="CU27" i="2"/>
  <c r="CS27" i="2"/>
  <c r="CR27" i="2"/>
  <c r="CP27" i="2"/>
  <c r="CO27" i="2"/>
  <c r="CM27" i="2"/>
  <c r="CL27" i="2"/>
  <c r="DB26" i="2"/>
  <c r="DA26" i="2"/>
  <c r="CY26" i="2"/>
  <c r="CX26" i="2"/>
  <c r="CV26" i="2"/>
  <c r="CU26" i="2"/>
  <c r="CS26" i="2"/>
  <c r="CR26" i="2"/>
  <c r="CP26" i="2"/>
  <c r="CO26" i="2"/>
  <c r="CM26" i="2"/>
  <c r="CL26" i="2"/>
  <c r="DB25" i="2"/>
  <c r="DA25" i="2"/>
  <c r="CY25" i="2"/>
  <c r="CX25" i="2"/>
  <c r="CV25" i="2"/>
  <c r="CU25" i="2"/>
  <c r="CS25" i="2"/>
  <c r="CR25" i="2"/>
  <c r="CP25" i="2"/>
  <c r="CO25" i="2"/>
  <c r="CM25" i="2"/>
  <c r="CL25" i="2"/>
  <c r="DB24" i="2"/>
  <c r="DA24" i="2"/>
  <c r="CY24" i="2"/>
  <c r="CX24" i="2"/>
  <c r="CV24" i="2"/>
  <c r="CU24" i="2"/>
  <c r="CS24" i="2"/>
  <c r="CR24" i="2"/>
  <c r="CP24" i="2"/>
  <c r="CO24" i="2"/>
  <c r="CM24" i="2"/>
  <c r="CL24" i="2"/>
  <c r="DB23" i="2"/>
  <c r="DC23" i="2" s="1"/>
  <c r="DA23" i="2"/>
  <c r="CY23" i="2"/>
  <c r="CX23" i="2"/>
  <c r="CV23" i="2"/>
  <c r="CU23" i="2"/>
  <c r="CS23" i="2"/>
  <c r="CR23" i="2"/>
  <c r="CP23" i="2"/>
  <c r="CO23" i="2"/>
  <c r="CM23" i="2"/>
  <c r="CL23" i="2"/>
  <c r="DB22" i="2"/>
  <c r="DA22" i="2"/>
  <c r="CY22" i="2"/>
  <c r="CX22" i="2"/>
  <c r="CV22" i="2"/>
  <c r="CU22" i="2"/>
  <c r="CS22" i="2"/>
  <c r="CR22" i="2"/>
  <c r="CP22" i="2"/>
  <c r="CO22" i="2"/>
  <c r="CM22" i="2"/>
  <c r="CL22" i="2"/>
  <c r="DB21" i="2"/>
  <c r="DA21" i="2"/>
  <c r="CY21" i="2"/>
  <c r="CX21" i="2"/>
  <c r="CV21" i="2"/>
  <c r="CU21" i="2"/>
  <c r="CS21" i="2"/>
  <c r="CR21" i="2"/>
  <c r="CP21" i="2"/>
  <c r="CO21" i="2"/>
  <c r="CM21" i="2"/>
  <c r="CL21" i="2"/>
  <c r="DB18" i="2"/>
  <c r="DA18" i="2"/>
  <c r="CY18" i="2"/>
  <c r="CX18" i="2"/>
  <c r="CV18" i="2"/>
  <c r="CU18" i="2"/>
  <c r="CS18" i="2"/>
  <c r="CR18" i="2"/>
  <c r="CP18" i="2"/>
  <c r="CO18" i="2"/>
  <c r="CM18" i="2"/>
  <c r="CL18" i="2"/>
  <c r="DB17" i="2"/>
  <c r="DA17" i="2"/>
  <c r="CY17" i="2"/>
  <c r="CZ17" i="2" s="1"/>
  <c r="CX17" i="2"/>
  <c r="CV17" i="2"/>
  <c r="CU17" i="2"/>
  <c r="CS17" i="2"/>
  <c r="CR17" i="2"/>
  <c r="CP17" i="2"/>
  <c r="CO17" i="2"/>
  <c r="CM17" i="2"/>
  <c r="CL17" i="2"/>
  <c r="DB16" i="2"/>
  <c r="DA16" i="2"/>
  <c r="CY16" i="2"/>
  <c r="CX16" i="2"/>
  <c r="CV16" i="2"/>
  <c r="CU16" i="2"/>
  <c r="CS16" i="2"/>
  <c r="CR16" i="2"/>
  <c r="CP16" i="2"/>
  <c r="CO16" i="2"/>
  <c r="CM16" i="2"/>
  <c r="CL16" i="2"/>
  <c r="DB15" i="2"/>
  <c r="DA15" i="2"/>
  <c r="CY15" i="2"/>
  <c r="CX15" i="2"/>
  <c r="CV15" i="2"/>
  <c r="CU15" i="2"/>
  <c r="CS15" i="2"/>
  <c r="CT15" i="2" s="1"/>
  <c r="CR15" i="2"/>
  <c r="CP15" i="2"/>
  <c r="CO15" i="2"/>
  <c r="CM15" i="2"/>
  <c r="CL15" i="2"/>
  <c r="DB14" i="2"/>
  <c r="DA14" i="2"/>
  <c r="CY14" i="2"/>
  <c r="CX14" i="2"/>
  <c r="CV14" i="2"/>
  <c r="CU14" i="2"/>
  <c r="CS14" i="2"/>
  <c r="CR14" i="2"/>
  <c r="CP14" i="2"/>
  <c r="CO14" i="2"/>
  <c r="CM14" i="2"/>
  <c r="CL14" i="2"/>
  <c r="DB13" i="2"/>
  <c r="DA13" i="2"/>
  <c r="CY13" i="2"/>
  <c r="CZ13" i="2" s="1"/>
  <c r="CX13" i="2"/>
  <c r="CV13" i="2"/>
  <c r="CU13" i="2"/>
  <c r="CS13" i="2"/>
  <c r="CR13" i="2"/>
  <c r="CP13" i="2"/>
  <c r="CO13" i="2"/>
  <c r="CM13" i="2"/>
  <c r="CL13" i="2"/>
  <c r="DB12" i="2"/>
  <c r="DC12" i="2" s="1"/>
  <c r="DA12" i="2"/>
  <c r="CY12" i="2"/>
  <c r="CZ12" i="2" s="1"/>
  <c r="CX12" i="2"/>
  <c r="CV12" i="2"/>
  <c r="CU12" i="2"/>
  <c r="CS12" i="2"/>
  <c r="CR12" i="2"/>
  <c r="CP12" i="2"/>
  <c r="CO12" i="2"/>
  <c r="CM12" i="2"/>
  <c r="CL12" i="2"/>
  <c r="DA11" i="2"/>
  <c r="DC11" i="2" s="1"/>
  <c r="CX11" i="2"/>
  <c r="CZ11" i="2" s="1"/>
  <c r="CU11" i="2"/>
  <c r="CW11" i="2" s="1"/>
  <c r="CR11" i="2"/>
  <c r="CT11" i="2" s="1"/>
  <c r="CO11" i="2"/>
  <c r="CQ11" i="2" s="1"/>
  <c r="CL11" i="2"/>
  <c r="CN11" i="2" s="1"/>
  <c r="DB10" i="2"/>
  <c r="DA10" i="2"/>
  <c r="CY10" i="2"/>
  <c r="CZ10" i="2" s="1"/>
  <c r="CX10" i="2"/>
  <c r="CV10" i="2"/>
  <c r="CU10" i="2"/>
  <c r="CS10" i="2"/>
  <c r="CR10" i="2"/>
  <c r="CP10" i="2"/>
  <c r="CO10" i="2"/>
  <c r="CM10" i="2"/>
  <c r="CL10" i="2"/>
  <c r="DB9" i="2"/>
  <c r="DA9" i="2"/>
  <c r="CY9" i="2"/>
  <c r="CX9" i="2"/>
  <c r="CV9" i="2"/>
  <c r="CU9" i="2"/>
  <c r="CS9" i="2"/>
  <c r="CT9" i="2" s="1"/>
  <c r="CR9" i="2"/>
  <c r="CP9" i="2"/>
  <c r="CO9" i="2"/>
  <c r="CM9" i="2"/>
  <c r="CL9" i="2"/>
  <c r="DB8" i="2"/>
  <c r="DA8" i="2"/>
  <c r="CY8" i="2"/>
  <c r="CX8" i="2"/>
  <c r="CV8" i="2"/>
  <c r="CU8" i="2"/>
  <c r="CS8" i="2"/>
  <c r="CR8" i="2"/>
  <c r="CP8" i="2"/>
  <c r="CO8" i="2"/>
  <c r="CM8" i="2"/>
  <c r="CL8" i="2"/>
  <c r="DB7" i="2"/>
  <c r="DA7" i="2"/>
  <c r="CY7" i="2"/>
  <c r="CX7" i="2"/>
  <c r="CV7" i="2"/>
  <c r="CU7" i="2"/>
  <c r="CS7" i="2"/>
  <c r="CR7" i="2"/>
  <c r="CP7" i="2"/>
  <c r="CO7" i="2"/>
  <c r="CM7" i="2"/>
  <c r="CL7" i="2"/>
  <c r="DB6" i="2"/>
  <c r="DA6" i="2"/>
  <c r="CY6" i="2"/>
  <c r="CZ6" i="2" s="1"/>
  <c r="CX6" i="2"/>
  <c r="CV6" i="2"/>
  <c r="CW6" i="2" s="1"/>
  <c r="CU6" i="2"/>
  <c r="CS6" i="2"/>
  <c r="CT6" i="2" s="1"/>
  <c r="CR6" i="2"/>
  <c r="CP6" i="2"/>
  <c r="CO6" i="2"/>
  <c r="CM6" i="2"/>
  <c r="CN6" i="2" s="1"/>
  <c r="CL6" i="2"/>
  <c r="DB5" i="2"/>
  <c r="DA5" i="2"/>
  <c r="CY5" i="2"/>
  <c r="CX5" i="2"/>
  <c r="CV5" i="2"/>
  <c r="CU5" i="2"/>
  <c r="CS5" i="2"/>
  <c r="CT5" i="2" s="1"/>
  <c r="CR5" i="2"/>
  <c r="CP5" i="2"/>
  <c r="CO5" i="2"/>
  <c r="CM5" i="2"/>
  <c r="CL5" i="2"/>
  <c r="DB4" i="2"/>
  <c r="DA4" i="2"/>
  <c r="CY4" i="2"/>
  <c r="CX4" i="2"/>
  <c r="CV4" i="2"/>
  <c r="CU4" i="2"/>
  <c r="CS4" i="2"/>
  <c r="CT4" i="2" s="1"/>
  <c r="CR4" i="2"/>
  <c r="CP4" i="2"/>
  <c r="CO4" i="2"/>
  <c r="CM4" i="2"/>
  <c r="CL4" i="2"/>
  <c r="DB54" i="2"/>
  <c r="DC53" i="2"/>
  <c r="DC52" i="2"/>
  <c r="DC38" i="2"/>
  <c r="DC37" i="2"/>
  <c r="DC36" i="2"/>
  <c r="DC35" i="2"/>
  <c r="BY18" i="2"/>
  <c r="BY17" i="2"/>
  <c r="BY16" i="2"/>
  <c r="BY15" i="2"/>
  <c r="BY14" i="2"/>
  <c r="BY13" i="2"/>
  <c r="BY12" i="2"/>
  <c r="BY10" i="2"/>
  <c r="BY9" i="2"/>
  <c r="BY8" i="2"/>
  <c r="BY7" i="2"/>
  <c r="BY6" i="2"/>
  <c r="BY5" i="2"/>
  <c r="BY4" i="2"/>
  <c r="BX18" i="2"/>
  <c r="BX17" i="2"/>
  <c r="BX16" i="2"/>
  <c r="BX15" i="2"/>
  <c r="BX14" i="2"/>
  <c r="BX13" i="2"/>
  <c r="BX12" i="2"/>
  <c r="BX11" i="2"/>
  <c r="BZ11" i="2" s="1"/>
  <c r="BX10" i="2"/>
  <c r="BX9" i="2"/>
  <c r="BX8" i="2"/>
  <c r="BX7" i="2"/>
  <c r="BX6" i="2"/>
  <c r="BX5" i="2"/>
  <c r="BX4" i="2"/>
  <c r="CB11" i="2"/>
  <c r="BX21" i="2"/>
  <c r="BY45" i="2"/>
  <c r="BY44" i="2"/>
  <c r="BY43" i="2"/>
  <c r="BY42" i="2"/>
  <c r="BY41" i="2"/>
  <c r="BY40" i="2"/>
  <c r="BY39" i="2"/>
  <c r="BY34" i="2"/>
  <c r="BY33" i="2"/>
  <c r="BZ33" i="2" s="1"/>
  <c r="BY32" i="2"/>
  <c r="BY31" i="2"/>
  <c r="BY30" i="2"/>
  <c r="BY29" i="2"/>
  <c r="BY28" i="2"/>
  <c r="BY27" i="2"/>
  <c r="BY26" i="2"/>
  <c r="BY25" i="2"/>
  <c r="BY24" i="2"/>
  <c r="BY23" i="2"/>
  <c r="BZ23" i="2" s="1"/>
  <c r="BY22" i="2"/>
  <c r="BY21" i="2"/>
  <c r="BS45" i="2"/>
  <c r="BS44" i="2"/>
  <c r="BS43" i="2"/>
  <c r="BS42" i="2"/>
  <c r="BS41" i="2"/>
  <c r="BS40" i="2"/>
  <c r="BS39" i="2"/>
  <c r="BS38" i="2"/>
  <c r="BS37" i="2"/>
  <c r="BS36" i="2"/>
  <c r="BT36" i="2" s="1"/>
  <c r="BS35" i="2"/>
  <c r="BS33" i="2"/>
  <c r="BS32" i="2"/>
  <c r="BS31" i="2"/>
  <c r="BS30" i="2"/>
  <c r="BS29" i="2"/>
  <c r="BS28" i="2"/>
  <c r="BS27" i="2"/>
  <c r="BS26" i="2"/>
  <c r="BS25" i="2"/>
  <c r="BS24" i="2"/>
  <c r="BS23" i="2"/>
  <c r="BS22" i="2"/>
  <c r="BS21" i="2"/>
  <c r="BM45" i="2"/>
  <c r="BM44" i="2"/>
  <c r="BM43" i="2"/>
  <c r="BM42" i="2"/>
  <c r="BM41" i="2"/>
  <c r="BM40" i="2"/>
  <c r="BM39" i="2"/>
  <c r="BM38" i="2"/>
  <c r="BM37" i="2"/>
  <c r="BM36" i="2"/>
  <c r="BM35" i="2"/>
  <c r="BM33" i="2"/>
  <c r="BM32" i="2"/>
  <c r="BM31" i="2"/>
  <c r="BM30" i="2"/>
  <c r="BM29" i="2"/>
  <c r="BM28" i="2"/>
  <c r="BM27" i="2"/>
  <c r="BM26" i="2"/>
  <c r="BM25" i="2"/>
  <c r="BM24" i="2"/>
  <c r="BM23" i="2"/>
  <c r="BM22" i="2"/>
  <c r="BM21" i="2"/>
  <c r="BG45" i="2"/>
  <c r="BG44" i="2"/>
  <c r="BG43" i="2"/>
  <c r="BG42" i="2"/>
  <c r="BG41" i="2"/>
  <c r="BG40" i="2"/>
  <c r="BG39" i="2"/>
  <c r="BG38" i="2"/>
  <c r="BG37" i="2"/>
  <c r="BG36" i="2"/>
  <c r="BG35" i="2"/>
  <c r="BG33" i="2"/>
  <c r="BG32" i="2"/>
  <c r="BG31" i="2"/>
  <c r="BG30" i="2"/>
  <c r="BG29" i="2"/>
  <c r="BG28" i="2"/>
  <c r="BG27" i="2"/>
  <c r="BG26" i="2"/>
  <c r="BG25" i="2"/>
  <c r="BG24" i="2"/>
  <c r="BG23" i="2"/>
  <c r="BG22" i="2"/>
  <c r="BG21" i="2"/>
  <c r="BA45" i="2"/>
  <c r="BA44" i="2"/>
  <c r="BA43" i="2"/>
  <c r="BA42" i="2"/>
  <c r="BA41" i="2"/>
  <c r="BA40" i="2"/>
  <c r="BA39" i="2"/>
  <c r="BA38" i="2"/>
  <c r="BA37" i="2"/>
  <c r="BA36" i="2"/>
  <c r="BA35" i="2"/>
  <c r="BA33" i="2"/>
  <c r="BA32" i="2"/>
  <c r="BA31" i="2"/>
  <c r="BA30" i="2"/>
  <c r="BA29" i="2"/>
  <c r="BA28" i="2"/>
  <c r="BA27" i="2"/>
  <c r="BA26" i="2"/>
  <c r="BA25" i="2"/>
  <c r="BA24" i="2"/>
  <c r="BA23" i="2"/>
  <c r="BA22" i="2"/>
  <c r="BA21" i="2"/>
  <c r="AU45" i="2"/>
  <c r="AU44" i="2"/>
  <c r="AU43" i="2"/>
  <c r="AU42" i="2"/>
  <c r="AU41" i="2"/>
  <c r="AU40" i="2"/>
  <c r="AU39" i="2"/>
  <c r="AU38" i="2"/>
  <c r="AU37" i="2"/>
  <c r="AU36" i="2"/>
  <c r="AU35" i="2"/>
  <c r="AU33" i="2"/>
  <c r="AU32" i="2"/>
  <c r="AU31" i="2"/>
  <c r="AU30" i="2"/>
  <c r="AU29" i="2"/>
  <c r="AU28" i="2"/>
  <c r="AU27" i="2"/>
  <c r="AU26" i="2"/>
  <c r="AU25" i="2"/>
  <c r="AU24" i="2"/>
  <c r="AU23" i="2"/>
  <c r="AU22" i="2"/>
  <c r="AU21" i="2"/>
  <c r="R21" i="2"/>
  <c r="R22" i="2"/>
  <c r="R23" i="2"/>
  <c r="R24" i="2"/>
  <c r="R25" i="2"/>
  <c r="R26" i="2"/>
  <c r="R27" i="2"/>
  <c r="R28" i="2"/>
  <c r="R29" i="2"/>
  <c r="R30" i="2"/>
  <c r="R31" i="2"/>
  <c r="R32" i="2"/>
  <c r="R35" i="2"/>
  <c r="R36" i="2"/>
  <c r="R37" i="2"/>
  <c r="R38" i="2"/>
  <c r="R39" i="2"/>
  <c r="R40" i="2"/>
  <c r="R41" i="2"/>
  <c r="R42" i="2"/>
  <c r="R43" i="2"/>
  <c r="R44" i="2"/>
  <c r="R45" i="2"/>
  <c r="BX22" i="2"/>
  <c r="BX23" i="2"/>
  <c r="BX24" i="2"/>
  <c r="BX25" i="2"/>
  <c r="BX26" i="2"/>
  <c r="BX27" i="2"/>
  <c r="BX28" i="2"/>
  <c r="BX29" i="2"/>
  <c r="BX30" i="2"/>
  <c r="BX31" i="2"/>
  <c r="BX32" i="2"/>
  <c r="BX33" i="2"/>
  <c r="BS53" i="2"/>
  <c r="BS52" i="2"/>
  <c r="BS18" i="2"/>
  <c r="BS17" i="2"/>
  <c r="BS16" i="2"/>
  <c r="BS15" i="2"/>
  <c r="BS14" i="2"/>
  <c r="BS13" i="2"/>
  <c r="BS12" i="2"/>
  <c r="BS10" i="2"/>
  <c r="BS9" i="2"/>
  <c r="BS8" i="2"/>
  <c r="BS7" i="2"/>
  <c r="BS6" i="2"/>
  <c r="BS5" i="2"/>
  <c r="BS4" i="2"/>
  <c r="BR53" i="2"/>
  <c r="BR52" i="2"/>
  <c r="BR45" i="2"/>
  <c r="BR44" i="2"/>
  <c r="BR43" i="2"/>
  <c r="BR42" i="2"/>
  <c r="BR41" i="2"/>
  <c r="BR40" i="2"/>
  <c r="BR39" i="2"/>
  <c r="BR38" i="2"/>
  <c r="BR37" i="2"/>
  <c r="BR36" i="2"/>
  <c r="BR35" i="2"/>
  <c r="BR33" i="2"/>
  <c r="BR32" i="2"/>
  <c r="BR31" i="2"/>
  <c r="BR30" i="2"/>
  <c r="BR29" i="2"/>
  <c r="BR28" i="2"/>
  <c r="BR27" i="2"/>
  <c r="BR26" i="2"/>
  <c r="BR25" i="2"/>
  <c r="BR24" i="2"/>
  <c r="BR23" i="2"/>
  <c r="BR22" i="2"/>
  <c r="BR21" i="2"/>
  <c r="BR18" i="2"/>
  <c r="BR17" i="2"/>
  <c r="BR16" i="2"/>
  <c r="BR15" i="2"/>
  <c r="BR14" i="2"/>
  <c r="BR13" i="2"/>
  <c r="BR12" i="2"/>
  <c r="BR11" i="2"/>
  <c r="BT11" i="2" s="1"/>
  <c r="BR10" i="2"/>
  <c r="BR9" i="2"/>
  <c r="BR8" i="2"/>
  <c r="BR7" i="2"/>
  <c r="BR6" i="2"/>
  <c r="BR5" i="2"/>
  <c r="BR4" i="2"/>
  <c r="BV11" i="2"/>
  <c r="BM53" i="2"/>
  <c r="BM52" i="2"/>
  <c r="BM18" i="2"/>
  <c r="BM17" i="2"/>
  <c r="BM16" i="2"/>
  <c r="BM15" i="2"/>
  <c r="BM14" i="2"/>
  <c r="BA13" i="2"/>
  <c r="BM13" i="2"/>
  <c r="BM12" i="2"/>
  <c r="BM10" i="2"/>
  <c r="BM9" i="2"/>
  <c r="BM8" i="2"/>
  <c r="BM7" i="2"/>
  <c r="BM6" i="2"/>
  <c r="BM5" i="2"/>
  <c r="BM4" i="2"/>
  <c r="BL53" i="2"/>
  <c r="BL52" i="2"/>
  <c r="BL45" i="2"/>
  <c r="BL44" i="2"/>
  <c r="BL43" i="2"/>
  <c r="BL42" i="2"/>
  <c r="BL41" i="2"/>
  <c r="BL40" i="2"/>
  <c r="BL39" i="2"/>
  <c r="BL38" i="2"/>
  <c r="BL37" i="2"/>
  <c r="BL36" i="2"/>
  <c r="BL35" i="2"/>
  <c r="BL33" i="2"/>
  <c r="BL32" i="2"/>
  <c r="BL31" i="2"/>
  <c r="BL30" i="2"/>
  <c r="BL29" i="2"/>
  <c r="BL28" i="2"/>
  <c r="BL27" i="2"/>
  <c r="BL26" i="2"/>
  <c r="BL25" i="2"/>
  <c r="BL24" i="2"/>
  <c r="BL23" i="2"/>
  <c r="BL22" i="2"/>
  <c r="BL21" i="2"/>
  <c r="BL18" i="2"/>
  <c r="BL17" i="2"/>
  <c r="BL16" i="2"/>
  <c r="BL15" i="2"/>
  <c r="BL14" i="2"/>
  <c r="BL13" i="2"/>
  <c r="BL12" i="2"/>
  <c r="BL11" i="2"/>
  <c r="BN11" i="2" s="1"/>
  <c r="BL10" i="2"/>
  <c r="BL9" i="2"/>
  <c r="BL8" i="2"/>
  <c r="BL7" i="2"/>
  <c r="BL6" i="2"/>
  <c r="BL5" i="2"/>
  <c r="BL4" i="2"/>
  <c r="BP11" i="2"/>
  <c r="BG53" i="2"/>
  <c r="BG52" i="2"/>
  <c r="BG18" i="2"/>
  <c r="BG17" i="2"/>
  <c r="BG16" i="2"/>
  <c r="BG15" i="2"/>
  <c r="BG14" i="2"/>
  <c r="BG13" i="2"/>
  <c r="BG12" i="2"/>
  <c r="BH12" i="2" s="1"/>
  <c r="BG10" i="2"/>
  <c r="BG9" i="2"/>
  <c r="BH9" i="2" s="1"/>
  <c r="BG8" i="2"/>
  <c r="BG7" i="2"/>
  <c r="BG6" i="2"/>
  <c r="BG5" i="2"/>
  <c r="BG4" i="2"/>
  <c r="BF53" i="2"/>
  <c r="BF52" i="2"/>
  <c r="BF45" i="2"/>
  <c r="BF44" i="2"/>
  <c r="BF43" i="2"/>
  <c r="BF42" i="2"/>
  <c r="BF41" i="2"/>
  <c r="BF40" i="2"/>
  <c r="BF39" i="2"/>
  <c r="BF38" i="2"/>
  <c r="BF37" i="2"/>
  <c r="BF36" i="2"/>
  <c r="BF35" i="2"/>
  <c r="BF33" i="2"/>
  <c r="BF32" i="2"/>
  <c r="BF31" i="2"/>
  <c r="BF30" i="2"/>
  <c r="BF29" i="2"/>
  <c r="BF28" i="2"/>
  <c r="BF27" i="2"/>
  <c r="BF26" i="2"/>
  <c r="BF25" i="2"/>
  <c r="BF24" i="2"/>
  <c r="BF23" i="2"/>
  <c r="BF22" i="2"/>
  <c r="BF21" i="2"/>
  <c r="BF18" i="2"/>
  <c r="BF17" i="2"/>
  <c r="BF16" i="2"/>
  <c r="BF15" i="2"/>
  <c r="BF14" i="2"/>
  <c r="BF13" i="2"/>
  <c r="BF12" i="2"/>
  <c r="BF11" i="2"/>
  <c r="BH11" i="2" s="1"/>
  <c r="BF10" i="2"/>
  <c r="BF9" i="2"/>
  <c r="BF8" i="2"/>
  <c r="BF7" i="2"/>
  <c r="BF6" i="2"/>
  <c r="BF5" i="2"/>
  <c r="BF4" i="2"/>
  <c r="BJ11" i="2"/>
  <c r="BD11" i="2"/>
  <c r="AX11" i="2"/>
  <c r="BA53" i="2"/>
  <c r="BA52" i="2"/>
  <c r="BA18" i="2"/>
  <c r="BA17" i="2"/>
  <c r="BA16" i="2"/>
  <c r="BA15" i="2"/>
  <c r="BA14" i="2"/>
  <c r="BA12" i="2"/>
  <c r="BA10" i="2"/>
  <c r="BA9" i="2"/>
  <c r="BA8" i="2"/>
  <c r="BA7" i="2"/>
  <c r="BA6" i="2"/>
  <c r="AU6" i="2"/>
  <c r="BA5" i="2"/>
  <c r="BA4" i="2"/>
  <c r="AZ53" i="2"/>
  <c r="AZ52" i="2"/>
  <c r="AZ45" i="2"/>
  <c r="AZ44" i="2"/>
  <c r="AZ43" i="2"/>
  <c r="AZ42" i="2"/>
  <c r="AZ41" i="2"/>
  <c r="AZ40" i="2"/>
  <c r="AZ39" i="2"/>
  <c r="AZ38" i="2"/>
  <c r="AZ37" i="2"/>
  <c r="AZ36" i="2"/>
  <c r="AZ35" i="2"/>
  <c r="AZ33" i="2"/>
  <c r="AZ32" i="2"/>
  <c r="AZ31" i="2"/>
  <c r="AZ30" i="2"/>
  <c r="AZ29" i="2"/>
  <c r="AZ28" i="2"/>
  <c r="AZ27" i="2"/>
  <c r="AZ26" i="2"/>
  <c r="AZ25" i="2"/>
  <c r="AZ24" i="2"/>
  <c r="AZ23" i="2"/>
  <c r="AZ22" i="2"/>
  <c r="AZ21" i="2"/>
  <c r="AZ18" i="2"/>
  <c r="AZ17" i="2"/>
  <c r="AZ16" i="2"/>
  <c r="AZ15" i="2"/>
  <c r="AZ14" i="2"/>
  <c r="AZ13" i="2"/>
  <c r="AZ12" i="2"/>
  <c r="AZ11" i="2"/>
  <c r="BB11" i="2" s="1"/>
  <c r="AZ10" i="2"/>
  <c r="AZ9" i="2"/>
  <c r="AZ8" i="2"/>
  <c r="AZ7" i="2"/>
  <c r="AZ6" i="2"/>
  <c r="AZ5" i="2"/>
  <c r="AZ4" i="2"/>
  <c r="AU15" i="2"/>
  <c r="AU7" i="2"/>
  <c r="AU16" i="2"/>
  <c r="AU14" i="2"/>
  <c r="AU5" i="2"/>
  <c r="AU4" i="2"/>
  <c r="AU53" i="2"/>
  <c r="AU52" i="2"/>
  <c r="AU13" i="2"/>
  <c r="AU10" i="2"/>
  <c r="AU9" i="2"/>
  <c r="AU8" i="2"/>
  <c r="AT11" i="2"/>
  <c r="AV11" i="2" s="1"/>
  <c r="W731" i="1"/>
  <c r="AC730" i="1"/>
  <c r="AB730" i="1"/>
  <c r="W730" i="1"/>
  <c r="Z53" i="2" s="1"/>
  <c r="AC729" i="1"/>
  <c r="AB729" i="1"/>
  <c r="W729" i="1"/>
  <c r="W728" i="1"/>
  <c r="H53" i="2" s="1"/>
  <c r="AC727" i="1"/>
  <c r="AB727" i="1"/>
  <c r="W727" i="1"/>
  <c r="N53" i="2" s="1"/>
  <c r="AC726" i="1"/>
  <c r="AB726" i="1"/>
  <c r="W726" i="1"/>
  <c r="B53" i="2" s="1"/>
  <c r="AC725" i="1"/>
  <c r="AB725" i="1"/>
  <c r="W725" i="1"/>
  <c r="AC724" i="1"/>
  <c r="AB724" i="1"/>
  <c r="W724" i="1"/>
  <c r="AF53" i="2" s="1"/>
  <c r="W723" i="1"/>
  <c r="W722" i="1"/>
  <c r="W721" i="1"/>
  <c r="W720" i="1"/>
  <c r="W719" i="1"/>
  <c r="W718" i="1"/>
  <c r="W717" i="1"/>
  <c r="W716" i="1"/>
  <c r="Y723" i="1" s="1"/>
  <c r="BX53" i="2"/>
  <c r="BX52" i="2"/>
  <c r="BX45" i="2"/>
  <c r="BX44" i="2"/>
  <c r="BX43" i="2"/>
  <c r="BX42" i="2"/>
  <c r="BX41" i="2"/>
  <c r="BX40" i="2"/>
  <c r="BX39" i="2"/>
  <c r="BX34" i="2"/>
  <c r="AT18" i="2"/>
  <c r="AT17" i="2"/>
  <c r="AT16" i="2"/>
  <c r="AT14" i="2"/>
  <c r="AT13" i="2"/>
  <c r="AT10" i="2"/>
  <c r="AT9" i="2"/>
  <c r="AT8" i="2"/>
  <c r="AT7" i="2"/>
  <c r="AT6" i="2"/>
  <c r="AT5" i="2"/>
  <c r="AT4" i="2"/>
  <c r="AT12" i="2"/>
  <c r="AT15" i="2"/>
  <c r="AT21" i="2"/>
  <c r="AT22" i="2"/>
  <c r="AT23" i="2"/>
  <c r="AT24" i="2"/>
  <c r="AT25" i="2"/>
  <c r="AT26" i="2"/>
  <c r="AT27" i="2"/>
  <c r="AT28" i="2"/>
  <c r="AT29" i="2"/>
  <c r="AT30" i="2"/>
  <c r="AT31" i="2"/>
  <c r="AT32" i="2"/>
  <c r="AT33" i="2"/>
  <c r="AT35" i="2"/>
  <c r="AT36" i="2"/>
  <c r="AT37" i="2"/>
  <c r="AT38" i="2"/>
  <c r="AT39" i="2"/>
  <c r="AT40" i="2"/>
  <c r="AT41" i="2"/>
  <c r="AT42" i="2"/>
  <c r="AT43" i="2"/>
  <c r="AT44" i="2"/>
  <c r="AT45" i="2"/>
  <c r="AT52" i="2"/>
  <c r="AT53" i="2"/>
  <c r="AI11" i="2"/>
  <c r="AC11" i="2"/>
  <c r="W11" i="2"/>
  <c r="Q11" i="2"/>
  <c r="K11" i="2"/>
  <c r="DC15" i="2" l="1"/>
  <c r="DZ24" i="2"/>
  <c r="DZ40" i="2"/>
  <c r="DZ22" i="2"/>
  <c r="FF30" i="2"/>
  <c r="DZ21" i="2"/>
  <c r="CN33" i="2"/>
  <c r="CZ21" i="2"/>
  <c r="CZ14" i="2"/>
  <c r="DQ21" i="2"/>
  <c r="DW14" i="2"/>
  <c r="CW33" i="2"/>
  <c r="CT10" i="2"/>
  <c r="DN10" i="2"/>
  <c r="DQ10" i="2"/>
  <c r="DQ8" i="2"/>
  <c r="FF29" i="2"/>
  <c r="BZ7" i="2"/>
  <c r="DC7" i="2"/>
  <c r="DT10" i="2"/>
  <c r="FB54" i="2"/>
  <c r="DZ7" i="2"/>
  <c r="DK4" i="2"/>
  <c r="DT33" i="2"/>
  <c r="CW10" i="2"/>
  <c r="EV54" i="2"/>
  <c r="DN5" i="2"/>
  <c r="FF44" i="2"/>
  <c r="DZ29" i="2"/>
  <c r="DN21" i="2"/>
  <c r="DW26" i="2"/>
  <c r="BT15" i="2"/>
  <c r="EP19" i="2"/>
  <c r="EJ54" i="2"/>
  <c r="FE54" i="2"/>
  <c r="FF31" i="2"/>
  <c r="FF36" i="2"/>
  <c r="DN15" i="2"/>
  <c r="FF13" i="2"/>
  <c r="EP54" i="2"/>
  <c r="FF14" i="2"/>
  <c r="FF5" i="2"/>
  <c r="EZ56" i="2"/>
  <c r="FF18" i="2"/>
  <c r="FF52" i="2"/>
  <c r="FF39" i="2"/>
  <c r="FF12" i="2"/>
  <c r="ET56" i="2"/>
  <c r="CZ33" i="2"/>
  <c r="FF27" i="2"/>
  <c r="FF41" i="2"/>
  <c r="EV19" i="2"/>
  <c r="FF9" i="2"/>
  <c r="ES34" i="2"/>
  <c r="ES19" i="2"/>
  <c r="FD54" i="2"/>
  <c r="EJ19" i="2"/>
  <c r="EL56" i="2"/>
  <c r="FF26" i="2"/>
  <c r="FF24" i="2"/>
  <c r="EQ50" i="2"/>
  <c r="EQ56" i="2" s="1"/>
  <c r="FD19" i="2"/>
  <c r="FF16" i="2"/>
  <c r="EK56" i="2"/>
  <c r="FF7" i="2"/>
  <c r="FF15" i="2"/>
  <c r="FF37" i="2"/>
  <c r="EM19" i="2"/>
  <c r="FF22" i="2"/>
  <c r="FF32" i="2"/>
  <c r="FF35" i="2"/>
  <c r="EN56" i="2"/>
  <c r="FF43" i="2"/>
  <c r="EM34" i="2"/>
  <c r="FF38" i="2"/>
  <c r="FB19" i="2"/>
  <c r="FF42" i="2"/>
  <c r="FF21" i="2"/>
  <c r="FF33" i="2"/>
  <c r="FF8" i="2"/>
  <c r="FF53" i="2"/>
  <c r="FF4" i="2"/>
  <c r="FF10" i="2"/>
  <c r="FF45" i="2"/>
  <c r="FF28" i="2"/>
  <c r="EH56" i="2"/>
  <c r="EM54" i="2"/>
  <c r="FE19" i="2"/>
  <c r="FE34" i="2"/>
  <c r="FB50" i="2"/>
  <c r="FF23" i="2"/>
  <c r="EP34" i="2"/>
  <c r="EO50" i="2"/>
  <c r="FF40" i="2"/>
  <c r="FA56" i="2"/>
  <c r="EI50" i="2"/>
  <c r="EJ34" i="2"/>
  <c r="ES54" i="2"/>
  <c r="EU50" i="2"/>
  <c r="EV34" i="2"/>
  <c r="FD34" i="2"/>
  <c r="EM50" i="2"/>
  <c r="FF17" i="2"/>
  <c r="FF25" i="2"/>
  <c r="ER56" i="2"/>
  <c r="DN9" i="2"/>
  <c r="CT8" i="2"/>
  <c r="CZ15" i="2"/>
  <c r="CZ29" i="2"/>
  <c r="CZ5" i="2"/>
  <c r="CT21" i="2"/>
  <c r="DC24" i="2"/>
  <c r="DW29" i="2"/>
  <c r="DW5" i="2"/>
  <c r="DW15" i="2"/>
  <c r="DN39" i="2"/>
  <c r="DN29" i="2"/>
  <c r="DC40" i="2"/>
  <c r="DZ27" i="2"/>
  <c r="DN12" i="2"/>
  <c r="DW41" i="2"/>
  <c r="CZ8" i="2"/>
  <c r="DT4" i="2"/>
  <c r="DZ43" i="2"/>
  <c r="DQ13" i="2"/>
  <c r="DZ42" i="2"/>
  <c r="DC21" i="2"/>
  <c r="DC26" i="2"/>
  <c r="DC39" i="2"/>
  <c r="DW7" i="2"/>
  <c r="DW53" i="2"/>
  <c r="CZ39" i="2"/>
  <c r="DC14" i="2"/>
  <c r="DK53" i="2"/>
  <c r="CN21" i="2"/>
  <c r="CN28" i="2"/>
  <c r="CN10" i="2"/>
  <c r="DN26" i="2"/>
  <c r="DW39" i="2"/>
  <c r="DW44" i="2"/>
  <c r="CZ16" i="2"/>
  <c r="BB29" i="2"/>
  <c r="BZ27" i="2"/>
  <c r="BZ25" i="2"/>
  <c r="CZ44" i="2"/>
  <c r="BT25" i="2"/>
  <c r="CM54" i="2"/>
  <c r="CT16" i="2"/>
  <c r="DC42" i="2"/>
  <c r="DC44" i="2"/>
  <c r="DZ28" i="2"/>
  <c r="DZ32" i="2"/>
  <c r="DC29" i="2"/>
  <c r="DQ16" i="2"/>
  <c r="DZ44" i="2"/>
  <c r="DS54" i="2"/>
  <c r="CV54" i="2"/>
  <c r="DY19" i="2"/>
  <c r="CY54" i="2"/>
  <c r="BZ4" i="2"/>
  <c r="CM19" i="2"/>
  <c r="BT9" i="2"/>
  <c r="CN14" i="2"/>
  <c r="CN17" i="2"/>
  <c r="CN18" i="2"/>
  <c r="CN24" i="2"/>
  <c r="CN31" i="2"/>
  <c r="DC34" i="2"/>
  <c r="CN36" i="2"/>
  <c r="CW39" i="2"/>
  <c r="CW41" i="2"/>
  <c r="DT45" i="2"/>
  <c r="DN13" i="2"/>
  <c r="DN22" i="2"/>
  <c r="DK35" i="2"/>
  <c r="DQ37" i="2"/>
  <c r="DT38" i="2"/>
  <c r="DW42" i="2"/>
  <c r="DV54" i="2"/>
  <c r="DZ6" i="2"/>
  <c r="BH24" i="2"/>
  <c r="DZ13" i="2"/>
  <c r="CN52" i="2"/>
  <c r="DW8" i="2"/>
  <c r="DQ7" i="2"/>
  <c r="DC28" i="2"/>
  <c r="CT40" i="2"/>
  <c r="CT41" i="2"/>
  <c r="CT42" i="2"/>
  <c r="CT44" i="2"/>
  <c r="CT45" i="2"/>
  <c r="CU54" i="2"/>
  <c r="BB43" i="2"/>
  <c r="DW16" i="2"/>
  <c r="DC16" i="2"/>
  <c r="DC18" i="2"/>
  <c r="DC32" i="2"/>
  <c r="CT39" i="2"/>
  <c r="CT43" i="2"/>
  <c r="CS54" i="2"/>
  <c r="AU34" i="2"/>
  <c r="BG34" i="2"/>
  <c r="BS34" i="2"/>
  <c r="DT8" i="2"/>
  <c r="DT39" i="2"/>
  <c r="DT40" i="2"/>
  <c r="BN5" i="2"/>
  <c r="BZ10" i="2"/>
  <c r="CW7" i="2"/>
  <c r="CW9" i="2"/>
  <c r="CN16" i="2"/>
  <c r="CN22" i="2"/>
  <c r="CN23" i="2"/>
  <c r="CN25" i="2"/>
  <c r="CN30" i="2"/>
  <c r="CN32" i="2"/>
  <c r="CT38" i="2"/>
  <c r="CW40" i="2"/>
  <c r="CW43" i="2"/>
  <c r="CW44" i="2"/>
  <c r="CW45" i="2"/>
  <c r="DU54" i="2"/>
  <c r="CZ24" i="2"/>
  <c r="CZ25" i="2"/>
  <c r="CZ32" i="2"/>
  <c r="DQ24" i="2"/>
  <c r="DK14" i="2"/>
  <c r="DK15" i="2"/>
  <c r="DK27" i="2"/>
  <c r="DK28" i="2"/>
  <c r="DK31" i="2"/>
  <c r="DT41" i="2"/>
  <c r="DT43" i="2"/>
  <c r="DT44" i="2"/>
  <c r="DA19" i="2"/>
  <c r="DA54" i="2"/>
  <c r="DC9" i="2"/>
  <c r="DX19" i="2"/>
  <c r="BH37" i="2"/>
  <c r="DZ9" i="2"/>
  <c r="DZ45" i="2"/>
  <c r="DK7" i="2"/>
  <c r="BC53" i="2"/>
  <c r="BB41" i="2"/>
  <c r="DW32" i="2"/>
  <c r="DZ14" i="2"/>
  <c r="DZ17" i="2"/>
  <c r="DZ18" i="2"/>
  <c r="DZ30" i="2"/>
  <c r="DN38" i="2"/>
  <c r="DQ39" i="2"/>
  <c r="DQ40" i="2"/>
  <c r="DQ41" i="2"/>
  <c r="DQ42" i="2"/>
  <c r="DQ43" i="2"/>
  <c r="DQ44" i="2"/>
  <c r="BT7" i="2"/>
  <c r="CZ18" i="2"/>
  <c r="CP54" i="2"/>
  <c r="CP19" i="2"/>
  <c r="BS54" i="2"/>
  <c r="CW8" i="2"/>
  <c r="CW38" i="2"/>
  <c r="CZ40" i="2"/>
  <c r="CZ41" i="2"/>
  <c r="CZ43" i="2"/>
  <c r="CS34" i="2"/>
  <c r="CS50" i="2" s="1"/>
  <c r="BH28" i="2"/>
  <c r="BZ9" i="2"/>
  <c r="BZ8" i="2"/>
  <c r="CZ7" i="2"/>
  <c r="CZ9" i="2"/>
  <c r="CZ45" i="2"/>
  <c r="DC8" i="2"/>
  <c r="DL19" i="2"/>
  <c r="EA35" i="2"/>
  <c r="DL54" i="2"/>
  <c r="BN45" i="2"/>
  <c r="DO54" i="2"/>
  <c r="BZ21" i="2"/>
  <c r="CR34" i="2"/>
  <c r="BH7" i="2"/>
  <c r="CL34" i="2"/>
  <c r="CL50" i="2" s="1"/>
  <c r="DZ16" i="2"/>
  <c r="DZ25" i="2"/>
  <c r="DW35" i="2"/>
  <c r="DK37" i="2"/>
  <c r="DQ52" i="2"/>
  <c r="DR54" i="2"/>
  <c r="DT7" i="2"/>
  <c r="DC17" i="2"/>
  <c r="DC22" i="2"/>
  <c r="DW4" i="2"/>
  <c r="DN17" i="2"/>
  <c r="DN25" i="2"/>
  <c r="DN28" i="2"/>
  <c r="DN32" i="2"/>
  <c r="DN36" i="2"/>
  <c r="DW40" i="2"/>
  <c r="BU53" i="2"/>
  <c r="BR54" i="2"/>
  <c r="BH35" i="2"/>
  <c r="BH53" i="2"/>
  <c r="BM34" i="2"/>
  <c r="BM50" i="2" s="1"/>
  <c r="DT12" i="2"/>
  <c r="DT13" i="2"/>
  <c r="DT14" i="2"/>
  <c r="DT15" i="2"/>
  <c r="DT17" i="2"/>
  <c r="DT22" i="2"/>
  <c r="DT25" i="2"/>
  <c r="DT26" i="2"/>
  <c r="DT27" i="2"/>
  <c r="DT28" i="2"/>
  <c r="DT29" i="2"/>
  <c r="DT31" i="2"/>
  <c r="DW37" i="2"/>
  <c r="DK41" i="2"/>
  <c r="DK44" i="2"/>
  <c r="DK45" i="2"/>
  <c r="BN36" i="2"/>
  <c r="EB37" i="2"/>
  <c r="EB52" i="2"/>
  <c r="DW22" i="2"/>
  <c r="DW30" i="2"/>
  <c r="DN42" i="2"/>
  <c r="DN43" i="2"/>
  <c r="BM54" i="2"/>
  <c r="DC10" i="2"/>
  <c r="BH13" i="2"/>
  <c r="BB52" i="2"/>
  <c r="CN7" i="2"/>
  <c r="CN8" i="2"/>
  <c r="CN9" i="2"/>
  <c r="CW13" i="2"/>
  <c r="CW14" i="2"/>
  <c r="CW26" i="2"/>
  <c r="CW27" i="2"/>
  <c r="CW28" i="2"/>
  <c r="CZ22" i="2"/>
  <c r="CZ23" i="2"/>
  <c r="CZ26" i="2"/>
  <c r="CZ27" i="2"/>
  <c r="CZ28" i="2"/>
  <c r="CZ30" i="2"/>
  <c r="CZ31" i="2"/>
  <c r="CN38" i="2"/>
  <c r="CR54" i="2"/>
  <c r="BT4" i="2"/>
  <c r="CR19" i="2"/>
  <c r="X723" i="1"/>
  <c r="CW42" i="2"/>
  <c r="CX19" i="2"/>
  <c r="DN24" i="2"/>
  <c r="DN30" i="2"/>
  <c r="DW45" i="2"/>
  <c r="DN52" i="2"/>
  <c r="CO34" i="2"/>
  <c r="CO50" i="2" s="1"/>
  <c r="DA50" i="2"/>
  <c r="BI53" i="2"/>
  <c r="BT44" i="2"/>
  <c r="BZ31" i="2"/>
  <c r="CL54" i="2"/>
  <c r="EA5" i="2"/>
  <c r="EA6" i="2"/>
  <c r="EA7" i="2"/>
  <c r="EA8" i="2"/>
  <c r="EA10" i="2"/>
  <c r="EA11" i="2"/>
  <c r="EC11" i="2" s="1"/>
  <c r="BT32" i="2"/>
  <c r="DD11" i="2"/>
  <c r="DF11" i="2" s="1"/>
  <c r="CU19" i="2"/>
  <c r="CU34" i="2"/>
  <c r="CU50" i="2" s="1"/>
  <c r="BT40" i="2"/>
  <c r="EA28" i="2"/>
  <c r="CD11" i="2"/>
  <c r="BT22" i="2"/>
  <c r="BN41" i="2"/>
  <c r="BT28" i="2"/>
  <c r="CW4" i="2"/>
  <c r="CW5" i="2"/>
  <c r="CN12" i="2"/>
  <c r="CN13" i="2"/>
  <c r="CN15" i="2"/>
  <c r="CN26" i="2"/>
  <c r="CN27" i="2"/>
  <c r="CN29" i="2"/>
  <c r="CX54" i="2"/>
  <c r="DN16" i="2"/>
  <c r="CL19" i="2"/>
  <c r="BH42" i="2"/>
  <c r="BZ29" i="2"/>
  <c r="EA9" i="2"/>
  <c r="DO19" i="2"/>
  <c r="EA14" i="2"/>
  <c r="EA15" i="2"/>
  <c r="EA16" i="2"/>
  <c r="EA25" i="2"/>
  <c r="EA27" i="2"/>
  <c r="EA29" i="2"/>
  <c r="EA30" i="2"/>
  <c r="EA31" i="2"/>
  <c r="EA32" i="2"/>
  <c r="DO34" i="2"/>
  <c r="DO50" i="2" s="1"/>
  <c r="DR34" i="2"/>
  <c r="DR50" i="2" s="1"/>
  <c r="DU34" i="2"/>
  <c r="DU50" i="2" s="1"/>
  <c r="DX50" i="2"/>
  <c r="EA41" i="2"/>
  <c r="EA44" i="2"/>
  <c r="EA45" i="2"/>
  <c r="EA52" i="2"/>
  <c r="BH43" i="2"/>
  <c r="BN43" i="2"/>
  <c r="BT30" i="2"/>
  <c r="DZ5" i="2"/>
  <c r="DZ8" i="2"/>
  <c r="DZ10" i="2"/>
  <c r="DQ14" i="2"/>
  <c r="DQ17" i="2"/>
  <c r="DQ18" i="2"/>
  <c r="DQ22" i="2"/>
  <c r="DQ23" i="2"/>
  <c r="DQ25" i="2"/>
  <c r="DQ26" i="2"/>
  <c r="DQ27" i="2"/>
  <c r="DQ29" i="2"/>
  <c r="DQ30" i="2"/>
  <c r="DQ31" i="2"/>
  <c r="DQ32" i="2"/>
  <c r="DQ33" i="2"/>
  <c r="DQ36" i="2"/>
  <c r="DW38" i="2"/>
  <c r="DZ41" i="2"/>
  <c r="EA53" i="2"/>
  <c r="DI19" i="2"/>
  <c r="BH32" i="2"/>
  <c r="BH45" i="2"/>
  <c r="DC5" i="2"/>
  <c r="CT13" i="2"/>
  <c r="CT14" i="2"/>
  <c r="CT17" i="2"/>
  <c r="CT18" i="2"/>
  <c r="CT22" i="2"/>
  <c r="CT23" i="2"/>
  <c r="CT24" i="2"/>
  <c r="CT25" i="2"/>
  <c r="CT26" i="2"/>
  <c r="CT27" i="2"/>
  <c r="CT28" i="2"/>
  <c r="CT29" i="2"/>
  <c r="CT30" i="2"/>
  <c r="CT31" i="2"/>
  <c r="CT32" i="2"/>
  <c r="CW37" i="2"/>
  <c r="CZ38" i="2"/>
  <c r="DC41" i="2"/>
  <c r="DC43" i="2"/>
  <c r="DC45" i="2"/>
  <c r="DT16" i="2"/>
  <c r="DT18" i="2"/>
  <c r="DT21" i="2"/>
  <c r="DT23" i="2"/>
  <c r="DT24" i="2"/>
  <c r="DT30" i="2"/>
  <c r="DT32" i="2"/>
  <c r="DT36" i="2"/>
  <c r="DK40" i="2"/>
  <c r="DK42" i="2"/>
  <c r="CX34" i="2"/>
  <c r="CX50" i="2" s="1"/>
  <c r="DR19" i="2"/>
  <c r="BL34" i="2"/>
  <c r="BL50" i="2" s="1"/>
  <c r="CO19" i="2"/>
  <c r="CW12" i="2"/>
  <c r="CW16" i="2"/>
  <c r="CW17" i="2"/>
  <c r="CW18" i="2"/>
  <c r="CW21" i="2"/>
  <c r="CW22" i="2"/>
  <c r="CW23" i="2"/>
  <c r="CW24" i="2"/>
  <c r="CW25" i="2"/>
  <c r="CW30" i="2"/>
  <c r="CW31" i="2"/>
  <c r="CW32" i="2"/>
  <c r="CW36" i="2"/>
  <c r="CZ37" i="2"/>
  <c r="CN39" i="2"/>
  <c r="CN40" i="2"/>
  <c r="CN41" i="2"/>
  <c r="CN42" i="2"/>
  <c r="CN43" i="2"/>
  <c r="CN44" i="2"/>
  <c r="CN45" i="2"/>
  <c r="CO54" i="2"/>
  <c r="DN8" i="2"/>
  <c r="DW18" i="2"/>
  <c r="DW23" i="2"/>
  <c r="DW24" i="2"/>
  <c r="DW25" i="2"/>
  <c r="DW27" i="2"/>
  <c r="DW28" i="2"/>
  <c r="DW31" i="2"/>
  <c r="DT35" i="2"/>
  <c r="DK38" i="2"/>
  <c r="DN41" i="2"/>
  <c r="DN45" i="2"/>
  <c r="BN7" i="2"/>
  <c r="EA26" i="2"/>
  <c r="DU19" i="2"/>
  <c r="EA37" i="2"/>
  <c r="DQ53" i="2"/>
  <c r="BT24" i="2"/>
  <c r="EA17" i="2"/>
  <c r="EA18" i="2"/>
  <c r="EA21" i="2"/>
  <c r="EA22" i="2"/>
  <c r="EA23" i="2"/>
  <c r="EA33" i="2"/>
  <c r="BT26" i="2"/>
  <c r="BT39" i="2"/>
  <c r="CT7" i="2"/>
  <c r="DC13" i="2"/>
  <c r="DC25" i="2"/>
  <c r="DC27" i="2"/>
  <c r="DC30" i="2"/>
  <c r="DC31" i="2"/>
  <c r="CN37" i="2"/>
  <c r="EA13" i="2"/>
  <c r="DT53" i="2"/>
  <c r="DT5" i="2"/>
  <c r="DT9" i="2"/>
  <c r="DK23" i="2"/>
  <c r="DK32" i="2"/>
  <c r="CW15" i="2"/>
  <c r="CW29" i="2"/>
  <c r="CY19" i="2"/>
  <c r="EB4" i="2"/>
  <c r="EB15" i="2"/>
  <c r="EB24" i="2"/>
  <c r="EB28" i="2"/>
  <c r="DS34" i="2"/>
  <c r="DS50" i="2" s="1"/>
  <c r="CY34" i="2"/>
  <c r="CY50" i="2" s="1"/>
  <c r="EB39" i="2"/>
  <c r="EB43" i="2"/>
  <c r="DM54" i="2"/>
  <c r="BN52" i="2"/>
  <c r="BZ5" i="2"/>
  <c r="CM34" i="2"/>
  <c r="BT5" i="2"/>
  <c r="BA34" i="2"/>
  <c r="BA50" i="2" s="1"/>
  <c r="CZ4" i="2"/>
  <c r="CT37" i="2"/>
  <c r="CZ42" i="2"/>
  <c r="DK24" i="2"/>
  <c r="DT52" i="2"/>
  <c r="BZ6" i="2"/>
  <c r="BN9" i="2"/>
  <c r="CT33" i="2"/>
  <c r="DB19" i="2"/>
  <c r="CS19" i="2"/>
  <c r="CP34" i="2"/>
  <c r="CP50" i="2" s="1"/>
  <c r="DJ34" i="2"/>
  <c r="DJ50" i="2" s="1"/>
  <c r="R34" i="2"/>
  <c r="EA36" i="2"/>
  <c r="DX54" i="2"/>
  <c r="EB36" i="2"/>
  <c r="DT37" i="2"/>
  <c r="DQ15" i="2"/>
  <c r="DQ28" i="2"/>
  <c r="EB8" i="2"/>
  <c r="DV34" i="2"/>
  <c r="DV50" i="2" s="1"/>
  <c r="EA12" i="2"/>
  <c r="EA38" i="2"/>
  <c r="EB12" i="2"/>
  <c r="EB25" i="2"/>
  <c r="EB40" i="2"/>
  <c r="EB44" i="2"/>
  <c r="DK8" i="2"/>
  <c r="EB16" i="2"/>
  <c r="DK18" i="2"/>
  <c r="EA24" i="2"/>
  <c r="DN23" i="2"/>
  <c r="EB23" i="2"/>
  <c r="DQ38" i="2"/>
  <c r="EB38" i="2"/>
  <c r="EB13" i="2"/>
  <c r="DK13" i="2"/>
  <c r="DP19" i="2"/>
  <c r="EB27" i="2"/>
  <c r="DN27" i="2"/>
  <c r="DY50" i="2"/>
  <c r="DQ45" i="2"/>
  <c r="EB17" i="2"/>
  <c r="DK17" i="2"/>
  <c r="EB31" i="2"/>
  <c r="DN31" i="2"/>
  <c r="DN14" i="2"/>
  <c r="EB14" i="2"/>
  <c r="DT42" i="2"/>
  <c r="DN18" i="2"/>
  <c r="EB18" i="2"/>
  <c r="EB21" i="2"/>
  <c r="EB5" i="2"/>
  <c r="EB6" i="2"/>
  <c r="DK6" i="2"/>
  <c r="EB29" i="2"/>
  <c r="EB32" i="2"/>
  <c r="DN35" i="2"/>
  <c r="DM34" i="2"/>
  <c r="EB35" i="2"/>
  <c r="DW43" i="2"/>
  <c r="DM19" i="2"/>
  <c r="EB9" i="2"/>
  <c r="EB10" i="2"/>
  <c r="DK10" i="2"/>
  <c r="EB22" i="2"/>
  <c r="DK22" i="2"/>
  <c r="EA39" i="2"/>
  <c r="DN7" i="2"/>
  <c r="EB7" i="2"/>
  <c r="EB26" i="2"/>
  <c r="DK26" i="2"/>
  <c r="EB33" i="2"/>
  <c r="DP34" i="2"/>
  <c r="EA42" i="2"/>
  <c r="EA43" i="2"/>
  <c r="EB30" i="2"/>
  <c r="DK30" i="2"/>
  <c r="EA40" i="2"/>
  <c r="DN4" i="2"/>
  <c r="DZ4" i="2"/>
  <c r="EB42" i="2"/>
  <c r="EA4" i="2"/>
  <c r="DI34" i="2"/>
  <c r="DP54" i="2"/>
  <c r="EB41" i="2"/>
  <c r="EB45" i="2"/>
  <c r="DN53" i="2"/>
  <c r="DL34" i="2"/>
  <c r="DL50" i="2" s="1"/>
  <c r="DK39" i="2"/>
  <c r="DN40" i="2"/>
  <c r="DK43" i="2"/>
  <c r="DN44" i="2"/>
  <c r="DK52" i="2"/>
  <c r="DW52" i="2"/>
  <c r="EB53" i="2"/>
  <c r="DS19" i="2"/>
  <c r="DN37" i="2"/>
  <c r="DK5" i="2"/>
  <c r="DK9" i="2"/>
  <c r="DK12" i="2"/>
  <c r="DK16" i="2"/>
  <c r="DK21" i="2"/>
  <c r="DK25" i="2"/>
  <c r="DK29" i="2"/>
  <c r="DK33" i="2"/>
  <c r="DZ34" i="2"/>
  <c r="DQ35" i="2"/>
  <c r="DI54" i="2"/>
  <c r="DK36" i="2"/>
  <c r="DJ54" i="2"/>
  <c r="DJ19" i="2"/>
  <c r="DV19" i="2"/>
  <c r="CT36" i="2"/>
  <c r="DC4" i="2"/>
  <c r="CT12" i="2"/>
  <c r="CN4" i="2"/>
  <c r="CV34" i="2"/>
  <c r="DB50" i="2"/>
  <c r="DC6" i="2"/>
  <c r="DC54" i="2"/>
  <c r="CZ52" i="2"/>
  <c r="CZ53" i="2"/>
  <c r="CZ35" i="2"/>
  <c r="CW35" i="2"/>
  <c r="CW52" i="2"/>
  <c r="CV19" i="2"/>
  <c r="CW53" i="2"/>
  <c r="CT52" i="2"/>
  <c r="CT53" i="2"/>
  <c r="CT35" i="2"/>
  <c r="CN5" i="2"/>
  <c r="CN53" i="2"/>
  <c r="CN35" i="2"/>
  <c r="BZ12" i="2"/>
  <c r="BZ14" i="2"/>
  <c r="BZ16" i="2"/>
  <c r="BZ18" i="2"/>
  <c r="BX19" i="2"/>
  <c r="BY19" i="2"/>
  <c r="BZ13" i="2"/>
  <c r="BZ15" i="2"/>
  <c r="BZ17" i="2"/>
  <c r="CE7" i="2"/>
  <c r="BH30" i="2"/>
  <c r="BH44" i="2"/>
  <c r="BZ32" i="2"/>
  <c r="BZ30" i="2"/>
  <c r="BZ28" i="2"/>
  <c r="BZ26" i="2"/>
  <c r="BZ24" i="2"/>
  <c r="BZ22" i="2"/>
  <c r="BT42" i="2"/>
  <c r="BT38" i="2"/>
  <c r="BT17" i="2"/>
  <c r="BT13" i="2"/>
  <c r="BT12" i="2"/>
  <c r="BT18" i="2"/>
  <c r="BT52" i="2"/>
  <c r="BT43" i="2"/>
  <c r="BT29" i="2"/>
  <c r="BT6" i="2"/>
  <c r="BT23" i="2"/>
  <c r="BT33" i="2"/>
  <c r="BT37" i="2"/>
  <c r="BT16" i="2"/>
  <c r="BT21" i="2"/>
  <c r="BT27" i="2"/>
  <c r="BR34" i="2"/>
  <c r="BT45" i="2"/>
  <c r="BT14" i="2"/>
  <c r="BR19" i="2"/>
  <c r="BS19" i="2"/>
  <c r="BT41" i="2"/>
  <c r="BT10" i="2"/>
  <c r="BT31" i="2"/>
  <c r="BT35" i="2"/>
  <c r="BT8" i="2"/>
  <c r="BT53" i="2"/>
  <c r="BM19" i="2"/>
  <c r="BL19" i="2"/>
  <c r="BL54" i="2"/>
  <c r="BN12" i="2"/>
  <c r="BN14" i="2"/>
  <c r="BN16" i="2"/>
  <c r="BN18" i="2"/>
  <c r="BN21" i="2"/>
  <c r="BN23" i="2"/>
  <c r="BN25" i="2"/>
  <c r="BN27" i="2"/>
  <c r="BN29" i="2"/>
  <c r="BN31" i="2"/>
  <c r="BN33" i="2"/>
  <c r="BN35" i="2"/>
  <c r="BN37" i="2"/>
  <c r="BN39" i="2"/>
  <c r="BN4" i="2"/>
  <c r="BN6" i="2"/>
  <c r="BN8" i="2"/>
  <c r="BN10" i="2"/>
  <c r="BN13" i="2"/>
  <c r="BN15" i="2"/>
  <c r="BN17" i="2"/>
  <c r="BN22" i="2"/>
  <c r="BN24" i="2"/>
  <c r="BN26" i="2"/>
  <c r="BN28" i="2"/>
  <c r="BN30" i="2"/>
  <c r="BN32" i="2"/>
  <c r="BN38" i="2"/>
  <c r="BN40" i="2"/>
  <c r="BN42" i="2"/>
  <c r="BN44" i="2"/>
  <c r="BN53" i="2"/>
  <c r="BH40" i="2"/>
  <c r="BH36" i="2"/>
  <c r="BH22" i="2"/>
  <c r="BH17" i="2"/>
  <c r="BG19" i="2"/>
  <c r="BH15" i="2"/>
  <c r="BH52" i="2"/>
  <c r="BH41" i="2"/>
  <c r="BH38" i="2"/>
  <c r="BH26" i="2"/>
  <c r="BF19" i="2"/>
  <c r="BH5" i="2"/>
  <c r="BF54" i="2"/>
  <c r="BG54" i="2"/>
  <c r="BH14" i="2"/>
  <c r="BH16" i="2"/>
  <c r="BH18" i="2"/>
  <c r="BH21" i="2"/>
  <c r="BH23" i="2"/>
  <c r="BH25" i="2"/>
  <c r="BH27" i="2"/>
  <c r="BH29" i="2"/>
  <c r="BH31" i="2"/>
  <c r="BH33" i="2"/>
  <c r="BH39" i="2"/>
  <c r="BH4" i="2"/>
  <c r="BH6" i="2"/>
  <c r="BH8" i="2"/>
  <c r="BH10" i="2"/>
  <c r="BF34" i="2"/>
  <c r="BB45" i="2"/>
  <c r="BB37" i="2"/>
  <c r="BB31" i="2"/>
  <c r="BB7" i="2"/>
  <c r="AZ19" i="2"/>
  <c r="AZ54" i="2"/>
  <c r="BB5" i="2"/>
  <c r="BB9" i="2"/>
  <c r="BA54" i="2"/>
  <c r="BB12" i="2"/>
  <c r="BB14" i="2"/>
  <c r="BB16" i="2"/>
  <c r="BB18" i="2"/>
  <c r="BB21" i="2"/>
  <c r="BB23" i="2"/>
  <c r="BB25" i="2"/>
  <c r="BB27" i="2"/>
  <c r="BB33" i="2"/>
  <c r="BB35" i="2"/>
  <c r="BB39" i="2"/>
  <c r="AZ34" i="2"/>
  <c r="BB4" i="2"/>
  <c r="BB6" i="2"/>
  <c r="BB8" i="2"/>
  <c r="BB10" i="2"/>
  <c r="BA19" i="2"/>
  <c r="BB13" i="2"/>
  <c r="BB15" i="2"/>
  <c r="BB17" i="2"/>
  <c r="BB22" i="2"/>
  <c r="BB24" i="2"/>
  <c r="BB26" i="2"/>
  <c r="BB28" i="2"/>
  <c r="BB30" i="2"/>
  <c r="BB32" i="2"/>
  <c r="BB36" i="2"/>
  <c r="BB38" i="2"/>
  <c r="BB40" i="2"/>
  <c r="BB42" i="2"/>
  <c r="BB44" i="2"/>
  <c r="BB53" i="2"/>
  <c r="X731" i="1"/>
  <c r="Z731" i="1" s="1"/>
  <c r="T53" i="2"/>
  <c r="BO53" i="2" s="1"/>
  <c r="Y731" i="1"/>
  <c r="AA731" i="1" s="1"/>
  <c r="CF11" i="2" l="1"/>
  <c r="FF54" i="2"/>
  <c r="EM56" i="2"/>
  <c r="ES50" i="2"/>
  <c r="FF34" i="2"/>
  <c r="FD56" i="2"/>
  <c r="CW19" i="2"/>
  <c r="FD50" i="2"/>
  <c r="FF19" i="2"/>
  <c r="ES56" i="2"/>
  <c r="EP50" i="2"/>
  <c r="EO56" i="2"/>
  <c r="EP56" i="2" s="1"/>
  <c r="EV50" i="2"/>
  <c r="EU56" i="2"/>
  <c r="EV56" i="2" s="1"/>
  <c r="FE50" i="2"/>
  <c r="FB56" i="2"/>
  <c r="EJ50" i="2"/>
  <c r="EI56" i="2"/>
  <c r="EJ56" i="2" s="1"/>
  <c r="DT54" i="2"/>
  <c r="EC8" i="2"/>
  <c r="CN54" i="2"/>
  <c r="CW54" i="2"/>
  <c r="CP56" i="2"/>
  <c r="BT54" i="2"/>
  <c r="DW54" i="2"/>
  <c r="CT34" i="2"/>
  <c r="DZ19" i="2"/>
  <c r="CZ54" i="2"/>
  <c r="CT54" i="2"/>
  <c r="CW34" i="2"/>
  <c r="EC6" i="2"/>
  <c r="EC24" i="2"/>
  <c r="EC43" i="2"/>
  <c r="EC10" i="2"/>
  <c r="EC52" i="2"/>
  <c r="DA56" i="2"/>
  <c r="EC9" i="2"/>
  <c r="EC36" i="2"/>
  <c r="EC33" i="2"/>
  <c r="DN19" i="2"/>
  <c r="CR50" i="2"/>
  <c r="CT50" i="2" s="1"/>
  <c r="CU56" i="2"/>
  <c r="EC35" i="2"/>
  <c r="EC7" i="2"/>
  <c r="EC31" i="2"/>
  <c r="DU56" i="2"/>
  <c r="CL56" i="2"/>
  <c r="EC28" i="2"/>
  <c r="EC25" i="2"/>
  <c r="CN19" i="2"/>
  <c r="CN34" i="2"/>
  <c r="DW19" i="2"/>
  <c r="CZ19" i="2"/>
  <c r="DC19" i="2"/>
  <c r="EC17" i="2"/>
  <c r="CO56" i="2"/>
  <c r="EC40" i="2"/>
  <c r="BN54" i="2"/>
  <c r="EC45" i="2"/>
  <c r="EC22" i="2"/>
  <c r="CT19" i="2"/>
  <c r="DL56" i="2"/>
  <c r="EC41" i="2"/>
  <c r="EC37" i="2"/>
  <c r="DC50" i="2"/>
  <c r="DN54" i="2"/>
  <c r="EC53" i="2"/>
  <c r="EC27" i="2"/>
  <c r="EC39" i="2"/>
  <c r="EC44" i="2"/>
  <c r="EC15" i="2"/>
  <c r="DK34" i="2"/>
  <c r="EC4" i="2"/>
  <c r="EC5" i="2"/>
  <c r="DZ50" i="2"/>
  <c r="EC16" i="2"/>
  <c r="DQ19" i="2"/>
  <c r="DX56" i="2"/>
  <c r="EA19" i="2"/>
  <c r="EC14" i="2"/>
  <c r="BN34" i="2"/>
  <c r="EC13" i="2"/>
  <c r="EC32" i="2"/>
  <c r="DO56" i="2"/>
  <c r="EC12" i="2"/>
  <c r="EC23" i="2"/>
  <c r="DT19" i="2"/>
  <c r="EC29" i="2"/>
  <c r="EC21" i="2"/>
  <c r="EC18" i="2"/>
  <c r="CX56" i="2"/>
  <c r="DR56" i="2"/>
  <c r="EC26" i="2"/>
  <c r="EC30" i="2"/>
  <c r="CZ50" i="2"/>
  <c r="CZ34" i="2"/>
  <c r="DT34" i="2"/>
  <c r="CV50" i="2"/>
  <c r="CW50" i="2" s="1"/>
  <c r="CM50" i="2"/>
  <c r="DW50" i="2"/>
  <c r="CS56" i="2"/>
  <c r="DW34" i="2"/>
  <c r="DY56" i="2"/>
  <c r="EC38" i="2"/>
  <c r="DQ34" i="2"/>
  <c r="DP50" i="2"/>
  <c r="DQ50" i="2" s="1"/>
  <c r="EC42" i="2"/>
  <c r="DT50" i="2"/>
  <c r="EB34" i="2"/>
  <c r="DV56" i="2"/>
  <c r="EA54" i="2"/>
  <c r="DS56" i="2"/>
  <c r="DK19" i="2"/>
  <c r="EB19" i="2"/>
  <c r="DK54" i="2"/>
  <c r="DJ56" i="2"/>
  <c r="EB54" i="2"/>
  <c r="DQ54" i="2"/>
  <c r="EA34" i="2"/>
  <c r="DI50" i="2"/>
  <c r="EA50" i="2" s="1"/>
  <c r="DM50" i="2"/>
  <c r="DN34" i="2"/>
  <c r="CY56" i="2"/>
  <c r="DB56" i="2"/>
  <c r="BZ19" i="2"/>
  <c r="BT34" i="2"/>
  <c r="BS50" i="2"/>
  <c r="BR50" i="2"/>
  <c r="BT19" i="2"/>
  <c r="BN19" i="2"/>
  <c r="BN50" i="2"/>
  <c r="BL56" i="2"/>
  <c r="BM56" i="2"/>
  <c r="BH19" i="2"/>
  <c r="BH34" i="2"/>
  <c r="BG50" i="2"/>
  <c r="BG56" i="2" s="1"/>
  <c r="BF50" i="2"/>
  <c r="BH54" i="2"/>
  <c r="BB34" i="2"/>
  <c r="BB19" i="2"/>
  <c r="BA56" i="2"/>
  <c r="BB54" i="2"/>
  <c r="AZ50" i="2"/>
  <c r="W714" i="1"/>
  <c r="AC713" i="1"/>
  <c r="AB713" i="1"/>
  <c r="W713" i="1"/>
  <c r="Z52" i="2" s="1"/>
  <c r="BU52" i="2" s="1"/>
  <c r="AC712" i="1"/>
  <c r="AB712" i="1"/>
  <c r="W712" i="1"/>
  <c r="T52" i="2" s="1"/>
  <c r="BO52" i="2" s="1"/>
  <c r="W711" i="1"/>
  <c r="H52" i="2" s="1"/>
  <c r="BC52" i="2" s="1"/>
  <c r="AC710" i="1"/>
  <c r="AB710" i="1"/>
  <c r="W710" i="1"/>
  <c r="N52" i="2" s="1"/>
  <c r="BI52" i="2" s="1"/>
  <c r="AC709" i="1"/>
  <c r="AB709" i="1"/>
  <c r="W709" i="1"/>
  <c r="AC708" i="1"/>
  <c r="AB708" i="1"/>
  <c r="W708" i="1"/>
  <c r="AC707" i="1"/>
  <c r="AB707" i="1"/>
  <c r="W707" i="1"/>
  <c r="W706" i="1"/>
  <c r="W705" i="1"/>
  <c r="W704" i="1"/>
  <c r="W703" i="1"/>
  <c r="W702" i="1"/>
  <c r="W701" i="1"/>
  <c r="W700" i="1"/>
  <c r="W699" i="1"/>
  <c r="Y706" i="1" s="1"/>
  <c r="W697" i="1"/>
  <c r="AC696" i="1"/>
  <c r="AB696" i="1"/>
  <c r="W696" i="1"/>
  <c r="AC695" i="1"/>
  <c r="AB695" i="1"/>
  <c r="W695" i="1"/>
  <c r="T7" i="2" s="1"/>
  <c r="BO7" i="2" s="1"/>
  <c r="W694" i="1"/>
  <c r="H7" i="2" s="1"/>
  <c r="BC7" i="2" s="1"/>
  <c r="AC693" i="1"/>
  <c r="AB693" i="1"/>
  <c r="W693" i="1"/>
  <c r="N7" i="2" s="1"/>
  <c r="BI7" i="2" s="1"/>
  <c r="AC692" i="1"/>
  <c r="AB692" i="1"/>
  <c r="W692" i="1"/>
  <c r="B7" i="2" s="1"/>
  <c r="AC691" i="1"/>
  <c r="AB691" i="1"/>
  <c r="W691" i="1"/>
  <c r="AC690" i="1"/>
  <c r="AB690" i="1"/>
  <c r="W690" i="1"/>
  <c r="AF7" i="2" s="1"/>
  <c r="CA7" i="2" s="1"/>
  <c r="W689" i="1"/>
  <c r="W688" i="1"/>
  <c r="W687" i="1"/>
  <c r="W686" i="1"/>
  <c r="W685" i="1"/>
  <c r="W684" i="1"/>
  <c r="W683" i="1"/>
  <c r="W682" i="1"/>
  <c r="Y689" i="1" s="1"/>
  <c r="W680" i="1"/>
  <c r="AC679" i="1"/>
  <c r="AB679" i="1"/>
  <c r="W679" i="1"/>
  <c r="AC678" i="1"/>
  <c r="AB678" i="1"/>
  <c r="W678" i="1"/>
  <c r="T16" i="2" s="1"/>
  <c r="BO16" i="2" s="1"/>
  <c r="W677" i="1"/>
  <c r="H16" i="2" s="1"/>
  <c r="BC16" i="2" s="1"/>
  <c r="AC676" i="1"/>
  <c r="AB676" i="1"/>
  <c r="W676" i="1"/>
  <c r="N16" i="2" s="1"/>
  <c r="BI16" i="2" s="1"/>
  <c r="AC675" i="1"/>
  <c r="AB675" i="1"/>
  <c r="W675" i="1"/>
  <c r="B16" i="2" s="1"/>
  <c r="AC674" i="1"/>
  <c r="AB674" i="1"/>
  <c r="W674" i="1"/>
  <c r="AC673" i="1"/>
  <c r="AB673" i="1"/>
  <c r="W673" i="1"/>
  <c r="W672" i="1"/>
  <c r="W671" i="1"/>
  <c r="W670" i="1"/>
  <c r="W669" i="1"/>
  <c r="W668" i="1"/>
  <c r="W667" i="1"/>
  <c r="W666" i="1"/>
  <c r="W665" i="1"/>
  <c r="Y672" i="1" s="1"/>
  <c r="W663" i="1"/>
  <c r="AC662" i="1"/>
  <c r="AB662" i="1"/>
  <c r="W662" i="1"/>
  <c r="AC661" i="1"/>
  <c r="AB661" i="1"/>
  <c r="W661" i="1"/>
  <c r="T10" i="2" s="1"/>
  <c r="BO10" i="2" s="1"/>
  <c r="W660" i="1"/>
  <c r="H10" i="2" s="1"/>
  <c r="BC10" i="2" s="1"/>
  <c r="AC659" i="1"/>
  <c r="AB659" i="1"/>
  <c r="W659" i="1"/>
  <c r="N10" i="2" s="1"/>
  <c r="BI10" i="2" s="1"/>
  <c r="AC658" i="1"/>
  <c r="AB658" i="1"/>
  <c r="W658" i="1"/>
  <c r="B10" i="2" s="1"/>
  <c r="AC657" i="1"/>
  <c r="AB657" i="1"/>
  <c r="W657" i="1"/>
  <c r="AC656" i="1"/>
  <c r="AB656" i="1"/>
  <c r="W656" i="1"/>
  <c r="W655" i="1"/>
  <c r="W654" i="1"/>
  <c r="W653" i="1"/>
  <c r="W652" i="1"/>
  <c r="W651" i="1"/>
  <c r="W650" i="1"/>
  <c r="W649" i="1"/>
  <c r="W648" i="1"/>
  <c r="Y655" i="1" s="1"/>
  <c r="W646" i="1"/>
  <c r="AC645" i="1"/>
  <c r="AB645" i="1"/>
  <c r="W645" i="1"/>
  <c r="AC644" i="1"/>
  <c r="AB644" i="1"/>
  <c r="W644" i="1"/>
  <c r="T9" i="2" s="1"/>
  <c r="BO9" i="2" s="1"/>
  <c r="W643" i="1"/>
  <c r="H9" i="2" s="1"/>
  <c r="BC9" i="2" s="1"/>
  <c r="AC642" i="1"/>
  <c r="AB642" i="1"/>
  <c r="W642" i="1"/>
  <c r="N9" i="2" s="1"/>
  <c r="BI9" i="2" s="1"/>
  <c r="AC641" i="1"/>
  <c r="AB641" i="1"/>
  <c r="W641" i="1"/>
  <c r="B9" i="2" s="1"/>
  <c r="AC640" i="1"/>
  <c r="AB640" i="1"/>
  <c r="W640" i="1"/>
  <c r="AC639" i="1"/>
  <c r="AB639" i="1"/>
  <c r="W639" i="1"/>
  <c r="W638" i="1"/>
  <c r="W637" i="1"/>
  <c r="W636" i="1"/>
  <c r="W635" i="1"/>
  <c r="W634" i="1"/>
  <c r="W633" i="1"/>
  <c r="W632" i="1"/>
  <c r="W631" i="1"/>
  <c r="Y638" i="1" s="1"/>
  <c r="W629" i="1"/>
  <c r="AC628" i="1"/>
  <c r="AB628" i="1"/>
  <c r="W628" i="1"/>
  <c r="AC627" i="1"/>
  <c r="AB627" i="1"/>
  <c r="W627" i="1"/>
  <c r="T11" i="2" s="1"/>
  <c r="V11" i="2" s="1"/>
  <c r="W626" i="1"/>
  <c r="H11" i="2" s="1"/>
  <c r="AC625" i="1"/>
  <c r="AB625" i="1"/>
  <c r="W625" i="1"/>
  <c r="AC624" i="1"/>
  <c r="AB624" i="1"/>
  <c r="W624" i="1"/>
  <c r="B11" i="2" s="1"/>
  <c r="AW11" i="2" s="1"/>
  <c r="AY11" i="2" s="1"/>
  <c r="AC623" i="1"/>
  <c r="AB623" i="1"/>
  <c r="W623" i="1"/>
  <c r="AC622" i="1"/>
  <c r="AB622" i="1"/>
  <c r="W622" i="1"/>
  <c r="AF11" i="2" s="1"/>
  <c r="W621" i="1"/>
  <c r="W620" i="1"/>
  <c r="W619" i="1"/>
  <c r="W618" i="1"/>
  <c r="W617" i="1"/>
  <c r="W616" i="1"/>
  <c r="W615" i="1"/>
  <c r="W614" i="1"/>
  <c r="Y621" i="1" s="1"/>
  <c r="W612" i="1"/>
  <c r="AC611" i="1"/>
  <c r="AB611" i="1"/>
  <c r="W611" i="1"/>
  <c r="AC610" i="1"/>
  <c r="AB610" i="1"/>
  <c r="W610" i="1"/>
  <c r="T15" i="2" s="1"/>
  <c r="BO15" i="2" s="1"/>
  <c r="W609" i="1"/>
  <c r="H15" i="2" s="1"/>
  <c r="BC15" i="2" s="1"/>
  <c r="AC608" i="1"/>
  <c r="AB608" i="1"/>
  <c r="W608" i="1"/>
  <c r="N15" i="2" s="1"/>
  <c r="BI15" i="2" s="1"/>
  <c r="AC607" i="1"/>
  <c r="AB607" i="1"/>
  <c r="W607" i="1"/>
  <c r="B15" i="2" s="1"/>
  <c r="AC606" i="1"/>
  <c r="AB606" i="1"/>
  <c r="W606" i="1"/>
  <c r="AC605" i="1"/>
  <c r="AB605" i="1"/>
  <c r="W605" i="1"/>
  <c r="W604" i="1"/>
  <c r="W603" i="1"/>
  <c r="W602" i="1"/>
  <c r="W601" i="1"/>
  <c r="W600" i="1"/>
  <c r="W599" i="1"/>
  <c r="W598" i="1"/>
  <c r="W597" i="1"/>
  <c r="Y604" i="1" s="1"/>
  <c r="W595" i="1"/>
  <c r="AC594" i="1"/>
  <c r="AB594" i="1"/>
  <c r="W594" i="1"/>
  <c r="AC593" i="1"/>
  <c r="AB593" i="1"/>
  <c r="W593" i="1"/>
  <c r="T14" i="2" s="1"/>
  <c r="BO14" i="2" s="1"/>
  <c r="W592" i="1"/>
  <c r="H14" i="2" s="1"/>
  <c r="BC14" i="2" s="1"/>
  <c r="AC591" i="1"/>
  <c r="AB591" i="1"/>
  <c r="W591" i="1"/>
  <c r="N14" i="2" s="1"/>
  <c r="BI14" i="2" s="1"/>
  <c r="AC590" i="1"/>
  <c r="AB590" i="1"/>
  <c r="W590" i="1"/>
  <c r="B14" i="2" s="1"/>
  <c r="AC589" i="1"/>
  <c r="AB589" i="1"/>
  <c r="W589" i="1"/>
  <c r="AC588" i="1"/>
  <c r="AB588" i="1"/>
  <c r="W588" i="1"/>
  <c r="W587" i="1"/>
  <c r="W586" i="1"/>
  <c r="W585" i="1"/>
  <c r="W584" i="1"/>
  <c r="W583" i="1"/>
  <c r="W582" i="1"/>
  <c r="W581" i="1"/>
  <c r="W580" i="1"/>
  <c r="Y587" i="1" s="1"/>
  <c r="W578" i="1"/>
  <c r="AC577" i="1"/>
  <c r="AB577" i="1"/>
  <c r="W577" i="1"/>
  <c r="AC576" i="1"/>
  <c r="AB576" i="1"/>
  <c r="W576" i="1"/>
  <c r="T8" i="2" s="1"/>
  <c r="BO8" i="2" s="1"/>
  <c r="W575" i="1"/>
  <c r="H8" i="2" s="1"/>
  <c r="BC8" i="2" s="1"/>
  <c r="AC574" i="1"/>
  <c r="AB574" i="1"/>
  <c r="W574" i="1"/>
  <c r="N8" i="2" s="1"/>
  <c r="BI8" i="2" s="1"/>
  <c r="AC573" i="1"/>
  <c r="AB573" i="1"/>
  <c r="W573" i="1"/>
  <c r="B8" i="2" s="1"/>
  <c r="AC572" i="1"/>
  <c r="AB572" i="1"/>
  <c r="W572" i="1"/>
  <c r="AC571" i="1"/>
  <c r="AB571" i="1"/>
  <c r="W571" i="1"/>
  <c r="W570" i="1"/>
  <c r="W569" i="1"/>
  <c r="W568" i="1"/>
  <c r="W567" i="1"/>
  <c r="W566" i="1"/>
  <c r="W565" i="1"/>
  <c r="W564" i="1"/>
  <c r="W563" i="1"/>
  <c r="Y570" i="1" s="1"/>
  <c r="W561" i="1"/>
  <c r="AC560" i="1"/>
  <c r="AB560" i="1"/>
  <c r="W560" i="1"/>
  <c r="AC559" i="1"/>
  <c r="AB559" i="1"/>
  <c r="W559" i="1"/>
  <c r="T6" i="2" s="1"/>
  <c r="BO6" i="2" s="1"/>
  <c r="W558" i="1"/>
  <c r="H6" i="2" s="1"/>
  <c r="BC6" i="2" s="1"/>
  <c r="AC557" i="1"/>
  <c r="AB557" i="1"/>
  <c r="W557" i="1"/>
  <c r="N6" i="2" s="1"/>
  <c r="BI6" i="2" s="1"/>
  <c r="AC556" i="1"/>
  <c r="AB556" i="1"/>
  <c r="W556" i="1"/>
  <c r="B6" i="2" s="1"/>
  <c r="AC555" i="1"/>
  <c r="AB555" i="1"/>
  <c r="W555" i="1"/>
  <c r="AC554" i="1"/>
  <c r="AB554" i="1"/>
  <c r="W554" i="1"/>
  <c r="AF6" i="2" s="1"/>
  <c r="CA6" i="2" s="1"/>
  <c r="W553" i="1"/>
  <c r="W552" i="1"/>
  <c r="W551" i="1"/>
  <c r="W550" i="1"/>
  <c r="W549" i="1"/>
  <c r="W548" i="1"/>
  <c r="W547" i="1"/>
  <c r="W546" i="1"/>
  <c r="Y553" i="1" s="1"/>
  <c r="W544" i="1"/>
  <c r="AC543" i="1"/>
  <c r="AB543" i="1"/>
  <c r="W543" i="1"/>
  <c r="AC542" i="1"/>
  <c r="AB542" i="1"/>
  <c r="W542" i="1"/>
  <c r="T5" i="2" s="1"/>
  <c r="BO5" i="2" s="1"/>
  <c r="W541" i="1"/>
  <c r="H5" i="2" s="1"/>
  <c r="BC5" i="2" s="1"/>
  <c r="AC540" i="1"/>
  <c r="AB540" i="1"/>
  <c r="W540" i="1"/>
  <c r="N5" i="2" s="1"/>
  <c r="BI5" i="2" s="1"/>
  <c r="AC539" i="1"/>
  <c r="AB539" i="1"/>
  <c r="W539" i="1"/>
  <c r="B5" i="2" s="1"/>
  <c r="AC538" i="1"/>
  <c r="AB538" i="1"/>
  <c r="W538" i="1"/>
  <c r="AC537" i="1"/>
  <c r="AB537" i="1"/>
  <c r="W537" i="1"/>
  <c r="W536" i="1"/>
  <c r="W535" i="1"/>
  <c r="W534" i="1"/>
  <c r="W533" i="1"/>
  <c r="W532" i="1"/>
  <c r="W531" i="1"/>
  <c r="W530" i="1"/>
  <c r="W529" i="1"/>
  <c r="Y536" i="1" s="1"/>
  <c r="W527" i="1"/>
  <c r="AC526" i="1"/>
  <c r="AB526" i="1"/>
  <c r="W526" i="1"/>
  <c r="AC525" i="1"/>
  <c r="AB525" i="1"/>
  <c r="W525" i="1"/>
  <c r="T4" i="2" s="1"/>
  <c r="BO4" i="2" s="1"/>
  <c r="W524" i="1"/>
  <c r="H4" i="2" s="1"/>
  <c r="BC4" i="2" s="1"/>
  <c r="AC523" i="1"/>
  <c r="AB523" i="1"/>
  <c r="W523" i="1"/>
  <c r="N4" i="2" s="1"/>
  <c r="BI4" i="2" s="1"/>
  <c r="AC522" i="1"/>
  <c r="AB522" i="1"/>
  <c r="W522" i="1"/>
  <c r="B4" i="2" s="1"/>
  <c r="AC521" i="1"/>
  <c r="AB521" i="1"/>
  <c r="W521" i="1"/>
  <c r="AC520" i="1"/>
  <c r="AB520" i="1"/>
  <c r="W520" i="1"/>
  <c r="W519" i="1"/>
  <c r="W518" i="1"/>
  <c r="W517" i="1"/>
  <c r="W516" i="1"/>
  <c r="W515" i="1"/>
  <c r="W514" i="1"/>
  <c r="W513" i="1"/>
  <c r="W512" i="1"/>
  <c r="Y519" i="1" s="1"/>
  <c r="W510" i="1"/>
  <c r="AC509" i="1"/>
  <c r="AB509" i="1"/>
  <c r="W509" i="1"/>
  <c r="AC508" i="1"/>
  <c r="AB508" i="1"/>
  <c r="W508" i="1"/>
  <c r="T13" i="2" s="1"/>
  <c r="BO13" i="2" s="1"/>
  <c r="W507" i="1"/>
  <c r="H13" i="2" s="1"/>
  <c r="BC13" i="2" s="1"/>
  <c r="AC506" i="1"/>
  <c r="AB506" i="1"/>
  <c r="W506" i="1"/>
  <c r="N13" i="2" s="1"/>
  <c r="BI13" i="2" s="1"/>
  <c r="AC505" i="1"/>
  <c r="AB505" i="1"/>
  <c r="W505" i="1"/>
  <c r="B13" i="2" s="1"/>
  <c r="AC504" i="1"/>
  <c r="AB504" i="1"/>
  <c r="W504" i="1"/>
  <c r="AC503" i="1"/>
  <c r="AB503" i="1"/>
  <c r="W503" i="1"/>
  <c r="W502" i="1"/>
  <c r="W501" i="1"/>
  <c r="W500" i="1"/>
  <c r="W499" i="1"/>
  <c r="W498" i="1"/>
  <c r="W497" i="1"/>
  <c r="W496" i="1"/>
  <c r="W495" i="1"/>
  <c r="Y502" i="1" s="1"/>
  <c r="W493" i="1"/>
  <c r="AC492" i="1"/>
  <c r="AB492" i="1"/>
  <c r="W492" i="1"/>
  <c r="AC491" i="1"/>
  <c r="AB491" i="1"/>
  <c r="W491" i="1"/>
  <c r="T12" i="2" s="1"/>
  <c r="BO12" i="2" s="1"/>
  <c r="W490" i="1"/>
  <c r="H12" i="2" s="1"/>
  <c r="BC12" i="2" s="1"/>
  <c r="AC489" i="1"/>
  <c r="AB489" i="1"/>
  <c r="W489" i="1"/>
  <c r="N12" i="2" s="1"/>
  <c r="BI12" i="2" s="1"/>
  <c r="AC488" i="1"/>
  <c r="AB488" i="1"/>
  <c r="W488" i="1"/>
  <c r="B12" i="2" s="1"/>
  <c r="AC487" i="1"/>
  <c r="AB487" i="1"/>
  <c r="W487" i="1"/>
  <c r="AC486" i="1"/>
  <c r="AB486" i="1"/>
  <c r="W486" i="1"/>
  <c r="AF12" i="2" s="1"/>
  <c r="CA12" i="2" s="1"/>
  <c r="W485" i="1"/>
  <c r="W484" i="1"/>
  <c r="W483" i="1"/>
  <c r="W482" i="1"/>
  <c r="W481" i="1"/>
  <c r="W480" i="1"/>
  <c r="W479" i="1"/>
  <c r="W478" i="1"/>
  <c r="Y485" i="1" s="1"/>
  <c r="W476" i="1"/>
  <c r="AC475" i="1"/>
  <c r="AB475" i="1"/>
  <c r="W475" i="1"/>
  <c r="AC474" i="1"/>
  <c r="AB474" i="1"/>
  <c r="W474" i="1"/>
  <c r="T18" i="2" s="1"/>
  <c r="BO18" i="2" s="1"/>
  <c r="W473" i="1"/>
  <c r="H18" i="2" s="1"/>
  <c r="BC18" i="2" s="1"/>
  <c r="AC472" i="1"/>
  <c r="AB472" i="1"/>
  <c r="W472" i="1"/>
  <c r="N18" i="2" s="1"/>
  <c r="BI18" i="2" s="1"/>
  <c r="AC471" i="1"/>
  <c r="AB471" i="1"/>
  <c r="W471" i="1"/>
  <c r="B18" i="2" s="1"/>
  <c r="AC470" i="1"/>
  <c r="AB470" i="1"/>
  <c r="W470" i="1"/>
  <c r="AC469" i="1"/>
  <c r="AB469" i="1"/>
  <c r="W469" i="1"/>
  <c r="W468" i="1"/>
  <c r="W467" i="1"/>
  <c r="W466" i="1"/>
  <c r="W465" i="1"/>
  <c r="W464" i="1"/>
  <c r="W463" i="1"/>
  <c r="W462" i="1"/>
  <c r="W461" i="1"/>
  <c r="Y468" i="1" s="1"/>
  <c r="W459" i="1"/>
  <c r="AC458" i="1"/>
  <c r="AB458" i="1"/>
  <c r="W458" i="1"/>
  <c r="Z17" i="2" s="1"/>
  <c r="BU17" i="2" s="1"/>
  <c r="AC457" i="1"/>
  <c r="AB457" i="1"/>
  <c r="W457" i="1"/>
  <c r="T17" i="2" s="1"/>
  <c r="BO17" i="2" s="1"/>
  <c r="W456" i="1"/>
  <c r="H17" i="2" s="1"/>
  <c r="BC17" i="2" s="1"/>
  <c r="AC455" i="1"/>
  <c r="AB455" i="1"/>
  <c r="W455" i="1"/>
  <c r="N17" i="2" s="1"/>
  <c r="BI17" i="2" s="1"/>
  <c r="AC454" i="1"/>
  <c r="AB454" i="1"/>
  <c r="W454" i="1"/>
  <c r="B17" i="2" s="1"/>
  <c r="AC453" i="1"/>
  <c r="AB453" i="1"/>
  <c r="W453" i="1"/>
  <c r="AC452" i="1"/>
  <c r="AB452" i="1"/>
  <c r="W452" i="1"/>
  <c r="W451" i="1"/>
  <c r="W450" i="1"/>
  <c r="W449" i="1"/>
  <c r="W448" i="1"/>
  <c r="W447" i="1"/>
  <c r="W446" i="1"/>
  <c r="W445" i="1"/>
  <c r="W444" i="1"/>
  <c r="Y451" i="1" s="1"/>
  <c r="W442" i="1"/>
  <c r="AC441" i="1"/>
  <c r="AB441" i="1"/>
  <c r="W441" i="1"/>
  <c r="Z43" i="2" s="1"/>
  <c r="BU43" i="2" s="1"/>
  <c r="AC440" i="1"/>
  <c r="AB440" i="1"/>
  <c r="W440" i="1"/>
  <c r="T43" i="2" s="1"/>
  <c r="BO43" i="2" s="1"/>
  <c r="W439" i="1"/>
  <c r="H43" i="2" s="1"/>
  <c r="BC43" i="2" s="1"/>
  <c r="AC438" i="1"/>
  <c r="AB438" i="1"/>
  <c r="W438" i="1"/>
  <c r="N43" i="2" s="1"/>
  <c r="BI43" i="2" s="1"/>
  <c r="AC437" i="1"/>
  <c r="AB437" i="1"/>
  <c r="W437" i="1"/>
  <c r="B43" i="2" s="1"/>
  <c r="AC436" i="1"/>
  <c r="AB436" i="1"/>
  <c r="W436" i="1"/>
  <c r="AC435" i="1"/>
  <c r="AB435" i="1"/>
  <c r="W435" i="1"/>
  <c r="W434" i="1"/>
  <c r="W433" i="1"/>
  <c r="W432" i="1"/>
  <c r="W431" i="1"/>
  <c r="W430" i="1"/>
  <c r="W429" i="1"/>
  <c r="W428" i="1"/>
  <c r="W427" i="1"/>
  <c r="Y434" i="1" s="1"/>
  <c r="W425" i="1"/>
  <c r="AC424" i="1"/>
  <c r="AB424" i="1"/>
  <c r="W424" i="1"/>
  <c r="Z27" i="2" s="1"/>
  <c r="BU27" i="2" s="1"/>
  <c r="AC423" i="1"/>
  <c r="AB423" i="1"/>
  <c r="W423" i="1"/>
  <c r="T27" i="2" s="1"/>
  <c r="BO27" i="2" s="1"/>
  <c r="W422" i="1"/>
  <c r="H27" i="2" s="1"/>
  <c r="BC27" i="2" s="1"/>
  <c r="AC421" i="1"/>
  <c r="AB421" i="1"/>
  <c r="W421" i="1"/>
  <c r="N27" i="2" s="1"/>
  <c r="BI27" i="2" s="1"/>
  <c r="AC420" i="1"/>
  <c r="AB420" i="1"/>
  <c r="W420" i="1"/>
  <c r="B27" i="2" s="1"/>
  <c r="AC419" i="1"/>
  <c r="AB419" i="1"/>
  <c r="W419" i="1"/>
  <c r="AC418" i="1"/>
  <c r="AB418" i="1"/>
  <c r="W418" i="1"/>
  <c r="AF27" i="2" s="1"/>
  <c r="CA27" i="2" s="1"/>
  <c r="W417" i="1"/>
  <c r="W416" i="1"/>
  <c r="W415" i="1"/>
  <c r="W414" i="1"/>
  <c r="W413" i="1"/>
  <c r="W412" i="1"/>
  <c r="W411" i="1"/>
  <c r="W410" i="1"/>
  <c r="Y417" i="1" s="1"/>
  <c r="W408" i="1"/>
  <c r="AC407" i="1"/>
  <c r="AB407" i="1"/>
  <c r="W407" i="1"/>
  <c r="Z42" i="2" s="1"/>
  <c r="BU42" i="2" s="1"/>
  <c r="AC406" i="1"/>
  <c r="AB406" i="1"/>
  <c r="W406" i="1"/>
  <c r="T42" i="2" s="1"/>
  <c r="BO42" i="2" s="1"/>
  <c r="W405" i="1"/>
  <c r="H42" i="2" s="1"/>
  <c r="BC42" i="2" s="1"/>
  <c r="AC404" i="1"/>
  <c r="AB404" i="1"/>
  <c r="W404" i="1"/>
  <c r="N42" i="2" s="1"/>
  <c r="BI42" i="2" s="1"/>
  <c r="AC403" i="1"/>
  <c r="AB403" i="1"/>
  <c r="W403" i="1"/>
  <c r="B42" i="2" s="1"/>
  <c r="AC402" i="1"/>
  <c r="AB402" i="1"/>
  <c r="W402" i="1"/>
  <c r="AC401" i="1"/>
  <c r="AB401" i="1"/>
  <c r="W401" i="1"/>
  <c r="W400" i="1"/>
  <c r="W399" i="1"/>
  <c r="W398" i="1"/>
  <c r="W397" i="1"/>
  <c r="W396" i="1"/>
  <c r="W395" i="1"/>
  <c r="W394" i="1"/>
  <c r="W393" i="1"/>
  <c r="Y400" i="1" s="1"/>
  <c r="W391" i="1"/>
  <c r="AC390" i="1"/>
  <c r="AB390" i="1"/>
  <c r="W390" i="1"/>
  <c r="AC389" i="1"/>
  <c r="AB389" i="1"/>
  <c r="W389" i="1"/>
  <c r="W388" i="1"/>
  <c r="AC387" i="1"/>
  <c r="AB387" i="1"/>
  <c r="W387" i="1"/>
  <c r="AC386" i="1"/>
  <c r="AB386" i="1"/>
  <c r="W386" i="1"/>
  <c r="AC385" i="1"/>
  <c r="AB385" i="1"/>
  <c r="W385" i="1"/>
  <c r="AC384" i="1"/>
  <c r="AB384" i="1"/>
  <c r="W384" i="1"/>
  <c r="W383" i="1"/>
  <c r="W382" i="1"/>
  <c r="W381" i="1"/>
  <c r="W380" i="1"/>
  <c r="W379" i="1"/>
  <c r="W378" i="1"/>
  <c r="W377" i="1"/>
  <c r="W376" i="1"/>
  <c r="Y383" i="1" s="1"/>
  <c r="W374" i="1"/>
  <c r="AC373" i="1"/>
  <c r="AB373" i="1"/>
  <c r="W373" i="1"/>
  <c r="Z38" i="2" s="1"/>
  <c r="BU38" i="2" s="1"/>
  <c r="AC372" i="1"/>
  <c r="AB372" i="1"/>
  <c r="W372" i="1"/>
  <c r="T38" i="2" s="1"/>
  <c r="BO38" i="2" s="1"/>
  <c r="W371" i="1"/>
  <c r="H38" i="2" s="1"/>
  <c r="BC38" i="2" s="1"/>
  <c r="AC370" i="1"/>
  <c r="AB370" i="1"/>
  <c r="W370" i="1"/>
  <c r="N38" i="2" s="1"/>
  <c r="BI38" i="2" s="1"/>
  <c r="AC369" i="1"/>
  <c r="AB369" i="1"/>
  <c r="W369" i="1"/>
  <c r="B38" i="2" s="1"/>
  <c r="AC368" i="1"/>
  <c r="AB368" i="1"/>
  <c r="W368" i="1"/>
  <c r="AC367" i="1"/>
  <c r="AB367" i="1"/>
  <c r="W367" i="1"/>
  <c r="Y374" i="1" s="1"/>
  <c r="AA374" i="1" s="1"/>
  <c r="W366" i="1"/>
  <c r="W365" i="1"/>
  <c r="W364" i="1"/>
  <c r="W363" i="1"/>
  <c r="W362" i="1"/>
  <c r="W361" i="1"/>
  <c r="W360" i="1"/>
  <c r="W359" i="1"/>
  <c r="Y366" i="1" s="1"/>
  <c r="W357" i="1"/>
  <c r="AC356" i="1"/>
  <c r="AB356" i="1"/>
  <c r="W356" i="1"/>
  <c r="Z37" i="2" s="1"/>
  <c r="BU37" i="2" s="1"/>
  <c r="AC355" i="1"/>
  <c r="AB355" i="1"/>
  <c r="W355" i="1"/>
  <c r="T37" i="2" s="1"/>
  <c r="BO37" i="2" s="1"/>
  <c r="W354" i="1"/>
  <c r="H37" i="2" s="1"/>
  <c r="BC37" i="2" s="1"/>
  <c r="AC353" i="1"/>
  <c r="AB353" i="1"/>
  <c r="W353" i="1"/>
  <c r="N37" i="2" s="1"/>
  <c r="BI37" i="2" s="1"/>
  <c r="AC352" i="1"/>
  <c r="AB352" i="1"/>
  <c r="W352" i="1"/>
  <c r="B37" i="2" s="1"/>
  <c r="AC351" i="1"/>
  <c r="AB351" i="1"/>
  <c r="W351" i="1"/>
  <c r="AC350" i="1"/>
  <c r="AB350" i="1"/>
  <c r="W350" i="1"/>
  <c r="Y357" i="1" s="1"/>
  <c r="AA357" i="1" s="1"/>
  <c r="W349" i="1"/>
  <c r="W348" i="1"/>
  <c r="W347" i="1"/>
  <c r="W346" i="1"/>
  <c r="W345" i="1"/>
  <c r="W344" i="1"/>
  <c r="W343" i="1"/>
  <c r="W342" i="1"/>
  <c r="Y349" i="1" s="1"/>
  <c r="W340" i="1"/>
  <c r="AC339" i="1"/>
  <c r="AB339" i="1"/>
  <c r="W339" i="1"/>
  <c r="Z36" i="2" s="1"/>
  <c r="BU36" i="2" s="1"/>
  <c r="AC338" i="1"/>
  <c r="AB338" i="1"/>
  <c r="W338" i="1"/>
  <c r="T36" i="2" s="1"/>
  <c r="BO36" i="2" s="1"/>
  <c r="W337" i="1"/>
  <c r="H36" i="2" s="1"/>
  <c r="BC36" i="2" s="1"/>
  <c r="AC336" i="1"/>
  <c r="AB336" i="1"/>
  <c r="W336" i="1"/>
  <c r="N36" i="2" s="1"/>
  <c r="BI36" i="2" s="1"/>
  <c r="AC335" i="1"/>
  <c r="AB335" i="1"/>
  <c r="W335" i="1"/>
  <c r="B36" i="2" s="1"/>
  <c r="AC334" i="1"/>
  <c r="AB334" i="1"/>
  <c r="W334" i="1"/>
  <c r="AC333" i="1"/>
  <c r="AB333" i="1"/>
  <c r="W333" i="1"/>
  <c r="Y340" i="1" s="1"/>
  <c r="W332" i="1"/>
  <c r="W331" i="1"/>
  <c r="W330" i="1"/>
  <c r="W329" i="1"/>
  <c r="W328" i="1"/>
  <c r="W327" i="1"/>
  <c r="W326" i="1"/>
  <c r="W325" i="1"/>
  <c r="Y332" i="1" s="1"/>
  <c r="W323" i="1"/>
  <c r="AC322" i="1"/>
  <c r="AB322" i="1"/>
  <c r="W322" i="1"/>
  <c r="Z35" i="2" s="1"/>
  <c r="AC321" i="1"/>
  <c r="AB321" i="1"/>
  <c r="W321" i="1"/>
  <c r="T35" i="2" s="1"/>
  <c r="BO35" i="2" s="1"/>
  <c r="W320" i="1"/>
  <c r="H35" i="2" s="1"/>
  <c r="BC35" i="2" s="1"/>
  <c r="AC319" i="1"/>
  <c r="AB319" i="1"/>
  <c r="W319" i="1"/>
  <c r="N35" i="2" s="1"/>
  <c r="BI35" i="2" s="1"/>
  <c r="AC318" i="1"/>
  <c r="AB318" i="1"/>
  <c r="W318" i="1"/>
  <c r="B35" i="2" s="1"/>
  <c r="AC317" i="1"/>
  <c r="AB317" i="1"/>
  <c r="W317" i="1"/>
  <c r="AC316" i="1"/>
  <c r="AB316" i="1"/>
  <c r="W316" i="1"/>
  <c r="Y323" i="1" s="1"/>
  <c r="AA323" i="1" s="1"/>
  <c r="W315" i="1"/>
  <c r="W314" i="1"/>
  <c r="W313" i="1"/>
  <c r="W312" i="1"/>
  <c r="W311" i="1"/>
  <c r="W310" i="1"/>
  <c r="W309" i="1"/>
  <c r="W308" i="1"/>
  <c r="Y315" i="1" s="1"/>
  <c r="W306" i="1"/>
  <c r="AC305" i="1"/>
  <c r="AB305" i="1"/>
  <c r="W305" i="1"/>
  <c r="Z33" i="2" s="1"/>
  <c r="BU33" i="2" s="1"/>
  <c r="AC304" i="1"/>
  <c r="AB304" i="1"/>
  <c r="W304" i="1"/>
  <c r="T33" i="2" s="1"/>
  <c r="BO33" i="2" s="1"/>
  <c r="W303" i="1"/>
  <c r="H33" i="2" s="1"/>
  <c r="BC33" i="2" s="1"/>
  <c r="AC302" i="1"/>
  <c r="AB302" i="1"/>
  <c r="W302" i="1"/>
  <c r="N33" i="2" s="1"/>
  <c r="BI33" i="2" s="1"/>
  <c r="AC301" i="1"/>
  <c r="AB301" i="1"/>
  <c r="W301" i="1"/>
  <c r="B33" i="2" s="1"/>
  <c r="AC300" i="1"/>
  <c r="AB300" i="1"/>
  <c r="W300" i="1"/>
  <c r="AC299" i="1"/>
  <c r="AB299" i="1"/>
  <c r="W299" i="1"/>
  <c r="W298" i="1"/>
  <c r="W297" i="1"/>
  <c r="W296" i="1"/>
  <c r="W295" i="1"/>
  <c r="W294" i="1"/>
  <c r="W293" i="1"/>
  <c r="W292" i="1"/>
  <c r="W291" i="1"/>
  <c r="Y298" i="1" s="1"/>
  <c r="W289" i="1"/>
  <c r="AC288" i="1"/>
  <c r="AB288" i="1"/>
  <c r="W288" i="1"/>
  <c r="Z24" i="2" s="1"/>
  <c r="BU24" i="2" s="1"/>
  <c r="AC287" i="1"/>
  <c r="AB287" i="1"/>
  <c r="W287" i="1"/>
  <c r="T24" i="2" s="1"/>
  <c r="BO24" i="2" s="1"/>
  <c r="W286" i="1"/>
  <c r="H24" i="2" s="1"/>
  <c r="BC24" i="2" s="1"/>
  <c r="AC285" i="1"/>
  <c r="AB285" i="1"/>
  <c r="W285" i="1"/>
  <c r="N24" i="2" s="1"/>
  <c r="BI24" i="2" s="1"/>
  <c r="AC284" i="1"/>
  <c r="AB284" i="1"/>
  <c r="W284" i="1"/>
  <c r="B24" i="2" s="1"/>
  <c r="AC283" i="1"/>
  <c r="AB283" i="1"/>
  <c r="W283" i="1"/>
  <c r="AC282" i="1"/>
  <c r="AB282" i="1"/>
  <c r="W282" i="1"/>
  <c r="AF24" i="2" s="1"/>
  <c r="CA24" i="2" s="1"/>
  <c r="W281" i="1"/>
  <c r="W280" i="1"/>
  <c r="W279" i="1"/>
  <c r="W278" i="1"/>
  <c r="W277" i="1"/>
  <c r="W276" i="1"/>
  <c r="W275" i="1"/>
  <c r="W274" i="1"/>
  <c r="Y281" i="1" s="1"/>
  <c r="W272" i="1"/>
  <c r="AC271" i="1"/>
  <c r="AB271" i="1"/>
  <c r="W271" i="1"/>
  <c r="Z32" i="2" s="1"/>
  <c r="BU32" i="2" s="1"/>
  <c r="AC270" i="1"/>
  <c r="AB270" i="1"/>
  <c r="W270" i="1"/>
  <c r="T32" i="2" s="1"/>
  <c r="BO32" i="2" s="1"/>
  <c r="W269" i="1"/>
  <c r="H32" i="2" s="1"/>
  <c r="BC32" i="2" s="1"/>
  <c r="AC268" i="1"/>
  <c r="AB268" i="1"/>
  <c r="W268" i="1"/>
  <c r="N32" i="2" s="1"/>
  <c r="BI32" i="2" s="1"/>
  <c r="AC267" i="1"/>
  <c r="AB267" i="1"/>
  <c r="W267" i="1"/>
  <c r="B32" i="2" s="1"/>
  <c r="AC266" i="1"/>
  <c r="AB266" i="1"/>
  <c r="W266" i="1"/>
  <c r="AC265" i="1"/>
  <c r="AB265" i="1"/>
  <c r="W265" i="1"/>
  <c r="W264" i="1"/>
  <c r="W263" i="1"/>
  <c r="W262" i="1"/>
  <c r="W261" i="1"/>
  <c r="W260" i="1"/>
  <c r="W259" i="1"/>
  <c r="W258" i="1"/>
  <c r="W257" i="1"/>
  <c r="Y264" i="1" s="1"/>
  <c r="W255" i="1"/>
  <c r="AC254" i="1"/>
  <c r="AB254" i="1"/>
  <c r="W254" i="1"/>
  <c r="Z26" i="2" s="1"/>
  <c r="BU26" i="2" s="1"/>
  <c r="AC253" i="1"/>
  <c r="AB253" i="1"/>
  <c r="W253" i="1"/>
  <c r="T26" i="2" s="1"/>
  <c r="BO26" i="2" s="1"/>
  <c r="W252" i="1"/>
  <c r="H26" i="2" s="1"/>
  <c r="BC26" i="2" s="1"/>
  <c r="AC251" i="1"/>
  <c r="AB251" i="1"/>
  <c r="W251" i="1"/>
  <c r="N26" i="2" s="1"/>
  <c r="BI26" i="2" s="1"/>
  <c r="AC250" i="1"/>
  <c r="AB250" i="1"/>
  <c r="W250" i="1"/>
  <c r="B26" i="2" s="1"/>
  <c r="AC249" i="1"/>
  <c r="AB249" i="1"/>
  <c r="W249" i="1"/>
  <c r="AC248" i="1"/>
  <c r="AB248" i="1"/>
  <c r="W248" i="1"/>
  <c r="W247" i="1"/>
  <c r="W246" i="1"/>
  <c r="W245" i="1"/>
  <c r="W244" i="1"/>
  <c r="W243" i="1"/>
  <c r="W242" i="1"/>
  <c r="W241" i="1"/>
  <c r="W240" i="1"/>
  <c r="Y247" i="1" s="1"/>
  <c r="W238" i="1"/>
  <c r="AC237" i="1"/>
  <c r="AB237" i="1"/>
  <c r="W237" i="1"/>
  <c r="AC236" i="1"/>
  <c r="AB236" i="1"/>
  <c r="W236" i="1"/>
  <c r="W235" i="1"/>
  <c r="AC234" i="1"/>
  <c r="AB234" i="1"/>
  <c r="W234" i="1"/>
  <c r="AC233" i="1"/>
  <c r="AB233" i="1"/>
  <c r="W233" i="1"/>
  <c r="AC232" i="1"/>
  <c r="AB232" i="1"/>
  <c r="W232" i="1"/>
  <c r="AC231" i="1"/>
  <c r="AB231" i="1"/>
  <c r="W231" i="1"/>
  <c r="Y238" i="1" s="1"/>
  <c r="W230" i="1"/>
  <c r="W229" i="1"/>
  <c r="W228" i="1"/>
  <c r="W227" i="1"/>
  <c r="W226" i="1"/>
  <c r="W225" i="1"/>
  <c r="W224" i="1"/>
  <c r="W223" i="1"/>
  <c r="Y230" i="1" s="1"/>
  <c r="W221" i="1"/>
  <c r="AC220" i="1"/>
  <c r="AB220" i="1"/>
  <c r="W220" i="1"/>
  <c r="Z25" i="2" s="1"/>
  <c r="BU25" i="2" s="1"/>
  <c r="AC219" i="1"/>
  <c r="AB219" i="1"/>
  <c r="W219" i="1"/>
  <c r="T25" i="2" s="1"/>
  <c r="BO25" i="2" s="1"/>
  <c r="W218" i="1"/>
  <c r="H25" i="2" s="1"/>
  <c r="BC25" i="2" s="1"/>
  <c r="AC217" i="1"/>
  <c r="AB217" i="1"/>
  <c r="W217" i="1"/>
  <c r="N25" i="2" s="1"/>
  <c r="BI25" i="2" s="1"/>
  <c r="AC216" i="1"/>
  <c r="AB216" i="1"/>
  <c r="W216" i="1"/>
  <c r="B25" i="2" s="1"/>
  <c r="AC215" i="1"/>
  <c r="AB215" i="1"/>
  <c r="W215" i="1"/>
  <c r="AC214" i="1"/>
  <c r="AB214" i="1"/>
  <c r="W214" i="1"/>
  <c r="AF25" i="2" s="1"/>
  <c r="CA25" i="2" s="1"/>
  <c r="W213" i="1"/>
  <c r="W212" i="1"/>
  <c r="W211" i="1"/>
  <c r="W210" i="1"/>
  <c r="W209" i="1"/>
  <c r="W208" i="1"/>
  <c r="W207" i="1"/>
  <c r="W206" i="1"/>
  <c r="Y213" i="1" s="1"/>
  <c r="W204" i="1"/>
  <c r="AC203" i="1"/>
  <c r="AB203" i="1"/>
  <c r="W203" i="1"/>
  <c r="Z40" i="2" s="1"/>
  <c r="BU40" i="2" s="1"/>
  <c r="AC202" i="1"/>
  <c r="AB202" i="1"/>
  <c r="W202" i="1"/>
  <c r="T40" i="2" s="1"/>
  <c r="BO40" i="2" s="1"/>
  <c r="W201" i="1"/>
  <c r="H40" i="2" s="1"/>
  <c r="BC40" i="2" s="1"/>
  <c r="AC200" i="1"/>
  <c r="AB200" i="1"/>
  <c r="W200" i="1"/>
  <c r="N40" i="2" s="1"/>
  <c r="BI40" i="2" s="1"/>
  <c r="AC199" i="1"/>
  <c r="AB199" i="1"/>
  <c r="W199" i="1"/>
  <c r="B40" i="2" s="1"/>
  <c r="AC198" i="1"/>
  <c r="AB198" i="1"/>
  <c r="W198" i="1"/>
  <c r="AC197" i="1"/>
  <c r="AB197" i="1"/>
  <c r="W197" i="1"/>
  <c r="W196" i="1"/>
  <c r="W195" i="1"/>
  <c r="W194" i="1"/>
  <c r="W193" i="1"/>
  <c r="W192" i="1"/>
  <c r="W191" i="1"/>
  <c r="W190" i="1"/>
  <c r="W189" i="1"/>
  <c r="Y196" i="1" s="1"/>
  <c r="W187" i="1"/>
  <c r="AC186" i="1"/>
  <c r="AB186" i="1"/>
  <c r="W186" i="1"/>
  <c r="Z22" i="2" s="1"/>
  <c r="BU22" i="2" s="1"/>
  <c r="AC185" i="1"/>
  <c r="AB185" i="1"/>
  <c r="W185" i="1"/>
  <c r="T22" i="2" s="1"/>
  <c r="BO22" i="2" s="1"/>
  <c r="W184" i="1"/>
  <c r="H22" i="2" s="1"/>
  <c r="BC22" i="2" s="1"/>
  <c r="AC183" i="1"/>
  <c r="AB183" i="1"/>
  <c r="W183" i="1"/>
  <c r="N22" i="2" s="1"/>
  <c r="BI22" i="2" s="1"/>
  <c r="AC182" i="1"/>
  <c r="AB182" i="1"/>
  <c r="W182" i="1"/>
  <c r="B22" i="2" s="1"/>
  <c r="AC181" i="1"/>
  <c r="AB181" i="1"/>
  <c r="W181" i="1"/>
  <c r="AC180" i="1"/>
  <c r="AB180" i="1"/>
  <c r="W180" i="1"/>
  <c r="W179" i="1"/>
  <c r="W178" i="1"/>
  <c r="W177" i="1"/>
  <c r="W176" i="1"/>
  <c r="W175" i="1"/>
  <c r="W174" i="1"/>
  <c r="W173" i="1"/>
  <c r="W172" i="1"/>
  <c r="Y179" i="1" s="1"/>
  <c r="W170" i="1"/>
  <c r="AC169" i="1"/>
  <c r="AB169" i="1"/>
  <c r="W169" i="1"/>
  <c r="Z21" i="2" s="1"/>
  <c r="BU21" i="2" s="1"/>
  <c r="AC168" i="1"/>
  <c r="AB168" i="1"/>
  <c r="W168" i="1"/>
  <c r="T21" i="2" s="1"/>
  <c r="BO21" i="2" s="1"/>
  <c r="W167" i="1"/>
  <c r="H21" i="2" s="1"/>
  <c r="BC21" i="2" s="1"/>
  <c r="AC166" i="1"/>
  <c r="AB166" i="1"/>
  <c r="W166" i="1"/>
  <c r="N21" i="2" s="1"/>
  <c r="BI21" i="2" s="1"/>
  <c r="AC165" i="1"/>
  <c r="AB165" i="1"/>
  <c r="W165" i="1"/>
  <c r="B21" i="2" s="1"/>
  <c r="AC164" i="1"/>
  <c r="AB164" i="1"/>
  <c r="W164" i="1"/>
  <c r="AC163" i="1"/>
  <c r="AB163" i="1"/>
  <c r="W163" i="1"/>
  <c r="W162" i="1"/>
  <c r="W161" i="1"/>
  <c r="W160" i="1"/>
  <c r="W159" i="1"/>
  <c r="W158" i="1"/>
  <c r="W157" i="1"/>
  <c r="W156" i="1"/>
  <c r="W155" i="1"/>
  <c r="Y162" i="1" s="1"/>
  <c r="W153" i="1"/>
  <c r="AC152" i="1"/>
  <c r="AB152" i="1"/>
  <c r="W152" i="1"/>
  <c r="Z23" i="2" s="1"/>
  <c r="BU23" i="2" s="1"/>
  <c r="AC151" i="1"/>
  <c r="AB151" i="1"/>
  <c r="W151" i="1"/>
  <c r="T23" i="2" s="1"/>
  <c r="BO23" i="2" s="1"/>
  <c r="W150" i="1"/>
  <c r="H23" i="2" s="1"/>
  <c r="BC23" i="2" s="1"/>
  <c r="AC149" i="1"/>
  <c r="AB149" i="1"/>
  <c r="W149" i="1"/>
  <c r="N23" i="2" s="1"/>
  <c r="BI23" i="2" s="1"/>
  <c r="AC148" i="1"/>
  <c r="AB148" i="1"/>
  <c r="W148" i="1"/>
  <c r="B23" i="2" s="1"/>
  <c r="AC147" i="1"/>
  <c r="AB147" i="1"/>
  <c r="W147" i="1"/>
  <c r="AC146" i="1"/>
  <c r="AB146" i="1"/>
  <c r="W146" i="1"/>
  <c r="AF23" i="2" s="1"/>
  <c r="CA23" i="2" s="1"/>
  <c r="W145" i="1"/>
  <c r="W144" i="1"/>
  <c r="W143" i="1"/>
  <c r="W142" i="1"/>
  <c r="W141" i="1"/>
  <c r="W140" i="1"/>
  <c r="W139" i="1"/>
  <c r="W138" i="1"/>
  <c r="Y145" i="1" s="1"/>
  <c r="W136" i="1"/>
  <c r="AC135" i="1"/>
  <c r="AB135" i="1"/>
  <c r="W135" i="1"/>
  <c r="Z39" i="2" s="1"/>
  <c r="BU39" i="2" s="1"/>
  <c r="AC134" i="1"/>
  <c r="AB134" i="1"/>
  <c r="W134" i="1"/>
  <c r="T39" i="2" s="1"/>
  <c r="BO39" i="2" s="1"/>
  <c r="W133" i="1"/>
  <c r="H39" i="2" s="1"/>
  <c r="BC39" i="2" s="1"/>
  <c r="AC132" i="1"/>
  <c r="AB132" i="1"/>
  <c r="W132" i="1"/>
  <c r="N39" i="2" s="1"/>
  <c r="BI39" i="2" s="1"/>
  <c r="AC131" i="1"/>
  <c r="AB131" i="1"/>
  <c r="W131" i="1"/>
  <c r="B39" i="2" s="1"/>
  <c r="AC130" i="1"/>
  <c r="AB130" i="1"/>
  <c r="W130" i="1"/>
  <c r="AC129" i="1"/>
  <c r="AB129" i="1"/>
  <c r="W129" i="1"/>
  <c r="W128" i="1"/>
  <c r="W127" i="1"/>
  <c r="W126" i="1"/>
  <c r="W125" i="1"/>
  <c r="W124" i="1"/>
  <c r="W123" i="1"/>
  <c r="W122" i="1"/>
  <c r="W121" i="1"/>
  <c r="Y128" i="1" s="1"/>
  <c r="W119" i="1"/>
  <c r="AC118" i="1"/>
  <c r="AB118" i="1"/>
  <c r="W118" i="1"/>
  <c r="Z29" i="2" s="1"/>
  <c r="BU29" i="2" s="1"/>
  <c r="AC117" i="1"/>
  <c r="AB117" i="1"/>
  <c r="W117" i="1"/>
  <c r="T29" i="2" s="1"/>
  <c r="BO29" i="2" s="1"/>
  <c r="W116" i="1"/>
  <c r="H29" i="2" s="1"/>
  <c r="BC29" i="2" s="1"/>
  <c r="AC115" i="1"/>
  <c r="AB115" i="1"/>
  <c r="W115" i="1"/>
  <c r="N29" i="2" s="1"/>
  <c r="BI29" i="2" s="1"/>
  <c r="AC114" i="1"/>
  <c r="AB114" i="1"/>
  <c r="W114" i="1"/>
  <c r="B29" i="2" s="1"/>
  <c r="AC113" i="1"/>
  <c r="AB113" i="1"/>
  <c r="W113" i="1"/>
  <c r="AC112" i="1"/>
  <c r="AB112" i="1"/>
  <c r="W112" i="1"/>
  <c r="W111" i="1"/>
  <c r="W110" i="1"/>
  <c r="W109" i="1"/>
  <c r="W108" i="1"/>
  <c r="W107" i="1"/>
  <c r="W106" i="1"/>
  <c r="W105" i="1"/>
  <c r="W104" i="1"/>
  <c r="Y111" i="1" s="1"/>
  <c r="W102" i="1"/>
  <c r="AC101" i="1"/>
  <c r="AB101" i="1"/>
  <c r="W101" i="1"/>
  <c r="Z28" i="2" s="1"/>
  <c r="BU28" i="2" s="1"/>
  <c r="AC100" i="1"/>
  <c r="AB100" i="1"/>
  <c r="W100" i="1"/>
  <c r="T28" i="2" s="1"/>
  <c r="BO28" i="2" s="1"/>
  <c r="W99" i="1"/>
  <c r="H28" i="2" s="1"/>
  <c r="BC28" i="2" s="1"/>
  <c r="AC98" i="1"/>
  <c r="AB98" i="1"/>
  <c r="W98" i="1"/>
  <c r="N28" i="2" s="1"/>
  <c r="BI28" i="2" s="1"/>
  <c r="AC97" i="1"/>
  <c r="AB97" i="1"/>
  <c r="W97" i="1"/>
  <c r="B28" i="2" s="1"/>
  <c r="AC96" i="1"/>
  <c r="AB96" i="1"/>
  <c r="W96" i="1"/>
  <c r="AC95" i="1"/>
  <c r="AB95" i="1"/>
  <c r="W95" i="1"/>
  <c r="W94" i="1"/>
  <c r="W93" i="1"/>
  <c r="W92" i="1"/>
  <c r="W91" i="1"/>
  <c r="W90" i="1"/>
  <c r="W89" i="1"/>
  <c r="W88" i="1"/>
  <c r="W87" i="1"/>
  <c r="Y94" i="1" s="1"/>
  <c r="W85" i="1"/>
  <c r="AC84" i="1"/>
  <c r="AB84" i="1"/>
  <c r="W84" i="1"/>
  <c r="Z30" i="2" s="1"/>
  <c r="BU30" i="2" s="1"/>
  <c r="AC83" i="1"/>
  <c r="AB83" i="1"/>
  <c r="W83" i="1"/>
  <c r="T30" i="2" s="1"/>
  <c r="BO30" i="2" s="1"/>
  <c r="W82" i="1"/>
  <c r="H30" i="2" s="1"/>
  <c r="BC30" i="2" s="1"/>
  <c r="AC81" i="1"/>
  <c r="AB81" i="1"/>
  <c r="W81" i="1"/>
  <c r="N30" i="2" s="1"/>
  <c r="BI30" i="2" s="1"/>
  <c r="AC80" i="1"/>
  <c r="AB80" i="1"/>
  <c r="W80" i="1"/>
  <c r="B30" i="2" s="1"/>
  <c r="AC79" i="1"/>
  <c r="AB79" i="1"/>
  <c r="W79" i="1"/>
  <c r="AC78" i="1"/>
  <c r="AB78" i="1"/>
  <c r="W78" i="1"/>
  <c r="AF30" i="2" s="1"/>
  <c r="CA30" i="2" s="1"/>
  <c r="W77" i="1"/>
  <c r="W76" i="1"/>
  <c r="W75" i="1"/>
  <c r="W74" i="1"/>
  <c r="W73" i="1"/>
  <c r="W72" i="1"/>
  <c r="W71" i="1"/>
  <c r="W70" i="1"/>
  <c r="Y77" i="1" s="1"/>
  <c r="W68" i="1"/>
  <c r="AC67" i="1"/>
  <c r="AB67" i="1"/>
  <c r="W67" i="1"/>
  <c r="Z31" i="2" s="1"/>
  <c r="BU31" i="2" s="1"/>
  <c r="AC66" i="1"/>
  <c r="AB66" i="1"/>
  <c r="W66" i="1"/>
  <c r="T31" i="2" s="1"/>
  <c r="BO31" i="2" s="1"/>
  <c r="W65" i="1"/>
  <c r="H31" i="2" s="1"/>
  <c r="BC31" i="2" s="1"/>
  <c r="AC64" i="1"/>
  <c r="AB64" i="1"/>
  <c r="W64" i="1"/>
  <c r="N31" i="2" s="1"/>
  <c r="BI31" i="2" s="1"/>
  <c r="AC63" i="1"/>
  <c r="AB63" i="1"/>
  <c r="W63" i="1"/>
  <c r="B31" i="2" s="1"/>
  <c r="AC62" i="1"/>
  <c r="AB62" i="1"/>
  <c r="W62" i="1"/>
  <c r="AC61" i="1"/>
  <c r="AB61" i="1"/>
  <c r="W61" i="1"/>
  <c r="W60" i="1"/>
  <c r="W59" i="1"/>
  <c r="W58" i="1"/>
  <c r="W57" i="1"/>
  <c r="W56" i="1"/>
  <c r="W55" i="1"/>
  <c r="W54" i="1"/>
  <c r="W53" i="1"/>
  <c r="Y60" i="1" s="1"/>
  <c r="W51" i="1"/>
  <c r="AC50" i="1"/>
  <c r="AB50" i="1"/>
  <c r="W50" i="1"/>
  <c r="AC49" i="1"/>
  <c r="AB49" i="1"/>
  <c r="W49" i="1"/>
  <c r="W48" i="1"/>
  <c r="AC47" i="1"/>
  <c r="AB47" i="1"/>
  <c r="W47" i="1"/>
  <c r="AC46" i="1"/>
  <c r="AB46" i="1"/>
  <c r="W46" i="1"/>
  <c r="B45" i="2" s="1"/>
  <c r="AC45" i="1"/>
  <c r="AB45" i="1"/>
  <c r="W45" i="1"/>
  <c r="AC44" i="1"/>
  <c r="AB44" i="1"/>
  <c r="W44" i="1"/>
  <c r="W43" i="1"/>
  <c r="W42" i="1"/>
  <c r="W41" i="1"/>
  <c r="W40" i="1"/>
  <c r="W39" i="1"/>
  <c r="W38" i="1"/>
  <c r="W37" i="1"/>
  <c r="W36" i="1"/>
  <c r="Y43" i="1" s="1"/>
  <c r="W34" i="1"/>
  <c r="AC33" i="1"/>
  <c r="AB33" i="1"/>
  <c r="W33" i="1"/>
  <c r="Z44" i="2" s="1"/>
  <c r="BU44" i="2" s="1"/>
  <c r="AC32" i="1"/>
  <c r="AB32" i="1"/>
  <c r="W32" i="1"/>
  <c r="T44" i="2" s="1"/>
  <c r="BO44" i="2" s="1"/>
  <c r="W31" i="1"/>
  <c r="H44" i="2" s="1"/>
  <c r="BC44" i="2" s="1"/>
  <c r="AC30" i="1"/>
  <c r="AB30" i="1"/>
  <c r="W30" i="1"/>
  <c r="N44" i="2" s="1"/>
  <c r="BI44" i="2" s="1"/>
  <c r="AC29" i="1"/>
  <c r="AB29" i="1"/>
  <c r="W29" i="1"/>
  <c r="B44" i="2" s="1"/>
  <c r="AC28" i="1"/>
  <c r="AB28" i="1"/>
  <c r="W28" i="1"/>
  <c r="AC27" i="1"/>
  <c r="AB27" i="1"/>
  <c r="W27" i="1"/>
  <c r="W26" i="1"/>
  <c r="W25" i="1"/>
  <c r="W24" i="1"/>
  <c r="W23" i="1"/>
  <c r="W22" i="1"/>
  <c r="W21" i="1"/>
  <c r="W20" i="1"/>
  <c r="W19" i="1"/>
  <c r="Y26" i="1" s="1"/>
  <c r="W17" i="1"/>
  <c r="AC16" i="1"/>
  <c r="AB16" i="1"/>
  <c r="W16" i="1"/>
  <c r="Z41" i="2" s="1"/>
  <c r="BU41" i="2" s="1"/>
  <c r="AC15" i="1"/>
  <c r="AB15" i="1"/>
  <c r="W15" i="1"/>
  <c r="T41" i="2" s="1"/>
  <c r="BO41" i="2" s="1"/>
  <c r="W14" i="1"/>
  <c r="H41" i="2" s="1"/>
  <c r="BC41" i="2" s="1"/>
  <c r="AC13" i="1"/>
  <c r="AB13" i="1"/>
  <c r="W13" i="1"/>
  <c r="N41" i="2" s="1"/>
  <c r="BI41" i="2" s="1"/>
  <c r="AC12" i="1"/>
  <c r="AB12" i="1"/>
  <c r="W12" i="1"/>
  <c r="B41" i="2" s="1"/>
  <c r="AC11" i="1"/>
  <c r="AB11" i="1"/>
  <c r="W11" i="1"/>
  <c r="AC10" i="1"/>
  <c r="AB10" i="1"/>
  <c r="W10" i="1"/>
  <c r="AF41" i="2" s="1"/>
  <c r="W9" i="1"/>
  <c r="W8" i="1"/>
  <c r="W7" i="1"/>
  <c r="W6" i="1"/>
  <c r="W5" i="1"/>
  <c r="W4" i="1"/>
  <c r="W3" i="1"/>
  <c r="W2" i="1"/>
  <c r="Y9" i="1" s="1"/>
  <c r="BC11" i="2" l="1"/>
  <c r="BE11" i="2" s="1"/>
  <c r="J11" i="2"/>
  <c r="AA340" i="1"/>
  <c r="T45" i="2"/>
  <c r="BO45" i="2" s="1"/>
  <c r="AH46" i="2"/>
  <c r="CA46" i="2"/>
  <c r="CC46" i="2" s="1"/>
  <c r="H45" i="2"/>
  <c r="BC45" i="2" s="1"/>
  <c r="Z45" i="2"/>
  <c r="BU45" i="2" s="1"/>
  <c r="AB46" i="2"/>
  <c r="BU46" i="2"/>
  <c r="BW46" i="2" s="1"/>
  <c r="N45" i="2"/>
  <c r="BI45" i="2" s="1"/>
  <c r="CA11" i="2"/>
  <c r="CC11" i="2" s="1"/>
  <c r="AH11" i="2"/>
  <c r="FF50" i="2"/>
  <c r="FE56" i="2"/>
  <c r="FF56" i="2" s="1"/>
  <c r="AA238" i="1"/>
  <c r="CR56" i="2"/>
  <c r="CT56" i="2" s="1"/>
  <c r="DC56" i="2"/>
  <c r="DW56" i="2"/>
  <c r="X281" i="1"/>
  <c r="X553" i="1"/>
  <c r="X587" i="1"/>
  <c r="Y289" i="1"/>
  <c r="AA289" i="1" s="1"/>
  <c r="Y561" i="1"/>
  <c r="AA561" i="1" s="1"/>
  <c r="X570" i="1"/>
  <c r="DZ56" i="2"/>
  <c r="X230" i="1"/>
  <c r="Y85" i="1"/>
  <c r="AA85" i="1" s="1"/>
  <c r="Y221" i="1"/>
  <c r="AA221" i="1" s="1"/>
  <c r="EC19" i="2"/>
  <c r="X196" i="1"/>
  <c r="X536" i="1"/>
  <c r="Y17" i="1"/>
  <c r="AA17" i="1" s="1"/>
  <c r="DT56" i="2"/>
  <c r="Z34" i="2"/>
  <c r="BU34" i="2" s="1"/>
  <c r="BU35" i="2"/>
  <c r="X26" i="1"/>
  <c r="X60" i="1"/>
  <c r="X706" i="1"/>
  <c r="CZ56" i="2"/>
  <c r="X238" i="1"/>
  <c r="Z238" i="1" s="1"/>
  <c r="X94" i="1"/>
  <c r="X128" i="1"/>
  <c r="Y425" i="1"/>
  <c r="AA425" i="1" s="1"/>
  <c r="X451" i="1"/>
  <c r="Y629" i="1"/>
  <c r="AA629" i="1" s="1"/>
  <c r="CV56" i="2"/>
  <c r="CW56" i="2" s="1"/>
  <c r="CN50" i="2"/>
  <c r="CM56" i="2"/>
  <c r="CN56" i="2" s="1"/>
  <c r="EC34" i="2"/>
  <c r="EC54" i="2"/>
  <c r="DN50" i="2"/>
  <c r="DM56" i="2"/>
  <c r="DN56" i="2" s="1"/>
  <c r="DI56" i="2"/>
  <c r="EA56" i="2" s="1"/>
  <c r="EB50" i="2"/>
  <c r="EC50" i="2" s="1"/>
  <c r="DK50" i="2"/>
  <c r="DP56" i="2"/>
  <c r="DQ56" i="2" s="1"/>
  <c r="BR56" i="2"/>
  <c r="BT50" i="2"/>
  <c r="BS56" i="2"/>
  <c r="BN56" i="2"/>
  <c r="BF56" i="2"/>
  <c r="BH50" i="2"/>
  <c r="BB50" i="2"/>
  <c r="AZ56" i="2"/>
  <c r="X68" i="1"/>
  <c r="Z68" i="1" s="1"/>
  <c r="X179" i="1"/>
  <c r="X476" i="1"/>
  <c r="Z476" i="1" s="1"/>
  <c r="Z18" i="2"/>
  <c r="BU18" i="2" s="1"/>
  <c r="Y646" i="1"/>
  <c r="AA646" i="1" s="1"/>
  <c r="AF9" i="2"/>
  <c r="CA9" i="2" s="1"/>
  <c r="X85" i="1"/>
  <c r="Z85" i="1" s="1"/>
  <c r="Y34" i="1"/>
  <c r="AA34" i="1" s="1"/>
  <c r="AF44" i="2"/>
  <c r="X34" i="1"/>
  <c r="Z34" i="1" s="1"/>
  <c r="X111" i="1"/>
  <c r="Y51" i="1"/>
  <c r="AA51" i="1" s="1"/>
  <c r="AF45" i="2"/>
  <c r="X102" i="1"/>
  <c r="Z102" i="1" s="1"/>
  <c r="X136" i="1"/>
  <c r="Z136" i="1" s="1"/>
  <c r="Y272" i="1"/>
  <c r="AA272" i="1" s="1"/>
  <c r="AF32" i="2"/>
  <c r="CA32" i="2" s="1"/>
  <c r="X323" i="1"/>
  <c r="Z323" i="1" s="1"/>
  <c r="X357" i="1"/>
  <c r="Z357" i="1" s="1"/>
  <c r="Y459" i="1"/>
  <c r="AA459" i="1" s="1"/>
  <c r="AF17" i="2"/>
  <c r="CA17" i="2" s="1"/>
  <c r="X510" i="1"/>
  <c r="Z510" i="1" s="1"/>
  <c r="Z13" i="2"/>
  <c r="BU13" i="2" s="1"/>
  <c r="Y680" i="1"/>
  <c r="AA680" i="1" s="1"/>
  <c r="AF16" i="2"/>
  <c r="CA16" i="2" s="1"/>
  <c r="X170" i="1"/>
  <c r="Z170" i="1" s="1"/>
  <c r="Y306" i="1"/>
  <c r="AA306" i="1" s="1"/>
  <c r="AF33" i="2"/>
  <c r="CA33" i="2" s="1"/>
  <c r="X434" i="1"/>
  <c r="X544" i="1"/>
  <c r="Z544" i="1" s="1"/>
  <c r="Z5" i="2"/>
  <c r="BU5" i="2" s="1"/>
  <c r="BO11" i="2"/>
  <c r="BQ11" i="2" s="1"/>
  <c r="N11" i="2"/>
  <c r="Y714" i="1"/>
  <c r="AA714" i="1" s="1"/>
  <c r="Y119" i="1"/>
  <c r="AA119" i="1" s="1"/>
  <c r="AF29" i="2"/>
  <c r="CA29" i="2" s="1"/>
  <c r="X204" i="1"/>
  <c r="Z204" i="1" s="1"/>
  <c r="X391" i="1"/>
  <c r="Z391" i="1" s="1"/>
  <c r="X425" i="1"/>
  <c r="Z425" i="1" s="1"/>
  <c r="X578" i="1"/>
  <c r="Z578" i="1" s="1"/>
  <c r="Z8" i="2"/>
  <c r="BU8" i="2" s="1"/>
  <c r="X612" i="1"/>
  <c r="Z612" i="1" s="1"/>
  <c r="Z15" i="2"/>
  <c r="BU15" i="2" s="1"/>
  <c r="Y697" i="1"/>
  <c r="AA697" i="1" s="1"/>
  <c r="X315" i="1"/>
  <c r="Y527" i="1"/>
  <c r="AA527" i="1" s="1"/>
  <c r="AF4" i="2"/>
  <c r="CA4" i="2" s="1"/>
  <c r="X646" i="1"/>
  <c r="Z646" i="1" s="1"/>
  <c r="Z9" i="2"/>
  <c r="BU9" i="2" s="1"/>
  <c r="Y187" i="1"/>
  <c r="AA187" i="1" s="1"/>
  <c r="AF22" i="2"/>
  <c r="CA22" i="2" s="1"/>
  <c r="X272" i="1"/>
  <c r="Z272" i="1" s="1"/>
  <c r="Y408" i="1"/>
  <c r="AA408" i="1" s="1"/>
  <c r="AF42" i="2"/>
  <c r="Y595" i="1"/>
  <c r="AA595" i="1" s="1"/>
  <c r="AF14" i="2"/>
  <c r="CA14" i="2" s="1"/>
  <c r="X680" i="1"/>
  <c r="Z680" i="1" s="1"/>
  <c r="Z16" i="2"/>
  <c r="BU16" i="2" s="1"/>
  <c r="X162" i="1"/>
  <c r="X306" i="1"/>
  <c r="Z306" i="1" s="1"/>
  <c r="Y442" i="1"/>
  <c r="AA442" i="1" s="1"/>
  <c r="AF43" i="2"/>
  <c r="X493" i="1"/>
  <c r="Z493" i="1" s="1"/>
  <c r="Z12" i="2"/>
  <c r="BU12" i="2" s="1"/>
  <c r="X17" i="1"/>
  <c r="Z17" i="1" s="1"/>
  <c r="Y255" i="1"/>
  <c r="AA255" i="1" s="1"/>
  <c r="AF26" i="2"/>
  <c r="CA26" i="2" s="1"/>
  <c r="X340" i="1"/>
  <c r="Z340" i="1" s="1"/>
  <c r="Y663" i="1"/>
  <c r="AA663" i="1" s="1"/>
  <c r="AF10" i="2"/>
  <c r="CA10" i="2" s="1"/>
  <c r="X153" i="1"/>
  <c r="Z153" i="1" s="1"/>
  <c r="X374" i="1"/>
  <c r="Z374" i="1" s="1"/>
  <c r="Y476" i="1"/>
  <c r="AA476" i="1" s="1"/>
  <c r="AF18" i="2"/>
  <c r="CA18" i="2" s="1"/>
  <c r="X527" i="1"/>
  <c r="Z527" i="1" s="1"/>
  <c r="Z4" i="2"/>
  <c r="BU4" i="2" s="1"/>
  <c r="X561" i="1"/>
  <c r="Z561" i="1" s="1"/>
  <c r="Z6" i="2"/>
  <c r="BU6" i="2" s="1"/>
  <c r="X714" i="1"/>
  <c r="Z714" i="1" s="1"/>
  <c r="B52" i="2"/>
  <c r="X43" i="1"/>
  <c r="X51" i="1"/>
  <c r="Z51" i="1" s="1"/>
  <c r="Y102" i="1"/>
  <c r="AA102" i="1" s="1"/>
  <c r="AF28" i="2"/>
  <c r="CA28" i="2" s="1"/>
  <c r="Y136" i="1"/>
  <c r="AA136" i="1" s="1"/>
  <c r="AF39" i="2"/>
  <c r="X187" i="1"/>
  <c r="Z187" i="1" s="1"/>
  <c r="X221" i="1"/>
  <c r="Z221" i="1" s="1"/>
  <c r="X264" i="1"/>
  <c r="X408" i="1"/>
  <c r="Z408" i="1" s="1"/>
  <c r="X459" i="1"/>
  <c r="Z459" i="1" s="1"/>
  <c r="Y510" i="1"/>
  <c r="AA510" i="1" s="1"/>
  <c r="AF13" i="2"/>
  <c r="CA13" i="2" s="1"/>
  <c r="X595" i="1"/>
  <c r="Z595" i="1" s="1"/>
  <c r="Z14" i="2"/>
  <c r="BU14" i="2" s="1"/>
  <c r="X629" i="1"/>
  <c r="Z629" i="1" s="1"/>
  <c r="Z11" i="2"/>
  <c r="X119" i="1"/>
  <c r="Z119" i="1" s="1"/>
  <c r="Y68" i="1"/>
  <c r="AA68" i="1" s="1"/>
  <c r="AF31" i="2"/>
  <c r="CA31" i="2" s="1"/>
  <c r="X77" i="1"/>
  <c r="Y170" i="1"/>
  <c r="AA170" i="1" s="1"/>
  <c r="AF21" i="2"/>
  <c r="CA21" i="2" s="1"/>
  <c r="X442" i="1"/>
  <c r="Z442" i="1" s="1"/>
  <c r="Y493" i="1"/>
  <c r="AA493" i="1" s="1"/>
  <c r="Y544" i="1"/>
  <c r="AA544" i="1" s="1"/>
  <c r="AF5" i="2"/>
  <c r="CA5" i="2" s="1"/>
  <c r="Y153" i="1"/>
  <c r="AA153" i="1" s="1"/>
  <c r="Y204" i="1"/>
  <c r="AA204" i="1" s="1"/>
  <c r="AF40" i="2"/>
  <c r="X255" i="1"/>
  <c r="Z255" i="1" s="1"/>
  <c r="X289" i="1"/>
  <c r="Z289" i="1" s="1"/>
  <c r="X332" i="1"/>
  <c r="Y391" i="1"/>
  <c r="AA391" i="1" s="1"/>
  <c r="AF34" i="2"/>
  <c r="Y578" i="1"/>
  <c r="AA578" i="1" s="1"/>
  <c r="AF8" i="2"/>
  <c r="CA8" i="2" s="1"/>
  <c r="Y612" i="1"/>
  <c r="AA612" i="1" s="1"/>
  <c r="AF15" i="2"/>
  <c r="CA15" i="2" s="1"/>
  <c r="X663" i="1"/>
  <c r="Z663" i="1" s="1"/>
  <c r="Z10" i="2"/>
  <c r="BU10" i="2" s="1"/>
  <c r="X697" i="1"/>
  <c r="Z697" i="1" s="1"/>
  <c r="Z7" i="2"/>
  <c r="BU7" i="2" s="1"/>
  <c r="X400" i="1"/>
  <c r="X468" i="1"/>
  <c r="X604" i="1"/>
  <c r="X672" i="1"/>
  <c r="X247" i="1"/>
  <c r="X383" i="1"/>
  <c r="X519" i="1"/>
  <c r="X655" i="1"/>
  <c r="X298" i="1"/>
  <c r="X366" i="1"/>
  <c r="X502" i="1"/>
  <c r="X638" i="1"/>
  <c r="X9" i="1"/>
  <c r="X145" i="1"/>
  <c r="X213" i="1"/>
  <c r="X349" i="1"/>
  <c r="X417" i="1"/>
  <c r="X485" i="1"/>
  <c r="X621" i="1"/>
  <c r="X689" i="1"/>
  <c r="AJ18" i="2"/>
  <c r="AJ17" i="2"/>
  <c r="AJ16" i="2"/>
  <c r="AJ15" i="2"/>
  <c r="AJ14" i="2"/>
  <c r="AJ13" i="2"/>
  <c r="AJ12" i="2"/>
  <c r="AJ11" i="2"/>
  <c r="AK11" i="2" s="1"/>
  <c r="AJ10" i="2"/>
  <c r="AJ9" i="2"/>
  <c r="AJ8" i="2"/>
  <c r="AJ7" i="2"/>
  <c r="AJ5" i="2"/>
  <c r="AJ4" i="2"/>
  <c r="AD18" i="2"/>
  <c r="AD17" i="2"/>
  <c r="AD16" i="2"/>
  <c r="AD15" i="2"/>
  <c r="AD14" i="2"/>
  <c r="AD13" i="2"/>
  <c r="AD12" i="2"/>
  <c r="AD11" i="2"/>
  <c r="AE11" i="2" s="1"/>
  <c r="AD10" i="2"/>
  <c r="AD9" i="2"/>
  <c r="AD8" i="2"/>
  <c r="AD7" i="2"/>
  <c r="AD5" i="2"/>
  <c r="AD4" i="2"/>
  <c r="X53" i="2"/>
  <c r="X52" i="2"/>
  <c r="X45" i="2"/>
  <c r="X44" i="2"/>
  <c r="X43" i="2"/>
  <c r="X42" i="2"/>
  <c r="X41" i="2"/>
  <c r="X40" i="2"/>
  <c r="X39" i="2"/>
  <c r="X38" i="2"/>
  <c r="X37" i="2"/>
  <c r="X36" i="2"/>
  <c r="X35" i="2"/>
  <c r="X32" i="2"/>
  <c r="X31" i="2"/>
  <c r="X30" i="2"/>
  <c r="X29" i="2"/>
  <c r="X28" i="2"/>
  <c r="X27" i="2"/>
  <c r="X26" i="2"/>
  <c r="X25" i="2"/>
  <c r="X24" i="2"/>
  <c r="X23" i="2"/>
  <c r="X22" i="2"/>
  <c r="X21" i="2"/>
  <c r="X18" i="2"/>
  <c r="X17" i="2"/>
  <c r="X16" i="2"/>
  <c r="X15" i="2"/>
  <c r="X14" i="2"/>
  <c r="X13" i="2"/>
  <c r="X12" i="2"/>
  <c r="X11" i="2"/>
  <c r="Y11" i="2" s="1"/>
  <c r="X10" i="2"/>
  <c r="X9" i="2"/>
  <c r="X8" i="2"/>
  <c r="X7" i="2"/>
  <c r="X5" i="2"/>
  <c r="X4" i="2"/>
  <c r="R18" i="2"/>
  <c r="R17" i="2"/>
  <c r="R16" i="2"/>
  <c r="R15" i="2"/>
  <c r="R14" i="2"/>
  <c r="R13" i="2"/>
  <c r="R12" i="2"/>
  <c r="R11" i="2"/>
  <c r="S11" i="2" s="1"/>
  <c r="R10" i="2"/>
  <c r="R9" i="2"/>
  <c r="R8" i="2"/>
  <c r="R7" i="2"/>
  <c r="R5" i="2"/>
  <c r="R4" i="2"/>
  <c r="L18" i="2"/>
  <c r="L17" i="2"/>
  <c r="L16" i="2"/>
  <c r="L15" i="2"/>
  <c r="L14" i="2"/>
  <c r="L13" i="2"/>
  <c r="L12" i="2"/>
  <c r="L11" i="2"/>
  <c r="M11" i="2" s="1"/>
  <c r="L10" i="2"/>
  <c r="L9" i="2"/>
  <c r="L8" i="2"/>
  <c r="L7" i="2"/>
  <c r="L6" i="2"/>
  <c r="L5" i="2"/>
  <c r="L4" i="2"/>
  <c r="F13" i="2"/>
  <c r="F11" i="2"/>
  <c r="F10" i="2"/>
  <c r="F9" i="2"/>
  <c r="F8" i="2"/>
  <c r="AJ53" i="2"/>
  <c r="AJ52" i="2"/>
  <c r="AD53" i="2"/>
  <c r="AD52" i="2"/>
  <c r="F52" i="2"/>
  <c r="R53" i="2"/>
  <c r="R52" i="2"/>
  <c r="L53" i="2"/>
  <c r="L52" i="2"/>
  <c r="BI11" i="2" l="1"/>
  <c r="BK11" i="2" s="1"/>
  <c r="P11" i="2"/>
  <c r="AL46" i="2"/>
  <c r="D46" i="2"/>
  <c r="AW46" i="2"/>
  <c r="AY46" i="2" s="1"/>
  <c r="V46" i="2"/>
  <c r="BO46" i="2"/>
  <c r="BQ46" i="2" s="1"/>
  <c r="P46" i="2"/>
  <c r="BI46" i="2"/>
  <c r="BK46" i="2" s="1"/>
  <c r="J46" i="2"/>
  <c r="BC46" i="2"/>
  <c r="BE46" i="2" s="1"/>
  <c r="BU11" i="2"/>
  <c r="BW11" i="2" s="1"/>
  <c r="AB11" i="2"/>
  <c r="G11" i="2"/>
  <c r="AP11" i="2"/>
  <c r="AL11" i="2"/>
  <c r="CG11" i="2" s="1"/>
  <c r="DK56" i="2"/>
  <c r="EB56" i="2"/>
  <c r="EC56" i="2" s="1"/>
  <c r="BT56" i="2"/>
  <c r="BH56" i="2"/>
  <c r="BB56" i="2"/>
  <c r="F53" i="2"/>
  <c r="AN46" i="2" l="1"/>
  <c r="CG46" i="2"/>
  <c r="CI46" i="2" s="1"/>
  <c r="AO11" i="2"/>
  <c r="AQ11" i="2" s="1"/>
  <c r="D11" i="2"/>
  <c r="AM11" i="2"/>
  <c r="W630" i="7"/>
  <c r="W631" i="7"/>
  <c r="W632" i="7"/>
  <c r="W633" i="7"/>
  <c r="W634" i="7"/>
  <c r="W635" i="7"/>
  <c r="W636" i="7"/>
  <c r="W637" i="7"/>
  <c r="W638" i="7"/>
  <c r="W639" i="7"/>
  <c r="AG9" i="2" s="1"/>
  <c r="CB9" i="2" s="1"/>
  <c r="CC9" i="2" s="1"/>
  <c r="W640" i="7"/>
  <c r="W641" i="7"/>
  <c r="C9" i="2" s="1"/>
  <c r="W642" i="7"/>
  <c r="O9" i="2" s="1"/>
  <c r="BJ9" i="2" s="1"/>
  <c r="BK9" i="2" s="1"/>
  <c r="W643" i="7"/>
  <c r="I9" i="2" s="1"/>
  <c r="BD9" i="2" s="1"/>
  <c r="BE9" i="2" s="1"/>
  <c r="W644" i="7"/>
  <c r="U9" i="2" s="1"/>
  <c r="BP9" i="2" s="1"/>
  <c r="BQ9" i="2" s="1"/>
  <c r="W645" i="7"/>
  <c r="AA9" i="2" s="1"/>
  <c r="BV9" i="2" s="1"/>
  <c r="BW9" i="2" s="1"/>
  <c r="W646" i="7"/>
  <c r="W647" i="7"/>
  <c r="W648" i="7"/>
  <c r="W649" i="7"/>
  <c r="W650" i="7"/>
  <c r="W651" i="7"/>
  <c r="W652" i="7"/>
  <c r="W653" i="7"/>
  <c r="W654" i="7"/>
  <c r="W655" i="7"/>
  <c r="W656" i="7"/>
  <c r="AG10" i="2" s="1"/>
  <c r="CB10" i="2" s="1"/>
  <c r="CC10" i="2" s="1"/>
  <c r="W657" i="7"/>
  <c r="W658" i="7"/>
  <c r="C10" i="2" s="1"/>
  <c r="W659" i="7"/>
  <c r="O10" i="2" s="1"/>
  <c r="BJ10" i="2" s="1"/>
  <c r="BK10" i="2" s="1"/>
  <c r="W660" i="7"/>
  <c r="I10" i="2" s="1"/>
  <c r="BD10" i="2" s="1"/>
  <c r="BE10" i="2" s="1"/>
  <c r="W661" i="7"/>
  <c r="U10" i="2" s="1"/>
  <c r="BP10" i="2" s="1"/>
  <c r="BQ10" i="2" s="1"/>
  <c r="W662" i="7"/>
  <c r="AA10" i="2" s="1"/>
  <c r="BV10" i="2" s="1"/>
  <c r="BW10" i="2" s="1"/>
  <c r="W663" i="7"/>
  <c r="W664" i="7"/>
  <c r="W665" i="7"/>
  <c r="W666" i="7"/>
  <c r="W667" i="7"/>
  <c r="W668" i="7"/>
  <c r="W669" i="7"/>
  <c r="W670" i="7"/>
  <c r="W671" i="7"/>
  <c r="W672" i="7"/>
  <c r="W673" i="7"/>
  <c r="AG16" i="2" s="1"/>
  <c r="CB16" i="2" s="1"/>
  <c r="CC16" i="2" s="1"/>
  <c r="W674" i="7"/>
  <c r="W675" i="7"/>
  <c r="C16" i="2" s="1"/>
  <c r="W676" i="7"/>
  <c r="O16" i="2" s="1"/>
  <c r="BJ16" i="2" s="1"/>
  <c r="BK16" i="2" s="1"/>
  <c r="W677" i="7"/>
  <c r="I16" i="2" s="1"/>
  <c r="BD16" i="2" s="1"/>
  <c r="BE16" i="2" s="1"/>
  <c r="W678" i="7"/>
  <c r="U16" i="2" s="1"/>
  <c r="BP16" i="2" s="1"/>
  <c r="BQ16" i="2" s="1"/>
  <c r="W679" i="7"/>
  <c r="AA16" i="2" s="1"/>
  <c r="BV16" i="2" s="1"/>
  <c r="BW16" i="2" s="1"/>
  <c r="W680" i="7"/>
  <c r="W681" i="7"/>
  <c r="W682" i="7"/>
  <c r="W683" i="7"/>
  <c r="W684" i="7"/>
  <c r="CB7" i="2" s="1"/>
  <c r="CC7" i="2" s="1"/>
  <c r="W685" i="7"/>
  <c r="W686" i="7"/>
  <c r="W687" i="7"/>
  <c r="W688" i="7"/>
  <c r="W689" i="7"/>
  <c r="W690" i="7"/>
  <c r="W691" i="7"/>
  <c r="W692" i="7"/>
  <c r="C7" i="2" s="1"/>
  <c r="W693" i="7"/>
  <c r="O7" i="2" s="1"/>
  <c r="BJ7" i="2" s="1"/>
  <c r="BK7" i="2" s="1"/>
  <c r="W694" i="7"/>
  <c r="I7" i="2" s="1"/>
  <c r="BD7" i="2" s="1"/>
  <c r="BE7" i="2" s="1"/>
  <c r="W695" i="7"/>
  <c r="U7" i="2" s="1"/>
  <c r="BP7" i="2" s="1"/>
  <c r="BQ7" i="2" s="1"/>
  <c r="W696" i="7"/>
  <c r="AA7" i="2" s="1"/>
  <c r="BV7" i="2" s="1"/>
  <c r="BW7" i="2" s="1"/>
  <c r="W697" i="7"/>
  <c r="W698" i="7"/>
  <c r="W699" i="7"/>
  <c r="W700" i="7"/>
  <c r="W701" i="7"/>
  <c r="W702" i="7"/>
  <c r="W703" i="7"/>
  <c r="W704" i="7"/>
  <c r="W705" i="7"/>
  <c r="W706" i="7"/>
  <c r="W707" i="7"/>
  <c r="AG52" i="2" s="1"/>
  <c r="W708" i="7"/>
  <c r="W709" i="7"/>
  <c r="C52" i="2" s="1"/>
  <c r="W710" i="7"/>
  <c r="O52" i="2" s="1"/>
  <c r="BJ52" i="2" s="1"/>
  <c r="BK52" i="2" s="1"/>
  <c r="W711" i="7"/>
  <c r="I52" i="2" s="1"/>
  <c r="BD52" i="2" s="1"/>
  <c r="BE52" i="2" s="1"/>
  <c r="W712" i="7"/>
  <c r="U52" i="2" s="1"/>
  <c r="BP52" i="2" s="1"/>
  <c r="BQ52" i="2" s="1"/>
  <c r="W713" i="7"/>
  <c r="AA52" i="2" s="1"/>
  <c r="BV52" i="2" s="1"/>
  <c r="BW52" i="2" s="1"/>
  <c r="W714" i="7"/>
  <c r="W715" i="7"/>
  <c r="W716" i="7"/>
  <c r="W717" i="7"/>
  <c r="W718" i="7"/>
  <c r="C53" i="2" s="1"/>
  <c r="W719" i="7"/>
  <c r="O53" i="2" s="1"/>
  <c r="BJ53" i="2" s="1"/>
  <c r="BK53" i="2" s="1"/>
  <c r="W720" i="7"/>
  <c r="W721" i="7"/>
  <c r="U53" i="2" s="1"/>
  <c r="BP53" i="2" s="1"/>
  <c r="BQ53" i="2" s="1"/>
  <c r="W722" i="7"/>
  <c r="AA53" i="2" s="1"/>
  <c r="BV53" i="2" s="1"/>
  <c r="BW53" i="2" s="1"/>
  <c r="W723" i="7"/>
  <c r="W724" i="7"/>
  <c r="AG53" i="2" s="1"/>
  <c r="W725" i="7"/>
  <c r="W726" i="7"/>
  <c r="W727" i="7"/>
  <c r="W728" i="7"/>
  <c r="I53" i="2" s="1"/>
  <c r="BD53" i="2" s="1"/>
  <c r="BE53" i="2" s="1"/>
  <c r="W729" i="7"/>
  <c r="W730" i="7"/>
  <c r="W731" i="7"/>
  <c r="AN11" i="2" l="1"/>
  <c r="CH11" i="2"/>
  <c r="CI11" i="2" s="1"/>
  <c r="CQ6" i="2"/>
  <c r="DE33" i="2"/>
  <c r="DE52" i="2"/>
  <c r="DE53" i="2"/>
  <c r="DE8" i="2"/>
  <c r="DE9" i="2"/>
  <c r="DE10" i="2"/>
  <c r="DE13" i="2"/>
  <c r="CQ53" i="2"/>
  <c r="CQ52" i="2"/>
  <c r="CQ33" i="2"/>
  <c r="CQ13" i="2"/>
  <c r="CQ10" i="2"/>
  <c r="CQ9" i="2"/>
  <c r="CQ8" i="2"/>
  <c r="CE53" i="2"/>
  <c r="CE52" i="2"/>
  <c r="CE33" i="2"/>
  <c r="CE8" i="2"/>
  <c r="CE9" i="2"/>
  <c r="CE10" i="2"/>
  <c r="CE13" i="2"/>
  <c r="CC38" i="2"/>
  <c r="BZ38" i="2"/>
  <c r="CC37" i="2"/>
  <c r="BZ37" i="2"/>
  <c r="CC36" i="2"/>
  <c r="BZ36" i="2"/>
  <c r="CC35" i="2"/>
  <c r="BZ35" i="2"/>
  <c r="BY54" i="2"/>
  <c r="BZ54" i="2" s="1"/>
  <c r="CB53" i="2"/>
  <c r="BZ53" i="2"/>
  <c r="CB52" i="2"/>
  <c r="BZ52" i="2"/>
  <c r="AX53" i="2"/>
  <c r="AX52" i="2"/>
  <c r="AX9" i="2"/>
  <c r="AX10" i="2"/>
  <c r="AU18" i="2"/>
  <c r="AU17" i="2"/>
  <c r="AU12" i="2"/>
  <c r="AU54" i="2"/>
  <c r="AV53" i="2"/>
  <c r="AV52" i="2"/>
  <c r="AV33" i="2"/>
  <c r="AV13" i="2"/>
  <c r="AV10" i="2"/>
  <c r="AV9" i="2"/>
  <c r="AV8" i="2"/>
  <c r="CQ5" i="2" l="1"/>
  <c r="CQ7" i="2"/>
  <c r="CQ21" i="2"/>
  <c r="CQ44" i="2"/>
  <c r="CQ29" i="2"/>
  <c r="CQ14" i="2"/>
  <c r="CQ39" i="2"/>
  <c r="CQ41" i="2"/>
  <c r="CQ43" i="2"/>
  <c r="CQ45" i="2"/>
  <c r="DE28" i="2"/>
  <c r="CQ31" i="2"/>
  <c r="CE29" i="2"/>
  <c r="CQ36" i="2"/>
  <c r="DE35" i="2"/>
  <c r="DE37" i="2"/>
  <c r="DE38" i="2"/>
  <c r="DE43" i="2"/>
  <c r="CQ15" i="2"/>
  <c r="CQ17" i="2"/>
  <c r="BZ41" i="2"/>
  <c r="DE18" i="2"/>
  <c r="CE22" i="2"/>
  <c r="CE30" i="2"/>
  <c r="CE40" i="2"/>
  <c r="CE12" i="2"/>
  <c r="CE23" i="2"/>
  <c r="CE31" i="2"/>
  <c r="CE41" i="2"/>
  <c r="CQ28" i="2"/>
  <c r="CD7" i="2"/>
  <c r="CD16" i="2"/>
  <c r="CQ25" i="2"/>
  <c r="CD8" i="2"/>
  <c r="CF8" i="2" s="1"/>
  <c r="CD17" i="2"/>
  <c r="CD45" i="2"/>
  <c r="CD37" i="2"/>
  <c r="DD12" i="2"/>
  <c r="DD14" i="2"/>
  <c r="CD18" i="2"/>
  <c r="CD28" i="2"/>
  <c r="DD13" i="2"/>
  <c r="DF13" i="2" s="1"/>
  <c r="DD15" i="2"/>
  <c r="DD52" i="2"/>
  <c r="DF52" i="2" s="1"/>
  <c r="DD8" i="2"/>
  <c r="DF8" i="2" s="1"/>
  <c r="CD41" i="2"/>
  <c r="CD42" i="2"/>
  <c r="CE42" i="2"/>
  <c r="CE15" i="2"/>
  <c r="CE25" i="2"/>
  <c r="CE35" i="2"/>
  <c r="CE43" i="2"/>
  <c r="DE5" i="2"/>
  <c r="CE32" i="2"/>
  <c r="DE44" i="2"/>
  <c r="CE16" i="2"/>
  <c r="CE26" i="2"/>
  <c r="CE36" i="2"/>
  <c r="CQ16" i="2"/>
  <c r="CQ26" i="2"/>
  <c r="CQ37" i="2"/>
  <c r="CE14" i="2"/>
  <c r="CE4" i="2"/>
  <c r="CE27" i="2"/>
  <c r="CE45" i="2"/>
  <c r="CE24" i="2"/>
  <c r="CE17" i="2"/>
  <c r="CE37" i="2"/>
  <c r="CE5" i="2"/>
  <c r="CE28" i="2"/>
  <c r="CE38" i="2"/>
  <c r="CE39" i="2"/>
  <c r="CD38" i="2"/>
  <c r="CD36" i="2"/>
  <c r="CD44" i="2"/>
  <c r="DD21" i="2"/>
  <c r="CQ12" i="2"/>
  <c r="CD10" i="2"/>
  <c r="CF10" i="2" s="1"/>
  <c r="CD39" i="2"/>
  <c r="CD53" i="2"/>
  <c r="CF53" i="2" s="1"/>
  <c r="CQ22" i="2"/>
  <c r="CQ24" i="2"/>
  <c r="CD52" i="2"/>
  <c r="CF52" i="2" s="1"/>
  <c r="CD4" i="2"/>
  <c r="CD23" i="2"/>
  <c r="CD31" i="2"/>
  <c r="CD40" i="2"/>
  <c r="DD4" i="2"/>
  <c r="DD6" i="2"/>
  <c r="DD7" i="2"/>
  <c r="DD9" i="2"/>
  <c r="DF9" i="2" s="1"/>
  <c r="DD10" i="2"/>
  <c r="DF10" i="2" s="1"/>
  <c r="DD16" i="2"/>
  <c r="DD18" i="2"/>
  <c r="DD23" i="2"/>
  <c r="DD24" i="2"/>
  <c r="DD25" i="2"/>
  <c r="DD28" i="2"/>
  <c r="DD40" i="2"/>
  <c r="DD41" i="2"/>
  <c r="DD43" i="2"/>
  <c r="CD29" i="2"/>
  <c r="CD5" i="2"/>
  <c r="CD14" i="2"/>
  <c r="CD24" i="2"/>
  <c r="CD32" i="2"/>
  <c r="CD13" i="2"/>
  <c r="CF13" i="2" s="1"/>
  <c r="CD6" i="2"/>
  <c r="CD25" i="2"/>
  <c r="CD33" i="2"/>
  <c r="CF33" i="2" s="1"/>
  <c r="CD26" i="2"/>
  <c r="CD35" i="2"/>
  <c r="CD43" i="2"/>
  <c r="DD22" i="2"/>
  <c r="DD42" i="2"/>
  <c r="DD27" i="2"/>
  <c r="DD36" i="2"/>
  <c r="DD44" i="2"/>
  <c r="DD45" i="2"/>
  <c r="BZ39" i="2"/>
  <c r="CD9" i="2"/>
  <c r="CF9" i="2" s="1"/>
  <c r="DD5" i="2"/>
  <c r="DE31" i="2"/>
  <c r="DE36" i="2"/>
  <c r="CD21" i="2"/>
  <c r="CD15" i="2"/>
  <c r="AV27" i="2"/>
  <c r="CD27" i="2"/>
  <c r="CE18" i="2"/>
  <c r="DE14" i="2"/>
  <c r="CE54" i="2"/>
  <c r="CD12" i="2"/>
  <c r="CD22" i="2"/>
  <c r="CD30" i="2"/>
  <c r="CE44" i="2"/>
  <c r="DE6" i="2"/>
  <c r="AV7" i="2"/>
  <c r="DE27" i="2"/>
  <c r="DE32" i="2"/>
  <c r="DE4" i="2"/>
  <c r="AV6" i="2"/>
  <c r="CE6" i="2"/>
  <c r="CE21" i="2"/>
  <c r="DD17" i="2"/>
  <c r="DE24" i="2"/>
  <c r="BZ45" i="2"/>
  <c r="DE17" i="2"/>
  <c r="DD31" i="2"/>
  <c r="DD53" i="2"/>
  <c r="DF53" i="2" s="1"/>
  <c r="DE15" i="2"/>
  <c r="DD32" i="2"/>
  <c r="DD37" i="2"/>
  <c r="DE54" i="2"/>
  <c r="DE21" i="2"/>
  <c r="DE25" i="2"/>
  <c r="DD29" i="2"/>
  <c r="DD33" i="2"/>
  <c r="DF33" i="2" s="1"/>
  <c r="DE41" i="2"/>
  <c r="DE45" i="2"/>
  <c r="CQ38" i="2"/>
  <c r="DE40" i="2"/>
  <c r="DD26" i="2"/>
  <c r="DE39" i="2"/>
  <c r="BZ43" i="2"/>
  <c r="DE7" i="2"/>
  <c r="DE12" i="2"/>
  <c r="DE16" i="2"/>
  <c r="DE26" i="2"/>
  <c r="DD30" i="2"/>
  <c r="DD35" i="2"/>
  <c r="DD39" i="2"/>
  <c r="DE42" i="2"/>
  <c r="CQ23" i="2"/>
  <c r="CQ30" i="2"/>
  <c r="CQ35" i="2"/>
  <c r="DE23" i="2"/>
  <c r="CQ18" i="2"/>
  <c r="CQ27" i="2"/>
  <c r="CQ42" i="2"/>
  <c r="DE30" i="2"/>
  <c r="DE22" i="2"/>
  <c r="DD38" i="2"/>
  <c r="CQ32" i="2"/>
  <c r="CQ40" i="2"/>
  <c r="DE29" i="2"/>
  <c r="CQ4" i="2"/>
  <c r="CQ54" i="2"/>
  <c r="BX54" i="2"/>
  <c r="BZ42" i="2"/>
  <c r="BY50" i="2"/>
  <c r="BZ40" i="2"/>
  <c r="BZ44" i="2"/>
  <c r="BZ34" i="2"/>
  <c r="AV44" i="2"/>
  <c r="AV43" i="2"/>
  <c r="AV42" i="2"/>
  <c r="AV40" i="2"/>
  <c r="AV39" i="2"/>
  <c r="AV35" i="2"/>
  <c r="AV32" i="2"/>
  <c r="AV31" i="2"/>
  <c r="AV29" i="2"/>
  <c r="AV26" i="2"/>
  <c r="AV25" i="2"/>
  <c r="AV24" i="2"/>
  <c r="AV23" i="2"/>
  <c r="AV17" i="2"/>
  <c r="AV16" i="2"/>
  <c r="AV12" i="2"/>
  <c r="AT54" i="2"/>
  <c r="AV54" i="2" s="1"/>
  <c r="AV45" i="2"/>
  <c r="AV41" i="2"/>
  <c r="AV38" i="2"/>
  <c r="AV37" i="2"/>
  <c r="AT34" i="2"/>
  <c r="AV30" i="2"/>
  <c r="AV28" i="2"/>
  <c r="AV22" i="2"/>
  <c r="AV21" i="2"/>
  <c r="AV18" i="2"/>
  <c r="AV15" i="2"/>
  <c r="AV14" i="2"/>
  <c r="AT19" i="2"/>
  <c r="AV5" i="2"/>
  <c r="AV4" i="2"/>
  <c r="AU19" i="2"/>
  <c r="AV36" i="2"/>
  <c r="AP53" i="2"/>
  <c r="AP52" i="2"/>
  <c r="AP33" i="2"/>
  <c r="AQ33" i="2" s="1"/>
  <c r="AP13" i="2"/>
  <c r="AP10" i="2"/>
  <c r="AP9" i="2"/>
  <c r="AP8" i="2"/>
  <c r="AJ45" i="2"/>
  <c r="AJ44" i="2"/>
  <c r="AJ43" i="2"/>
  <c r="AJ42" i="2"/>
  <c r="AJ41" i="2"/>
  <c r="AJ40" i="2"/>
  <c r="AJ39" i="2"/>
  <c r="AJ32" i="2"/>
  <c r="AJ31" i="2"/>
  <c r="AJ30" i="2"/>
  <c r="AJ29" i="2"/>
  <c r="AJ28" i="2"/>
  <c r="AJ27" i="2"/>
  <c r="AJ26" i="2"/>
  <c r="AJ25" i="2"/>
  <c r="AJ24" i="2"/>
  <c r="AJ23" i="2"/>
  <c r="AJ22" i="2"/>
  <c r="AJ21" i="2"/>
  <c r="AI53" i="2"/>
  <c r="AK53" i="2" s="1"/>
  <c r="AI52" i="2"/>
  <c r="AK52" i="2" s="1"/>
  <c r="AI45" i="2"/>
  <c r="AI44" i="2"/>
  <c r="AI43" i="2"/>
  <c r="AI42" i="2"/>
  <c r="AI41" i="2"/>
  <c r="AI40" i="2"/>
  <c r="AI39" i="2"/>
  <c r="AI33" i="2"/>
  <c r="AI32" i="2"/>
  <c r="AI31" i="2"/>
  <c r="AI30" i="2"/>
  <c r="AI29" i="2"/>
  <c r="AI28" i="2"/>
  <c r="AI27" i="2"/>
  <c r="AI26" i="2"/>
  <c r="AI25" i="2"/>
  <c r="AI24" i="2"/>
  <c r="AI23" i="2"/>
  <c r="AI22" i="2"/>
  <c r="AI21" i="2"/>
  <c r="AI18" i="2"/>
  <c r="AI17" i="2"/>
  <c r="AI16" i="2"/>
  <c r="AI15" i="2"/>
  <c r="AI14" i="2"/>
  <c r="AI13" i="2"/>
  <c r="AK13" i="2" s="1"/>
  <c r="AI12" i="2"/>
  <c r="AI10" i="2"/>
  <c r="AK10" i="2" s="1"/>
  <c r="AI9" i="2"/>
  <c r="AK9" i="2" s="1"/>
  <c r="AI8" i="2"/>
  <c r="AK8" i="2" s="1"/>
  <c r="AI7" i="2"/>
  <c r="AK7" i="2" s="1"/>
  <c r="AI6" i="2"/>
  <c r="AI5" i="2"/>
  <c r="AI4" i="2"/>
  <c r="AJ34" i="2"/>
  <c r="AI34" i="2"/>
  <c r="AJ54" i="2"/>
  <c r="AK38" i="2"/>
  <c r="AK37" i="2"/>
  <c r="AK36" i="2"/>
  <c r="AK35" i="2"/>
  <c r="AK33" i="2"/>
  <c r="AD45" i="2"/>
  <c r="AD44" i="2"/>
  <c r="AD43" i="2"/>
  <c r="AD42" i="2"/>
  <c r="AD41" i="2"/>
  <c r="AD40" i="2"/>
  <c r="AD39" i="2"/>
  <c r="AD38" i="2"/>
  <c r="AD37" i="2"/>
  <c r="AD36" i="2"/>
  <c r="AD35" i="2"/>
  <c r="AD32" i="2"/>
  <c r="AD31" i="2"/>
  <c r="AD30" i="2"/>
  <c r="AD29" i="2"/>
  <c r="AD28" i="2"/>
  <c r="AD27" i="2"/>
  <c r="AD26" i="2"/>
  <c r="AD25" i="2"/>
  <c r="AD24" i="2"/>
  <c r="AD23" i="2"/>
  <c r="AD22" i="2"/>
  <c r="AD21" i="2"/>
  <c r="AC53" i="2"/>
  <c r="AE53" i="2" s="1"/>
  <c r="AC52" i="2"/>
  <c r="AE52" i="2" s="1"/>
  <c r="AC45" i="2"/>
  <c r="AC44" i="2"/>
  <c r="AC43" i="2"/>
  <c r="AC42" i="2"/>
  <c r="AC41" i="2"/>
  <c r="AC40" i="2"/>
  <c r="AC39" i="2"/>
  <c r="AC38" i="2"/>
  <c r="AC37" i="2"/>
  <c r="AC36" i="2"/>
  <c r="AC35" i="2"/>
  <c r="AC33" i="2"/>
  <c r="AC32" i="2"/>
  <c r="AC31" i="2"/>
  <c r="AC30" i="2"/>
  <c r="AC29" i="2"/>
  <c r="AC28" i="2"/>
  <c r="AC27" i="2"/>
  <c r="AC26" i="2"/>
  <c r="AC25" i="2"/>
  <c r="AC24" i="2"/>
  <c r="AC23" i="2"/>
  <c r="AC22" i="2"/>
  <c r="AC21" i="2"/>
  <c r="AC18" i="2"/>
  <c r="AC17" i="2"/>
  <c r="AC16" i="2"/>
  <c r="AC15" i="2"/>
  <c r="AC14" i="2"/>
  <c r="AC13" i="2"/>
  <c r="AE13" i="2" s="1"/>
  <c r="AC12" i="2"/>
  <c r="AC10" i="2"/>
  <c r="AE10" i="2" s="1"/>
  <c r="AC9" i="2"/>
  <c r="AE9" i="2" s="1"/>
  <c r="AC8" i="2"/>
  <c r="AE8" i="2" s="1"/>
  <c r="AC7" i="2"/>
  <c r="AC6" i="2"/>
  <c r="AC5" i="2"/>
  <c r="AC4" i="2"/>
  <c r="AD54" i="2"/>
  <c r="AE33" i="2"/>
  <c r="W53" i="2"/>
  <c r="Y53" i="2" s="1"/>
  <c r="W52" i="2"/>
  <c r="Y52" i="2" s="1"/>
  <c r="W45" i="2"/>
  <c r="W44" i="2"/>
  <c r="W43" i="2"/>
  <c r="W42" i="2"/>
  <c r="W41" i="2"/>
  <c r="W40" i="2"/>
  <c r="W39" i="2"/>
  <c r="W38" i="2"/>
  <c r="W37" i="2"/>
  <c r="W36" i="2"/>
  <c r="W35" i="2"/>
  <c r="W33" i="2"/>
  <c r="W32" i="2"/>
  <c r="W31" i="2"/>
  <c r="W30" i="2"/>
  <c r="W29" i="2"/>
  <c r="W28" i="2"/>
  <c r="W27" i="2"/>
  <c r="W26" i="2"/>
  <c r="W25" i="2"/>
  <c r="W24" i="2"/>
  <c r="W23" i="2"/>
  <c r="W22" i="2"/>
  <c r="W21" i="2"/>
  <c r="W18" i="2"/>
  <c r="W17" i="2"/>
  <c r="W16" i="2"/>
  <c r="W15" i="2"/>
  <c r="W14" i="2"/>
  <c r="W13" i="2"/>
  <c r="Y13" i="2" s="1"/>
  <c r="W12" i="2"/>
  <c r="Y12" i="2" s="1"/>
  <c r="W10" i="2"/>
  <c r="Y10" i="2" s="1"/>
  <c r="W9" i="2"/>
  <c r="Y9" i="2" s="1"/>
  <c r="W8" i="2"/>
  <c r="Y8" i="2" s="1"/>
  <c r="W7" i="2"/>
  <c r="W6" i="2"/>
  <c r="W5" i="2"/>
  <c r="W4" i="2"/>
  <c r="X54" i="2"/>
  <c r="Y33" i="2"/>
  <c r="Q53" i="2"/>
  <c r="S53" i="2" s="1"/>
  <c r="Q52" i="2"/>
  <c r="S52" i="2" s="1"/>
  <c r="Q45" i="2"/>
  <c r="Q44" i="2"/>
  <c r="Q43" i="2"/>
  <c r="Q42" i="2"/>
  <c r="Q41" i="2"/>
  <c r="Q40" i="2"/>
  <c r="Q39" i="2"/>
  <c r="Q38" i="2"/>
  <c r="Q37" i="2"/>
  <c r="Q36" i="2"/>
  <c r="Q35" i="2"/>
  <c r="Q33" i="2"/>
  <c r="Q32" i="2"/>
  <c r="Q31" i="2"/>
  <c r="Q30" i="2"/>
  <c r="Q29" i="2"/>
  <c r="Q28" i="2"/>
  <c r="Q27" i="2"/>
  <c r="Q26" i="2"/>
  <c r="Q25" i="2"/>
  <c r="Q24" i="2"/>
  <c r="Q23" i="2"/>
  <c r="Q22" i="2"/>
  <c r="Q21" i="2"/>
  <c r="Q18" i="2"/>
  <c r="Q17" i="2"/>
  <c r="Q16" i="2"/>
  <c r="Q15" i="2"/>
  <c r="Q14" i="2"/>
  <c r="Q13" i="2"/>
  <c r="S13" i="2" s="1"/>
  <c r="Q12" i="2"/>
  <c r="Q10" i="2"/>
  <c r="S10" i="2" s="1"/>
  <c r="Q9" i="2"/>
  <c r="S9" i="2" s="1"/>
  <c r="Q8" i="2"/>
  <c r="S8" i="2" s="1"/>
  <c r="Q7" i="2"/>
  <c r="Q6" i="2"/>
  <c r="Q5" i="2"/>
  <c r="Q4" i="2"/>
  <c r="R54" i="2"/>
  <c r="S33" i="2"/>
  <c r="L45" i="2"/>
  <c r="L44" i="2"/>
  <c r="L43" i="2"/>
  <c r="L42" i="2"/>
  <c r="L41" i="2"/>
  <c r="L40" i="2"/>
  <c r="L39" i="2"/>
  <c r="L38" i="2"/>
  <c r="L37" i="2"/>
  <c r="L36" i="2"/>
  <c r="L35" i="2"/>
  <c r="L32" i="2"/>
  <c r="L31" i="2"/>
  <c r="L30" i="2"/>
  <c r="L29" i="2"/>
  <c r="L28" i="2"/>
  <c r="L27" i="2"/>
  <c r="L26" i="2"/>
  <c r="L25" i="2"/>
  <c r="L24" i="2"/>
  <c r="L23" i="2"/>
  <c r="L22" i="2"/>
  <c r="L21" i="2"/>
  <c r="K53" i="2"/>
  <c r="M53" i="2" s="1"/>
  <c r="K52" i="2"/>
  <c r="M52" i="2" s="1"/>
  <c r="K45" i="2"/>
  <c r="K44" i="2"/>
  <c r="K43" i="2"/>
  <c r="K42" i="2"/>
  <c r="K41" i="2"/>
  <c r="K40" i="2"/>
  <c r="K39" i="2"/>
  <c r="K38" i="2"/>
  <c r="K37" i="2"/>
  <c r="K36" i="2"/>
  <c r="K35" i="2"/>
  <c r="K33" i="2"/>
  <c r="K32" i="2"/>
  <c r="K31" i="2"/>
  <c r="K30" i="2"/>
  <c r="K29" i="2"/>
  <c r="K28" i="2"/>
  <c r="K27" i="2"/>
  <c r="K26" i="2"/>
  <c r="K25" i="2"/>
  <c r="K24" i="2"/>
  <c r="K23" i="2"/>
  <c r="K22" i="2"/>
  <c r="K21" i="2"/>
  <c r="K18" i="2"/>
  <c r="K17" i="2"/>
  <c r="K16" i="2"/>
  <c r="K15" i="2"/>
  <c r="K14" i="2"/>
  <c r="K13" i="2"/>
  <c r="M13" i="2" s="1"/>
  <c r="K12" i="2"/>
  <c r="K10" i="2"/>
  <c r="M10" i="2" s="1"/>
  <c r="K9" i="2"/>
  <c r="M9" i="2" s="1"/>
  <c r="K8" i="2"/>
  <c r="M8" i="2" s="1"/>
  <c r="K7" i="2"/>
  <c r="K6" i="2"/>
  <c r="K5" i="2"/>
  <c r="K4" i="2"/>
  <c r="L54" i="2"/>
  <c r="M33" i="2"/>
  <c r="AH53" i="2"/>
  <c r="AH38" i="2"/>
  <c r="AH37" i="2"/>
  <c r="AH36" i="2"/>
  <c r="AH35" i="2"/>
  <c r="AH10" i="2"/>
  <c r="AH9" i="2"/>
  <c r="AB10" i="2"/>
  <c r="AB9" i="2"/>
  <c r="V10" i="2"/>
  <c r="V9" i="2"/>
  <c r="P53" i="2"/>
  <c r="P10" i="2"/>
  <c r="P9" i="2"/>
  <c r="J10" i="2"/>
  <c r="J9" i="2"/>
  <c r="D9" i="2"/>
  <c r="D10" i="2"/>
  <c r="G33" i="2"/>
  <c r="S6" i="2" l="1"/>
  <c r="S21" i="2"/>
  <c r="Y6" i="2"/>
  <c r="AE6" i="2"/>
  <c r="Y16" i="2"/>
  <c r="M30" i="2"/>
  <c r="S15" i="2"/>
  <c r="S7" i="2"/>
  <c r="AE14" i="2"/>
  <c r="AE26" i="2"/>
  <c r="AE16" i="2"/>
  <c r="AE15" i="2"/>
  <c r="AK26" i="2"/>
  <c r="DF38" i="2"/>
  <c r="DF28" i="2"/>
  <c r="CF40" i="2"/>
  <c r="CF30" i="2"/>
  <c r="S14" i="2"/>
  <c r="M15" i="2"/>
  <c r="CF29" i="2"/>
  <c r="DF18" i="2"/>
  <c r="Y5" i="2"/>
  <c r="Y44" i="2"/>
  <c r="AK39" i="2"/>
  <c r="AE42" i="2"/>
  <c r="Y43" i="2"/>
  <c r="CF17" i="2"/>
  <c r="CF23" i="2"/>
  <c r="DF45" i="2"/>
  <c r="M44" i="2"/>
  <c r="M4" i="2"/>
  <c r="S12" i="2"/>
  <c r="M7" i="2"/>
  <c r="AE21" i="2"/>
  <c r="M14" i="2"/>
  <c r="Y36" i="2"/>
  <c r="AK44" i="2"/>
  <c r="K54" i="2"/>
  <c r="M54" i="2" s="1"/>
  <c r="M21" i="2"/>
  <c r="S24" i="2"/>
  <c r="AE17" i="2"/>
  <c r="DF30" i="2"/>
  <c r="CF43" i="2"/>
  <c r="AK12" i="2"/>
  <c r="AK28" i="2"/>
  <c r="DF35" i="2"/>
  <c r="DF43" i="2"/>
  <c r="DF5" i="2"/>
  <c r="CF25" i="2"/>
  <c r="DF37" i="2"/>
  <c r="CF27" i="2"/>
  <c r="CF39" i="2"/>
  <c r="CF5" i="2"/>
  <c r="CF22" i="2"/>
  <c r="CF16" i="2"/>
  <c r="CF42" i="2"/>
  <c r="CF7" i="2"/>
  <c r="CF37" i="2"/>
  <c r="CF44" i="2"/>
  <c r="DF16" i="2"/>
  <c r="DF14" i="2"/>
  <c r="AC54" i="2"/>
  <c r="AE54" i="2" s="1"/>
  <c r="CF14" i="2"/>
  <c r="DF22" i="2"/>
  <c r="DF15" i="2"/>
  <c r="CF6" i="2"/>
  <c r="DF41" i="2"/>
  <c r="DF23" i="2"/>
  <c r="DF40" i="2"/>
  <c r="S26" i="2"/>
  <c r="AE7" i="2"/>
  <c r="AE37" i="2"/>
  <c r="DF25" i="2"/>
  <c r="M12" i="2"/>
  <c r="M23" i="2"/>
  <c r="M31" i="2"/>
  <c r="S41" i="2"/>
  <c r="CF35" i="2"/>
  <c r="CF31" i="2"/>
  <c r="CF26" i="2"/>
  <c r="CF28" i="2"/>
  <c r="CF36" i="2"/>
  <c r="CF38" i="2"/>
  <c r="CF41" i="2"/>
  <c r="DF12" i="2"/>
  <c r="DF6" i="2"/>
  <c r="DF17" i="2"/>
  <c r="CF18" i="2"/>
  <c r="DF42" i="2"/>
  <c r="DF21" i="2"/>
  <c r="DF24" i="2"/>
  <c r="DF44" i="2"/>
  <c r="CF45" i="2"/>
  <c r="DF4" i="2"/>
  <c r="AE12" i="2"/>
  <c r="AK6" i="2"/>
  <c r="AE32" i="2"/>
  <c r="S23" i="2"/>
  <c r="S31" i="2"/>
  <c r="AK21" i="2"/>
  <c r="AK43" i="2"/>
  <c r="AK23" i="2"/>
  <c r="AK31" i="2"/>
  <c r="W34" i="2"/>
  <c r="W50" i="2" s="1"/>
  <c r="AI54" i="2"/>
  <c r="AK54" i="2" s="1"/>
  <c r="AE24" i="2"/>
  <c r="AK45" i="2"/>
  <c r="Y27" i="2"/>
  <c r="M29" i="2"/>
  <c r="M39" i="2"/>
  <c r="S32" i="2"/>
  <c r="S42" i="2"/>
  <c r="AK4" i="2"/>
  <c r="AK17" i="2"/>
  <c r="AK27" i="2"/>
  <c r="AE41" i="2"/>
  <c r="AK42" i="2"/>
  <c r="M41" i="2"/>
  <c r="M24" i="2"/>
  <c r="M42" i="2"/>
  <c r="Y7" i="2"/>
  <c r="AE43" i="2"/>
  <c r="AK22" i="2"/>
  <c r="AK30" i="2"/>
  <c r="M25" i="2"/>
  <c r="S18" i="2"/>
  <c r="S28" i="2"/>
  <c r="AE36" i="2"/>
  <c r="AE44" i="2"/>
  <c r="M36" i="2"/>
  <c r="AE27" i="2"/>
  <c r="S30" i="2"/>
  <c r="Y15" i="2"/>
  <c r="Y25" i="2"/>
  <c r="AE38" i="2"/>
  <c r="AK15" i="2"/>
  <c r="Y26" i="2"/>
  <c r="AK40" i="2"/>
  <c r="CF24" i="2"/>
  <c r="CF32" i="2"/>
  <c r="CF4" i="2"/>
  <c r="CQ19" i="2"/>
  <c r="M35" i="2"/>
  <c r="M43" i="2"/>
  <c r="AK18" i="2"/>
  <c r="S17" i="2"/>
  <c r="S27" i="2"/>
  <c r="S37" i="2"/>
  <c r="S38" i="2"/>
  <c r="R50" i="2"/>
  <c r="Y22" i="2"/>
  <c r="S39" i="2"/>
  <c r="AK41" i="2"/>
  <c r="Y40" i="2"/>
  <c r="M32" i="2"/>
  <c r="S29" i="2"/>
  <c r="M16" i="2"/>
  <c r="M26" i="2"/>
  <c r="Y30" i="2"/>
  <c r="CE34" i="2"/>
  <c r="W54" i="2"/>
  <c r="Y54" i="2" s="1"/>
  <c r="AC34" i="2"/>
  <c r="AC50" i="2" s="1"/>
  <c r="K19" i="2"/>
  <c r="M17" i="2"/>
  <c r="M27" i="2"/>
  <c r="M37" i="2"/>
  <c r="Q34" i="2"/>
  <c r="Q50" i="2" s="1"/>
  <c r="Y21" i="2"/>
  <c r="Y29" i="2"/>
  <c r="Y39" i="2"/>
  <c r="AE25" i="2"/>
  <c r="AE35" i="2"/>
  <c r="M22" i="2"/>
  <c r="S25" i="2"/>
  <c r="S36" i="2"/>
  <c r="S44" i="2"/>
  <c r="Y41" i="2"/>
  <c r="Y14" i="2"/>
  <c r="Y24" i="2"/>
  <c r="Y32" i="2"/>
  <c r="AE28" i="2"/>
  <c r="Y35" i="2"/>
  <c r="AE29" i="2"/>
  <c r="AK16" i="2"/>
  <c r="S22" i="2"/>
  <c r="DF7" i="2"/>
  <c r="CD34" i="2"/>
  <c r="DF36" i="2"/>
  <c r="DF27" i="2"/>
  <c r="DF29" i="2"/>
  <c r="DF26" i="2"/>
  <c r="DF32" i="2"/>
  <c r="DD54" i="2"/>
  <c r="DF54" i="2" s="1"/>
  <c r="L19" i="2"/>
  <c r="L34" i="2"/>
  <c r="L50" i="2" s="1"/>
  <c r="DE34" i="2"/>
  <c r="AU50" i="2"/>
  <c r="AU56" i="2" s="1"/>
  <c r="CF12" i="2"/>
  <c r="Y42" i="2"/>
  <c r="AE5" i="2"/>
  <c r="Q54" i="2"/>
  <c r="S54" i="2" s="1"/>
  <c r="K34" i="2"/>
  <c r="K50" i="2" s="1"/>
  <c r="M45" i="2"/>
  <c r="Q19" i="2"/>
  <c r="S40" i="2"/>
  <c r="S45" i="2"/>
  <c r="R19" i="2"/>
  <c r="AK25" i="2"/>
  <c r="AE22" i="2"/>
  <c r="AE30" i="2"/>
  <c r="CE19" i="2"/>
  <c r="CD54" i="2"/>
  <c r="CF54" i="2" s="1"/>
  <c r="W19" i="2"/>
  <c r="X19" i="2"/>
  <c r="Y17" i="2"/>
  <c r="Y37" i="2"/>
  <c r="Y45" i="2"/>
  <c r="Y18" i="2"/>
  <c r="Y28" i="2"/>
  <c r="X34" i="2"/>
  <c r="X50" i="2" s="1"/>
  <c r="AI19" i="2"/>
  <c r="DF31" i="2"/>
  <c r="CD19" i="2"/>
  <c r="DF39" i="2"/>
  <c r="AT50" i="2"/>
  <c r="DD19" i="2"/>
  <c r="CF15" i="2"/>
  <c r="AC19" i="2"/>
  <c r="AK14" i="2"/>
  <c r="AK24" i="2"/>
  <c r="AK32" i="2"/>
  <c r="DD34" i="2"/>
  <c r="CF21" i="2"/>
  <c r="DE19" i="2"/>
  <c r="CQ34" i="2"/>
  <c r="BY56" i="2"/>
  <c r="BX50" i="2"/>
  <c r="BZ50" i="2" s="1"/>
  <c r="AV19" i="2"/>
  <c r="AV34" i="2"/>
  <c r="AJ19" i="2"/>
  <c r="AK29" i="2"/>
  <c r="AI50" i="2"/>
  <c r="AK5" i="2"/>
  <c r="AD34" i="2"/>
  <c r="AD50" i="2" s="1"/>
  <c r="AE18" i="2"/>
  <c r="AD19" i="2"/>
  <c r="AE39" i="2"/>
  <c r="AE31" i="2"/>
  <c r="AE45" i="2"/>
  <c r="AE40" i="2"/>
  <c r="AE23" i="2"/>
  <c r="AE4" i="2"/>
  <c r="Y38" i="2"/>
  <c r="Y23" i="2"/>
  <c r="Y31" i="2"/>
  <c r="Y4" i="2"/>
  <c r="S5" i="2"/>
  <c r="S43" i="2"/>
  <c r="S16" i="2"/>
  <c r="S35" i="2"/>
  <c r="S4" i="2"/>
  <c r="M5" i="2"/>
  <c r="M18" i="2"/>
  <c r="M38" i="2"/>
  <c r="M28" i="2"/>
  <c r="M40" i="2"/>
  <c r="M6" i="2"/>
  <c r="F54" i="2"/>
  <c r="E53" i="2"/>
  <c r="G53" i="2" s="1"/>
  <c r="E52" i="2"/>
  <c r="E33" i="2"/>
  <c r="AO33" i="2" s="1"/>
  <c r="AO52" i="2" l="1"/>
  <c r="AQ52" i="2" s="1"/>
  <c r="G52" i="2"/>
  <c r="CF19" i="2"/>
  <c r="AD56" i="2"/>
  <c r="AV50" i="2"/>
  <c r="K56" i="2"/>
  <c r="M19" i="2"/>
  <c r="AK19" i="2"/>
  <c r="R56" i="2"/>
  <c r="X56" i="2"/>
  <c r="Y19" i="2"/>
  <c r="Y34" i="2"/>
  <c r="S34" i="2"/>
  <c r="S50" i="2"/>
  <c r="CF34" i="2"/>
  <c r="M34" i="2"/>
  <c r="W56" i="2"/>
  <c r="Q56" i="2"/>
  <c r="AE19" i="2"/>
  <c r="AI56" i="2"/>
  <c r="S19" i="2"/>
  <c r="CD50" i="2"/>
  <c r="DF19" i="2"/>
  <c r="AT56" i="2"/>
  <c r="AV56" i="2" s="1"/>
  <c r="DD50" i="2"/>
  <c r="DD56" i="2"/>
  <c r="CE50" i="2"/>
  <c r="AE50" i="2"/>
  <c r="E54" i="2"/>
  <c r="AO54" i="2" s="1"/>
  <c r="AO53" i="2"/>
  <c r="AQ53" i="2" s="1"/>
  <c r="AP54" i="2"/>
  <c r="AE34" i="2"/>
  <c r="DF34" i="2"/>
  <c r="DE50" i="2"/>
  <c r="CQ50" i="2"/>
  <c r="CQ56" i="2"/>
  <c r="BX56" i="2"/>
  <c r="AC56" i="2"/>
  <c r="AJ50" i="2"/>
  <c r="AK34" i="2"/>
  <c r="Y50" i="2"/>
  <c r="L56" i="2"/>
  <c r="M50" i="2"/>
  <c r="E13" i="2"/>
  <c r="E10" i="2"/>
  <c r="E9" i="2"/>
  <c r="E8" i="2"/>
  <c r="E6" i="2"/>
  <c r="AO6" i="2" s="1"/>
  <c r="AM53" i="2"/>
  <c r="AM52" i="2"/>
  <c r="AM10" i="2"/>
  <c r="AM9" i="2"/>
  <c r="AG54" i="2"/>
  <c r="AA54" i="2"/>
  <c r="BV54" i="2" s="1"/>
  <c r="U54" i="2"/>
  <c r="BP54" i="2" s="1"/>
  <c r="I54" i="2"/>
  <c r="BD54" i="2" s="1"/>
  <c r="O54" i="2"/>
  <c r="BJ54" i="2" s="1"/>
  <c r="W256" i="7"/>
  <c r="W257" i="7"/>
  <c r="W258" i="7"/>
  <c r="W259" i="7"/>
  <c r="W260" i="7"/>
  <c r="W261" i="7"/>
  <c r="W262" i="7"/>
  <c r="W263" i="7"/>
  <c r="W264" i="7"/>
  <c r="W265" i="7"/>
  <c r="AG32" i="2" s="1"/>
  <c r="CB32" i="2" s="1"/>
  <c r="CC32" i="2" s="1"/>
  <c r="W266" i="7"/>
  <c r="W267" i="7"/>
  <c r="C32" i="2" s="1"/>
  <c r="W268" i="7"/>
  <c r="O32" i="2" s="1"/>
  <c r="BJ32" i="2" s="1"/>
  <c r="BK32" i="2" s="1"/>
  <c r="W269" i="7"/>
  <c r="I32" i="2" s="1"/>
  <c r="BD32" i="2" s="1"/>
  <c r="BE32" i="2" s="1"/>
  <c r="W270" i="7"/>
  <c r="U32" i="2" s="1"/>
  <c r="BP32" i="2" s="1"/>
  <c r="BQ32" i="2" s="1"/>
  <c r="W271" i="7"/>
  <c r="AA32" i="2" s="1"/>
  <c r="BV32" i="2" s="1"/>
  <c r="BW32" i="2" s="1"/>
  <c r="W272" i="7"/>
  <c r="W273" i="7"/>
  <c r="AO10" i="2" l="1"/>
  <c r="AQ10" i="2" s="1"/>
  <c r="G10" i="2"/>
  <c r="AQ54" i="2"/>
  <c r="AO13" i="2"/>
  <c r="AQ13" i="2" s="1"/>
  <c r="G13" i="2"/>
  <c r="G54" i="2"/>
  <c r="AO9" i="2"/>
  <c r="AQ9" i="2" s="1"/>
  <c r="G9" i="2"/>
  <c r="AO8" i="2"/>
  <c r="AQ8" i="2" s="1"/>
  <c r="G8" i="2"/>
  <c r="CE56" i="2"/>
  <c r="AE56" i="2"/>
  <c r="M56" i="2"/>
  <c r="S56" i="2"/>
  <c r="Y56" i="2"/>
  <c r="DF50" i="2"/>
  <c r="CH53" i="2"/>
  <c r="DE56" i="2"/>
  <c r="DF56" i="2" s="1"/>
  <c r="CH52" i="2"/>
  <c r="CH9" i="2"/>
  <c r="CH10" i="2"/>
  <c r="CB54" i="2"/>
  <c r="CF50" i="2"/>
  <c r="CD56" i="2"/>
  <c r="BZ56" i="2"/>
  <c r="AJ56" i="2"/>
  <c r="AK56" i="2" s="1"/>
  <c r="AK50" i="2"/>
  <c r="C54" i="2"/>
  <c r="AW53" i="2"/>
  <c r="AY53" i="2" s="1"/>
  <c r="P52" i="2" l="1"/>
  <c r="J52" i="2"/>
  <c r="V52" i="2"/>
  <c r="J53" i="2"/>
  <c r="V53" i="2"/>
  <c r="AB53" i="2"/>
  <c r="AB52" i="2"/>
  <c r="CF56" i="2"/>
  <c r="AL53" i="2"/>
  <c r="H54" i="2"/>
  <c r="BC54" i="2" s="1"/>
  <c r="BE54" i="2" s="1"/>
  <c r="T54" i="2"/>
  <c r="BO54" i="2" s="1"/>
  <c r="BQ54" i="2" s="1"/>
  <c r="N54" i="2"/>
  <c r="BI54" i="2" s="1"/>
  <c r="BK54" i="2" s="1"/>
  <c r="Z54" i="2"/>
  <c r="BU54" i="2" s="1"/>
  <c r="BW54" i="2" s="1"/>
  <c r="AW52" i="2"/>
  <c r="AY52" i="2" s="1"/>
  <c r="AW16" i="2"/>
  <c r="AW10" i="2"/>
  <c r="AY10" i="2" s="1"/>
  <c r="AW9" i="2"/>
  <c r="AY9" i="2" s="1"/>
  <c r="AM54" i="2"/>
  <c r="AX54" i="2"/>
  <c r="B54" i="2"/>
  <c r="D54" i="2" s="1"/>
  <c r="D53" i="2"/>
  <c r="D52" i="2"/>
  <c r="V54" i="2" l="1"/>
  <c r="P54" i="2"/>
  <c r="CA52" i="2"/>
  <c r="CC52" i="2" s="1"/>
  <c r="AH52" i="2"/>
  <c r="CG53" i="2"/>
  <c r="CI53" i="2" s="1"/>
  <c r="AN53" i="2"/>
  <c r="J54" i="2"/>
  <c r="AB54" i="2"/>
  <c r="AL10" i="2"/>
  <c r="AL52" i="2"/>
  <c r="AL9" i="2"/>
  <c r="AL16" i="2"/>
  <c r="CG16" i="2" s="1"/>
  <c r="CA53" i="2"/>
  <c r="CC53" i="2" s="1"/>
  <c r="AF54" i="2"/>
  <c r="AL7" i="2"/>
  <c r="CG7" i="2" s="1"/>
  <c r="AW54" i="2"/>
  <c r="AY54" i="2" s="1"/>
  <c r="CH54" i="2"/>
  <c r="CA41" i="2"/>
  <c r="CA44" i="2"/>
  <c r="CA45" i="2"/>
  <c r="CA39" i="2"/>
  <c r="CA40" i="2"/>
  <c r="CA42" i="2"/>
  <c r="CA43" i="2"/>
  <c r="W2" i="7"/>
  <c r="W3" i="7"/>
  <c r="W4" i="7"/>
  <c r="W5" i="7"/>
  <c r="W6" i="7"/>
  <c r="W7" i="7"/>
  <c r="W8" i="7"/>
  <c r="W10" i="7"/>
  <c r="AG41" i="2" s="1"/>
  <c r="W11" i="7"/>
  <c r="W12" i="7"/>
  <c r="C41" i="2" s="1"/>
  <c r="W13" i="7"/>
  <c r="O41" i="2" s="1"/>
  <c r="BJ41" i="2" s="1"/>
  <c r="BK41" i="2" s="1"/>
  <c r="W14" i="7"/>
  <c r="I41" i="2" s="1"/>
  <c r="BD41" i="2" s="1"/>
  <c r="BE41" i="2" s="1"/>
  <c r="W15" i="7"/>
  <c r="U41" i="2" s="1"/>
  <c r="BP41" i="2" s="1"/>
  <c r="BQ41" i="2" s="1"/>
  <c r="W16" i="7"/>
  <c r="AA41" i="2" s="1"/>
  <c r="BV41" i="2" s="1"/>
  <c r="BW41" i="2" s="1"/>
  <c r="W17" i="7"/>
  <c r="W18" i="7"/>
  <c r="W19" i="7"/>
  <c r="W20" i="7"/>
  <c r="W21" i="7"/>
  <c r="W22" i="7"/>
  <c r="W23" i="7"/>
  <c r="W24" i="7"/>
  <c r="W25" i="7"/>
  <c r="W26" i="7"/>
  <c r="W27" i="7"/>
  <c r="AG44" i="2" s="1"/>
  <c r="W28" i="7"/>
  <c r="W29" i="7"/>
  <c r="C44" i="2" s="1"/>
  <c r="W30" i="7"/>
  <c r="O44" i="2" s="1"/>
  <c r="BJ44" i="2" s="1"/>
  <c r="BK44" i="2" s="1"/>
  <c r="W31" i="7"/>
  <c r="I44" i="2" s="1"/>
  <c r="BD44" i="2" s="1"/>
  <c r="BE44" i="2" s="1"/>
  <c r="W32" i="7"/>
  <c r="U44" i="2" s="1"/>
  <c r="BP44" i="2" s="1"/>
  <c r="BQ44" i="2" s="1"/>
  <c r="W33" i="7"/>
  <c r="AA44" i="2" s="1"/>
  <c r="BV44" i="2" s="1"/>
  <c r="BW44" i="2" s="1"/>
  <c r="W34" i="7"/>
  <c r="W35" i="7"/>
  <c r="W36" i="7"/>
  <c r="W37" i="7"/>
  <c r="W38" i="7"/>
  <c r="W39" i="7"/>
  <c r="W40" i="7"/>
  <c r="W41" i="7"/>
  <c r="W42" i="7"/>
  <c r="W43" i="7"/>
  <c r="W44" i="7"/>
  <c r="AG45" i="2" s="1"/>
  <c r="W45" i="7"/>
  <c r="W46" i="7"/>
  <c r="C45" i="2" s="1"/>
  <c r="W47" i="7"/>
  <c r="O45" i="2" s="1"/>
  <c r="BJ45" i="2" s="1"/>
  <c r="BK45" i="2" s="1"/>
  <c r="W48" i="7"/>
  <c r="I45" i="2" s="1"/>
  <c r="BD45" i="2" s="1"/>
  <c r="BE45" i="2" s="1"/>
  <c r="W49" i="7"/>
  <c r="U45" i="2" s="1"/>
  <c r="BP45" i="2" s="1"/>
  <c r="BQ45" i="2" s="1"/>
  <c r="W50" i="7"/>
  <c r="AA45" i="2" s="1"/>
  <c r="BV45" i="2" s="1"/>
  <c r="BW45" i="2" s="1"/>
  <c r="W51" i="7"/>
  <c r="W52" i="7"/>
  <c r="W53" i="7"/>
  <c r="W54" i="7"/>
  <c r="W55" i="7"/>
  <c r="W56" i="7"/>
  <c r="W57" i="7"/>
  <c r="W58" i="7"/>
  <c r="W59" i="7"/>
  <c r="W60" i="7"/>
  <c r="W61" i="7"/>
  <c r="AG31" i="2" s="1"/>
  <c r="CB31" i="2" s="1"/>
  <c r="CC31" i="2" s="1"/>
  <c r="W62" i="7"/>
  <c r="W63" i="7"/>
  <c r="C31" i="2" s="1"/>
  <c r="W64" i="7"/>
  <c r="O31" i="2" s="1"/>
  <c r="BJ31" i="2" s="1"/>
  <c r="BK31" i="2" s="1"/>
  <c r="W65" i="7"/>
  <c r="I31" i="2" s="1"/>
  <c r="BD31" i="2" s="1"/>
  <c r="BE31" i="2" s="1"/>
  <c r="W66" i="7"/>
  <c r="U31" i="2" s="1"/>
  <c r="BP31" i="2" s="1"/>
  <c r="BQ31" i="2" s="1"/>
  <c r="W67" i="7"/>
  <c r="AA31" i="2" s="1"/>
  <c r="BV31" i="2" s="1"/>
  <c r="BW31" i="2" s="1"/>
  <c r="W68" i="7"/>
  <c r="W69" i="7"/>
  <c r="W70" i="7"/>
  <c r="W71" i="7"/>
  <c r="W72" i="7"/>
  <c r="W73" i="7"/>
  <c r="W74" i="7"/>
  <c r="W75" i="7"/>
  <c r="W76" i="7"/>
  <c r="W77" i="7"/>
  <c r="W78" i="7"/>
  <c r="AG30" i="2" s="1"/>
  <c r="CB30" i="2" s="1"/>
  <c r="CC30" i="2" s="1"/>
  <c r="W79" i="7"/>
  <c r="W80" i="7"/>
  <c r="C30" i="2" s="1"/>
  <c r="W81" i="7"/>
  <c r="O30" i="2" s="1"/>
  <c r="BJ30" i="2" s="1"/>
  <c r="BK30" i="2" s="1"/>
  <c r="W82" i="7"/>
  <c r="I30" i="2" s="1"/>
  <c r="BD30" i="2" s="1"/>
  <c r="BE30" i="2" s="1"/>
  <c r="W83" i="7"/>
  <c r="U30" i="2" s="1"/>
  <c r="BP30" i="2" s="1"/>
  <c r="BQ30" i="2" s="1"/>
  <c r="W84" i="7"/>
  <c r="AA30" i="2" s="1"/>
  <c r="BV30" i="2" s="1"/>
  <c r="BW30" i="2" s="1"/>
  <c r="W85" i="7"/>
  <c r="W86" i="7"/>
  <c r="W87" i="7"/>
  <c r="W88" i="7"/>
  <c r="W89" i="7"/>
  <c r="W90" i="7"/>
  <c r="W91" i="7"/>
  <c r="W92" i="7"/>
  <c r="W93" i="7"/>
  <c r="W94" i="7"/>
  <c r="W95" i="7"/>
  <c r="AG28" i="2" s="1"/>
  <c r="CB28" i="2" s="1"/>
  <c r="CC28" i="2" s="1"/>
  <c r="W96" i="7"/>
  <c r="W97" i="7"/>
  <c r="C28" i="2" s="1"/>
  <c r="W98" i="7"/>
  <c r="O28" i="2" s="1"/>
  <c r="BJ28" i="2" s="1"/>
  <c r="BK28" i="2" s="1"/>
  <c r="W99" i="7"/>
  <c r="I28" i="2" s="1"/>
  <c r="BD28" i="2" s="1"/>
  <c r="BE28" i="2" s="1"/>
  <c r="W100" i="7"/>
  <c r="U28" i="2" s="1"/>
  <c r="BP28" i="2" s="1"/>
  <c r="BQ28" i="2" s="1"/>
  <c r="W101" i="7"/>
  <c r="AA28" i="2" s="1"/>
  <c r="BV28" i="2" s="1"/>
  <c r="BW28" i="2" s="1"/>
  <c r="W102" i="7"/>
  <c r="W103" i="7"/>
  <c r="W104" i="7"/>
  <c r="W105" i="7"/>
  <c r="W106" i="7"/>
  <c r="W107" i="7"/>
  <c r="W108" i="7"/>
  <c r="W109" i="7"/>
  <c r="W110" i="7"/>
  <c r="W111" i="7"/>
  <c r="W112" i="7"/>
  <c r="AG29" i="2" s="1"/>
  <c r="CB29" i="2" s="1"/>
  <c r="CC29" i="2" s="1"/>
  <c r="W113" i="7"/>
  <c r="W114" i="7"/>
  <c r="C29" i="2" s="1"/>
  <c r="W115" i="7"/>
  <c r="O29" i="2" s="1"/>
  <c r="BJ29" i="2" s="1"/>
  <c r="BK29" i="2" s="1"/>
  <c r="W116" i="7"/>
  <c r="I29" i="2" s="1"/>
  <c r="BD29" i="2" s="1"/>
  <c r="BE29" i="2" s="1"/>
  <c r="W117" i="7"/>
  <c r="U29" i="2" s="1"/>
  <c r="BP29" i="2" s="1"/>
  <c r="BQ29" i="2" s="1"/>
  <c r="W118" i="7"/>
  <c r="AA29" i="2" s="1"/>
  <c r="BV29" i="2" s="1"/>
  <c r="BW29" i="2" s="1"/>
  <c r="W119" i="7"/>
  <c r="W120" i="7"/>
  <c r="W121" i="7"/>
  <c r="W122" i="7"/>
  <c r="W123" i="7"/>
  <c r="W124" i="7"/>
  <c r="W125" i="7"/>
  <c r="W126" i="7"/>
  <c r="W127" i="7"/>
  <c r="W128" i="7"/>
  <c r="W129" i="7"/>
  <c r="AG39" i="2" s="1"/>
  <c r="W130" i="7"/>
  <c r="W131" i="7"/>
  <c r="C39" i="2" s="1"/>
  <c r="W132" i="7"/>
  <c r="O39" i="2" s="1"/>
  <c r="BJ39" i="2" s="1"/>
  <c r="BK39" i="2" s="1"/>
  <c r="W133" i="7"/>
  <c r="I39" i="2" s="1"/>
  <c r="BD39" i="2" s="1"/>
  <c r="BE39" i="2" s="1"/>
  <c r="W134" i="7"/>
  <c r="U39" i="2" s="1"/>
  <c r="BP39" i="2" s="1"/>
  <c r="BQ39" i="2" s="1"/>
  <c r="W135" i="7"/>
  <c r="AA39" i="2" s="1"/>
  <c r="BV39" i="2" s="1"/>
  <c r="BW39" i="2" s="1"/>
  <c r="W136" i="7"/>
  <c r="W137" i="7"/>
  <c r="W138" i="7"/>
  <c r="W139" i="7"/>
  <c r="W140" i="7"/>
  <c r="W141" i="7"/>
  <c r="W142" i="7"/>
  <c r="W143" i="7"/>
  <c r="W144" i="7"/>
  <c r="W145" i="7"/>
  <c r="W146" i="7"/>
  <c r="AG23" i="2" s="1"/>
  <c r="CB23" i="2" s="1"/>
  <c r="CC23" i="2" s="1"/>
  <c r="W147" i="7"/>
  <c r="W148" i="7"/>
  <c r="C23" i="2" s="1"/>
  <c r="W149" i="7"/>
  <c r="O23" i="2" s="1"/>
  <c r="BJ23" i="2" s="1"/>
  <c r="BK23" i="2" s="1"/>
  <c r="W150" i="7"/>
  <c r="I23" i="2" s="1"/>
  <c r="BD23" i="2" s="1"/>
  <c r="BE23" i="2" s="1"/>
  <c r="W151" i="7"/>
  <c r="U23" i="2" s="1"/>
  <c r="BP23" i="2" s="1"/>
  <c r="BQ23" i="2" s="1"/>
  <c r="W152" i="7"/>
  <c r="AA23" i="2" s="1"/>
  <c r="BV23" i="2" s="1"/>
  <c r="BW23" i="2" s="1"/>
  <c r="W153" i="7"/>
  <c r="W154" i="7"/>
  <c r="W155" i="7"/>
  <c r="W156" i="7"/>
  <c r="W157" i="7"/>
  <c r="W158" i="7"/>
  <c r="W159" i="7"/>
  <c r="W160" i="7"/>
  <c r="W161" i="7"/>
  <c r="W162" i="7"/>
  <c r="W163" i="7"/>
  <c r="AG21" i="2" s="1"/>
  <c r="CB21" i="2" s="1"/>
  <c r="CC21" i="2" s="1"/>
  <c r="W164" i="7"/>
  <c r="W165" i="7"/>
  <c r="C21" i="2" s="1"/>
  <c r="W166" i="7"/>
  <c r="O21" i="2" s="1"/>
  <c r="BJ21" i="2" s="1"/>
  <c r="BK21" i="2" s="1"/>
  <c r="W167" i="7"/>
  <c r="I21" i="2" s="1"/>
  <c r="BD21" i="2" s="1"/>
  <c r="BE21" i="2" s="1"/>
  <c r="W168" i="7"/>
  <c r="U21" i="2" s="1"/>
  <c r="BP21" i="2" s="1"/>
  <c r="BQ21" i="2" s="1"/>
  <c r="W169" i="7"/>
  <c r="AA21" i="2" s="1"/>
  <c r="BV21" i="2" s="1"/>
  <c r="BW21" i="2" s="1"/>
  <c r="W170" i="7"/>
  <c r="W171" i="7"/>
  <c r="W172" i="7"/>
  <c r="W173" i="7"/>
  <c r="W174" i="7"/>
  <c r="W175" i="7"/>
  <c r="W176" i="7"/>
  <c r="W177" i="7"/>
  <c r="W178" i="7"/>
  <c r="W179" i="7"/>
  <c r="W180" i="7"/>
  <c r="AG22" i="2" s="1"/>
  <c r="CB22" i="2" s="1"/>
  <c r="CC22" i="2" s="1"/>
  <c r="W181" i="7"/>
  <c r="W182" i="7"/>
  <c r="C22" i="2" s="1"/>
  <c r="W183" i="7"/>
  <c r="O22" i="2" s="1"/>
  <c r="BJ22" i="2" s="1"/>
  <c r="BK22" i="2" s="1"/>
  <c r="W184" i="7"/>
  <c r="I22" i="2" s="1"/>
  <c r="BD22" i="2" s="1"/>
  <c r="BE22" i="2" s="1"/>
  <c r="W185" i="7"/>
  <c r="U22" i="2" s="1"/>
  <c r="BP22" i="2" s="1"/>
  <c r="BQ22" i="2" s="1"/>
  <c r="W186" i="7"/>
  <c r="AA22" i="2" s="1"/>
  <c r="BV22" i="2" s="1"/>
  <c r="BW22" i="2" s="1"/>
  <c r="W187" i="7"/>
  <c r="W188" i="7"/>
  <c r="W189" i="7"/>
  <c r="W190" i="7"/>
  <c r="W191" i="7"/>
  <c r="W192" i="7"/>
  <c r="W193" i="7"/>
  <c r="W194" i="7"/>
  <c r="W195" i="7"/>
  <c r="W196" i="7"/>
  <c r="W197" i="7"/>
  <c r="AG40" i="2" s="1"/>
  <c r="W198" i="7"/>
  <c r="W199" i="7"/>
  <c r="C40" i="2" s="1"/>
  <c r="W200" i="7"/>
  <c r="O40" i="2" s="1"/>
  <c r="BJ40" i="2" s="1"/>
  <c r="BK40" i="2" s="1"/>
  <c r="W201" i="7"/>
  <c r="I40" i="2" s="1"/>
  <c r="BD40" i="2" s="1"/>
  <c r="BE40" i="2" s="1"/>
  <c r="W202" i="7"/>
  <c r="U40" i="2" s="1"/>
  <c r="BP40" i="2" s="1"/>
  <c r="BQ40" i="2" s="1"/>
  <c r="W203" i="7"/>
  <c r="AA40" i="2" s="1"/>
  <c r="BV40" i="2" s="1"/>
  <c r="BW40" i="2" s="1"/>
  <c r="W204" i="7"/>
  <c r="W205" i="7"/>
  <c r="W206" i="7"/>
  <c r="W207" i="7"/>
  <c r="W208" i="7"/>
  <c r="W209" i="7"/>
  <c r="W210" i="7"/>
  <c r="W211" i="7"/>
  <c r="W212" i="7"/>
  <c r="W213" i="7"/>
  <c r="W214" i="7"/>
  <c r="AG25" i="2" s="1"/>
  <c r="CB25" i="2" s="1"/>
  <c r="CC25" i="2" s="1"/>
  <c r="W215" i="7"/>
  <c r="W216" i="7"/>
  <c r="C25" i="2" s="1"/>
  <c r="W217" i="7"/>
  <c r="O25" i="2" s="1"/>
  <c r="BJ25" i="2" s="1"/>
  <c r="BK25" i="2" s="1"/>
  <c r="W218" i="7"/>
  <c r="I25" i="2" s="1"/>
  <c r="BD25" i="2" s="1"/>
  <c r="BE25" i="2" s="1"/>
  <c r="W219" i="7"/>
  <c r="U25" i="2" s="1"/>
  <c r="BP25" i="2" s="1"/>
  <c r="BQ25" i="2" s="1"/>
  <c r="W220" i="7"/>
  <c r="AA25" i="2" s="1"/>
  <c r="BV25" i="2" s="1"/>
  <c r="BW25" i="2" s="1"/>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AG26" i="2" s="1"/>
  <c r="CB26" i="2" s="1"/>
  <c r="CC26" i="2" s="1"/>
  <c r="W249" i="7"/>
  <c r="W250" i="7"/>
  <c r="C26" i="2" s="1"/>
  <c r="W251" i="7"/>
  <c r="O26" i="2" s="1"/>
  <c r="BJ26" i="2" s="1"/>
  <c r="BK26" i="2" s="1"/>
  <c r="W252" i="7"/>
  <c r="I26" i="2" s="1"/>
  <c r="BD26" i="2" s="1"/>
  <c r="BE26" i="2" s="1"/>
  <c r="W253" i="7"/>
  <c r="U26" i="2" s="1"/>
  <c r="BP26" i="2" s="1"/>
  <c r="BQ26" i="2" s="1"/>
  <c r="W254" i="7"/>
  <c r="AA26" i="2" s="1"/>
  <c r="BV26" i="2" s="1"/>
  <c r="BW26" i="2" s="1"/>
  <c r="W255" i="7"/>
  <c r="W274" i="7"/>
  <c r="W275" i="7"/>
  <c r="W276" i="7"/>
  <c r="W277" i="7"/>
  <c r="W278" i="7"/>
  <c r="W279" i="7"/>
  <c r="W280" i="7"/>
  <c r="W281" i="7"/>
  <c r="W282" i="7"/>
  <c r="AG24" i="2" s="1"/>
  <c r="CB24" i="2" s="1"/>
  <c r="CC24" i="2" s="1"/>
  <c r="W283" i="7"/>
  <c r="W284" i="7"/>
  <c r="C24" i="2" s="1"/>
  <c r="W285" i="7"/>
  <c r="O24" i="2" s="1"/>
  <c r="BJ24" i="2" s="1"/>
  <c r="BK24" i="2" s="1"/>
  <c r="W286" i="7"/>
  <c r="I24" i="2" s="1"/>
  <c r="BD24" i="2" s="1"/>
  <c r="BE24" i="2" s="1"/>
  <c r="W287" i="7"/>
  <c r="U24" i="2" s="1"/>
  <c r="BP24" i="2" s="1"/>
  <c r="BQ24" i="2" s="1"/>
  <c r="W288" i="7"/>
  <c r="AA24" i="2" s="1"/>
  <c r="BV24" i="2" s="1"/>
  <c r="BW24" i="2" s="1"/>
  <c r="W289" i="7"/>
  <c r="W290" i="7"/>
  <c r="W291" i="7"/>
  <c r="W292" i="7"/>
  <c r="W293" i="7"/>
  <c r="W294" i="7"/>
  <c r="W295" i="7"/>
  <c r="W296" i="7"/>
  <c r="W297" i="7"/>
  <c r="W298" i="7"/>
  <c r="W299" i="7"/>
  <c r="AG33" i="2" s="1"/>
  <c r="W300" i="7"/>
  <c r="W301" i="7"/>
  <c r="C33" i="2" s="1"/>
  <c r="W302" i="7"/>
  <c r="O33" i="2" s="1"/>
  <c r="W303" i="7"/>
  <c r="I33" i="2" s="1"/>
  <c r="W304" i="7"/>
  <c r="U33" i="2" s="1"/>
  <c r="W305" i="7"/>
  <c r="AA33" i="2" s="1"/>
  <c r="W306" i="7"/>
  <c r="W307" i="7"/>
  <c r="W308" i="7"/>
  <c r="W309" i="7"/>
  <c r="W310" i="7"/>
  <c r="W311" i="7"/>
  <c r="W312" i="7"/>
  <c r="W313" i="7"/>
  <c r="W314" i="7"/>
  <c r="W315" i="7"/>
  <c r="W316" i="7"/>
  <c r="W317" i="7"/>
  <c r="W318" i="7"/>
  <c r="C35" i="2" s="1"/>
  <c r="W319" i="7"/>
  <c r="O35" i="2" s="1"/>
  <c r="W320" i="7"/>
  <c r="I35" i="2" s="1"/>
  <c r="W321" i="7"/>
  <c r="U35" i="2" s="1"/>
  <c r="W322" i="7"/>
  <c r="AA35" i="2" s="1"/>
  <c r="W323" i="7"/>
  <c r="W324" i="7"/>
  <c r="W325" i="7"/>
  <c r="W326" i="7"/>
  <c r="W327" i="7"/>
  <c r="W328" i="7"/>
  <c r="W329" i="7"/>
  <c r="W330" i="7"/>
  <c r="W331" i="7"/>
  <c r="W332" i="7"/>
  <c r="W333" i="7"/>
  <c r="W334" i="7"/>
  <c r="W335" i="7"/>
  <c r="C36" i="2" s="1"/>
  <c r="W336" i="7"/>
  <c r="O36" i="2" s="1"/>
  <c r="BJ36" i="2" s="1"/>
  <c r="BK36" i="2" s="1"/>
  <c r="W337" i="7"/>
  <c r="I36" i="2" s="1"/>
  <c r="BD36" i="2" s="1"/>
  <c r="BE36" i="2" s="1"/>
  <c r="W338" i="7"/>
  <c r="U36" i="2" s="1"/>
  <c r="BP36" i="2" s="1"/>
  <c r="BQ36" i="2" s="1"/>
  <c r="W339" i="7"/>
  <c r="AA36" i="2" s="1"/>
  <c r="BV36" i="2" s="1"/>
  <c r="BW36" i="2" s="1"/>
  <c r="W340" i="7"/>
  <c r="W341" i="7"/>
  <c r="W342" i="7"/>
  <c r="W343" i="7"/>
  <c r="W344" i="7"/>
  <c r="W345" i="7"/>
  <c r="W346" i="7"/>
  <c r="W347" i="7"/>
  <c r="W348" i="7"/>
  <c r="W349" i="7"/>
  <c r="W350" i="7"/>
  <c r="W351" i="7"/>
  <c r="W352" i="7"/>
  <c r="C37" i="2" s="1"/>
  <c r="W353" i="7"/>
  <c r="O37" i="2" s="1"/>
  <c r="BJ37" i="2" s="1"/>
  <c r="BK37" i="2" s="1"/>
  <c r="W354" i="7"/>
  <c r="I37" i="2" s="1"/>
  <c r="BD37" i="2" s="1"/>
  <c r="BE37" i="2" s="1"/>
  <c r="W355" i="7"/>
  <c r="U37" i="2" s="1"/>
  <c r="BP37" i="2" s="1"/>
  <c r="BQ37" i="2" s="1"/>
  <c r="W356" i="7"/>
  <c r="AA37" i="2" s="1"/>
  <c r="BV37" i="2" s="1"/>
  <c r="BW37" i="2" s="1"/>
  <c r="W357" i="7"/>
  <c r="W358" i="7"/>
  <c r="W359" i="7"/>
  <c r="W360" i="7"/>
  <c r="W361" i="7"/>
  <c r="W362" i="7"/>
  <c r="W363" i="7"/>
  <c r="W364" i="7"/>
  <c r="W365" i="7"/>
  <c r="W366" i="7"/>
  <c r="W367" i="7"/>
  <c r="W368" i="7"/>
  <c r="W369" i="7"/>
  <c r="C38" i="2" s="1"/>
  <c r="W370" i="7"/>
  <c r="O38" i="2" s="1"/>
  <c r="BJ38" i="2" s="1"/>
  <c r="BK38" i="2" s="1"/>
  <c r="W371" i="7"/>
  <c r="I38" i="2" s="1"/>
  <c r="BD38" i="2" s="1"/>
  <c r="BE38" i="2" s="1"/>
  <c r="W372" i="7"/>
  <c r="U38" i="2" s="1"/>
  <c r="BP38" i="2" s="1"/>
  <c r="BQ38" i="2" s="1"/>
  <c r="W373" i="7"/>
  <c r="AA38" i="2" s="1"/>
  <c r="BV38" i="2" s="1"/>
  <c r="BW38" i="2" s="1"/>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AG42" i="2" s="1"/>
  <c r="W402" i="7"/>
  <c r="W403" i="7"/>
  <c r="C42" i="2" s="1"/>
  <c r="W404" i="7"/>
  <c r="O42" i="2" s="1"/>
  <c r="BJ42" i="2" s="1"/>
  <c r="BK42" i="2" s="1"/>
  <c r="W405" i="7"/>
  <c r="I42" i="2" s="1"/>
  <c r="BD42" i="2" s="1"/>
  <c r="BE42" i="2" s="1"/>
  <c r="W406" i="7"/>
  <c r="U42" i="2" s="1"/>
  <c r="BP42" i="2" s="1"/>
  <c r="BQ42" i="2" s="1"/>
  <c r="W407" i="7"/>
  <c r="AA42" i="2" s="1"/>
  <c r="BV42" i="2" s="1"/>
  <c r="BW42" i="2" s="1"/>
  <c r="W408" i="7"/>
  <c r="W409" i="7"/>
  <c r="W410" i="7"/>
  <c r="W411" i="7"/>
  <c r="W412" i="7"/>
  <c r="W413" i="7"/>
  <c r="W414" i="7"/>
  <c r="W415" i="7"/>
  <c r="W416" i="7"/>
  <c r="W417" i="7"/>
  <c r="W418" i="7"/>
  <c r="AG27" i="2" s="1"/>
  <c r="CB27" i="2" s="1"/>
  <c r="CC27" i="2" s="1"/>
  <c r="W419" i="7"/>
  <c r="W420" i="7"/>
  <c r="C27" i="2" s="1"/>
  <c r="W421" i="7"/>
  <c r="O27" i="2" s="1"/>
  <c r="BJ27" i="2" s="1"/>
  <c r="BK27" i="2" s="1"/>
  <c r="W422" i="7"/>
  <c r="I27" i="2" s="1"/>
  <c r="BD27" i="2" s="1"/>
  <c r="BE27" i="2" s="1"/>
  <c r="W423" i="7"/>
  <c r="U27" i="2" s="1"/>
  <c r="BP27" i="2" s="1"/>
  <c r="BQ27" i="2" s="1"/>
  <c r="W424" i="7"/>
  <c r="AA27" i="2" s="1"/>
  <c r="BV27" i="2" s="1"/>
  <c r="BW27" i="2" s="1"/>
  <c r="W425" i="7"/>
  <c r="W426" i="7"/>
  <c r="W427" i="7"/>
  <c r="W428" i="7"/>
  <c r="W429" i="7"/>
  <c r="W430" i="7"/>
  <c r="W431" i="7"/>
  <c r="W432" i="7"/>
  <c r="W433" i="7"/>
  <c r="W434" i="7"/>
  <c r="W435" i="7"/>
  <c r="AG43" i="2" s="1"/>
  <c r="W436" i="7"/>
  <c r="W437" i="7"/>
  <c r="C43" i="2" s="1"/>
  <c r="W438" i="7"/>
  <c r="O43" i="2" s="1"/>
  <c r="BJ43" i="2" s="1"/>
  <c r="BK43" i="2" s="1"/>
  <c r="W439" i="7"/>
  <c r="I43" i="2" s="1"/>
  <c r="BD43" i="2" s="1"/>
  <c r="BE43" i="2" s="1"/>
  <c r="W440" i="7"/>
  <c r="U43" i="2" s="1"/>
  <c r="BP43" i="2" s="1"/>
  <c r="BQ43" i="2" s="1"/>
  <c r="W441" i="7"/>
  <c r="AA43" i="2" s="1"/>
  <c r="BV43" i="2" s="1"/>
  <c r="BW43" i="2" s="1"/>
  <c r="W442" i="7"/>
  <c r="W443" i="7"/>
  <c r="W444" i="7"/>
  <c r="W445" i="7"/>
  <c r="W446" i="7"/>
  <c r="W447" i="7"/>
  <c r="W448" i="7"/>
  <c r="W449" i="7"/>
  <c r="W450" i="7"/>
  <c r="W451" i="7"/>
  <c r="W452" i="7"/>
  <c r="AG17" i="2" s="1"/>
  <c r="CB17" i="2" s="1"/>
  <c r="CC17" i="2" s="1"/>
  <c r="W453" i="7"/>
  <c r="W454" i="7"/>
  <c r="C17" i="2" s="1"/>
  <c r="W455" i="7"/>
  <c r="O17" i="2" s="1"/>
  <c r="BJ17" i="2" s="1"/>
  <c r="BK17" i="2" s="1"/>
  <c r="W456" i="7"/>
  <c r="I17" i="2" s="1"/>
  <c r="BD17" i="2" s="1"/>
  <c r="BE17" i="2" s="1"/>
  <c r="W457" i="7"/>
  <c r="U17" i="2" s="1"/>
  <c r="BP17" i="2" s="1"/>
  <c r="BQ17" i="2" s="1"/>
  <c r="W458" i="7"/>
  <c r="AA17" i="2" s="1"/>
  <c r="BV17" i="2" s="1"/>
  <c r="BW17" i="2" s="1"/>
  <c r="W459" i="7"/>
  <c r="W460" i="7"/>
  <c r="W461" i="7"/>
  <c r="W462" i="7"/>
  <c r="W463" i="7"/>
  <c r="W464" i="7"/>
  <c r="W465" i="7"/>
  <c r="W466" i="7"/>
  <c r="W467" i="7"/>
  <c r="W468" i="7"/>
  <c r="W469" i="7"/>
  <c r="AG18" i="2" s="1"/>
  <c r="CB18" i="2" s="1"/>
  <c r="CC18" i="2" s="1"/>
  <c r="W470" i="7"/>
  <c r="W471" i="7"/>
  <c r="C18" i="2" s="1"/>
  <c r="W472" i="7"/>
  <c r="O18" i="2" s="1"/>
  <c r="BJ18" i="2" s="1"/>
  <c r="BK18" i="2" s="1"/>
  <c r="W473" i="7"/>
  <c r="I18" i="2" s="1"/>
  <c r="BD18" i="2" s="1"/>
  <c r="BE18" i="2" s="1"/>
  <c r="W474" i="7"/>
  <c r="U18" i="2" s="1"/>
  <c r="BP18" i="2" s="1"/>
  <c r="BQ18" i="2" s="1"/>
  <c r="W475" i="7"/>
  <c r="AA18" i="2" s="1"/>
  <c r="BV18" i="2" s="1"/>
  <c r="BW18" i="2" s="1"/>
  <c r="W476" i="7"/>
  <c r="W477" i="7"/>
  <c r="W478" i="7"/>
  <c r="W479" i="7"/>
  <c r="W480" i="7"/>
  <c r="W481" i="7"/>
  <c r="W482" i="7"/>
  <c r="W483" i="7"/>
  <c r="W484" i="7"/>
  <c r="W485" i="7"/>
  <c r="W486" i="7"/>
  <c r="AG12" i="2" s="1"/>
  <c r="CB12" i="2" s="1"/>
  <c r="CC12" i="2" s="1"/>
  <c r="W487" i="7"/>
  <c r="W488" i="7"/>
  <c r="C12" i="2" s="1"/>
  <c r="W489" i="7"/>
  <c r="O12" i="2" s="1"/>
  <c r="BJ12" i="2" s="1"/>
  <c r="BK12" i="2" s="1"/>
  <c r="W490" i="7"/>
  <c r="I12" i="2" s="1"/>
  <c r="BD12" i="2" s="1"/>
  <c r="BE12" i="2" s="1"/>
  <c r="W491" i="7"/>
  <c r="U12" i="2" s="1"/>
  <c r="BP12" i="2" s="1"/>
  <c r="BQ12" i="2" s="1"/>
  <c r="W492" i="7"/>
  <c r="AA12" i="2" s="1"/>
  <c r="W493" i="7"/>
  <c r="W494" i="7"/>
  <c r="W495" i="7"/>
  <c r="W496" i="7"/>
  <c r="W497" i="7"/>
  <c r="W498" i="7"/>
  <c r="W499" i="7"/>
  <c r="W500" i="7"/>
  <c r="W501" i="7"/>
  <c r="W502" i="7"/>
  <c r="W503" i="7"/>
  <c r="AG13" i="2" s="1"/>
  <c r="W504" i="7"/>
  <c r="W505" i="7"/>
  <c r="C13" i="2" s="1"/>
  <c r="W506" i="7"/>
  <c r="O13" i="2" s="1"/>
  <c r="W507" i="7"/>
  <c r="I13" i="2" s="1"/>
  <c r="W508" i="7"/>
  <c r="U13" i="2" s="1"/>
  <c r="W509" i="7"/>
  <c r="AA13" i="2" s="1"/>
  <c r="W510" i="7"/>
  <c r="W511" i="7"/>
  <c r="W512" i="7"/>
  <c r="W513" i="7"/>
  <c r="W514" i="7"/>
  <c r="W515" i="7"/>
  <c r="W516" i="7"/>
  <c r="W517" i="7"/>
  <c r="W518" i="7"/>
  <c r="W519" i="7"/>
  <c r="W520" i="7"/>
  <c r="AG4" i="2" s="1"/>
  <c r="CB4" i="2" s="1"/>
  <c r="CC4" i="2" s="1"/>
  <c r="W521" i="7"/>
  <c r="W522" i="7"/>
  <c r="C4" i="2" s="1"/>
  <c r="W523" i="7"/>
  <c r="O4" i="2" s="1"/>
  <c r="BJ4" i="2" s="1"/>
  <c r="BK4" i="2" s="1"/>
  <c r="W524" i="7"/>
  <c r="I4" i="2" s="1"/>
  <c r="BD4" i="2" s="1"/>
  <c r="BE4" i="2" s="1"/>
  <c r="W525" i="7"/>
  <c r="U4" i="2" s="1"/>
  <c r="BP4" i="2" s="1"/>
  <c r="BQ4" i="2" s="1"/>
  <c r="W526" i="7"/>
  <c r="AA4" i="2" s="1"/>
  <c r="BV4" i="2" s="1"/>
  <c r="BW4" i="2" s="1"/>
  <c r="W527" i="7"/>
  <c r="W528" i="7"/>
  <c r="W529" i="7"/>
  <c r="W530" i="7"/>
  <c r="W531" i="7"/>
  <c r="W532" i="7"/>
  <c r="W533" i="7"/>
  <c r="W534" i="7"/>
  <c r="W535" i="7"/>
  <c r="W536" i="7"/>
  <c r="W537" i="7"/>
  <c r="AG5" i="2" s="1"/>
  <c r="CB5" i="2" s="1"/>
  <c r="CC5" i="2" s="1"/>
  <c r="W538" i="7"/>
  <c r="W539" i="7"/>
  <c r="C5" i="2" s="1"/>
  <c r="W540" i="7"/>
  <c r="O5" i="2" s="1"/>
  <c r="BJ5" i="2" s="1"/>
  <c r="BK5" i="2" s="1"/>
  <c r="W541" i="7"/>
  <c r="I5" i="2" s="1"/>
  <c r="BD5" i="2" s="1"/>
  <c r="BE5" i="2" s="1"/>
  <c r="W542" i="7"/>
  <c r="U5" i="2" s="1"/>
  <c r="BP5" i="2" s="1"/>
  <c r="BQ5" i="2" s="1"/>
  <c r="W543" i="7"/>
  <c r="AA5" i="2" s="1"/>
  <c r="BV5" i="2" s="1"/>
  <c r="BW5" i="2" s="1"/>
  <c r="W544" i="7"/>
  <c r="W545" i="7"/>
  <c r="W546" i="7"/>
  <c r="W547" i="7"/>
  <c r="W548" i="7"/>
  <c r="W549" i="7"/>
  <c r="W550" i="7"/>
  <c r="W551" i="7"/>
  <c r="W552" i="7"/>
  <c r="W553" i="7"/>
  <c r="W554" i="7"/>
  <c r="AG6" i="2" s="1"/>
  <c r="CB6" i="2" s="1"/>
  <c r="CC6" i="2" s="1"/>
  <c r="W555" i="7"/>
  <c r="W556" i="7"/>
  <c r="C6" i="2" s="1"/>
  <c r="W557" i="7"/>
  <c r="O6" i="2" s="1"/>
  <c r="BJ6" i="2" s="1"/>
  <c r="BK6" i="2" s="1"/>
  <c r="W558" i="7"/>
  <c r="I6" i="2" s="1"/>
  <c r="BD6" i="2" s="1"/>
  <c r="BE6" i="2" s="1"/>
  <c r="W559" i="7"/>
  <c r="U6" i="2" s="1"/>
  <c r="BP6" i="2" s="1"/>
  <c r="BQ6" i="2" s="1"/>
  <c r="W560" i="7"/>
  <c r="AA6" i="2" s="1"/>
  <c r="BV6" i="2" s="1"/>
  <c r="BW6" i="2" s="1"/>
  <c r="W561" i="7"/>
  <c r="W562" i="7"/>
  <c r="W563" i="7"/>
  <c r="W564" i="7"/>
  <c r="W565" i="7"/>
  <c r="W566" i="7"/>
  <c r="W567" i="7"/>
  <c r="W568" i="7"/>
  <c r="W569" i="7"/>
  <c r="W570" i="7"/>
  <c r="W571" i="7"/>
  <c r="AG8" i="2" s="1"/>
  <c r="W572" i="7"/>
  <c r="W573" i="7"/>
  <c r="C8" i="2" s="1"/>
  <c r="W574" i="7"/>
  <c r="O8" i="2" s="1"/>
  <c r="W575" i="7"/>
  <c r="I8" i="2" s="1"/>
  <c r="W576" i="7"/>
  <c r="U8" i="2" s="1"/>
  <c r="W577" i="7"/>
  <c r="AA8" i="2" s="1"/>
  <c r="W578" i="7"/>
  <c r="W579" i="7"/>
  <c r="W580" i="7"/>
  <c r="W581" i="7"/>
  <c r="W582" i="7"/>
  <c r="W583" i="7"/>
  <c r="W584" i="7"/>
  <c r="W585" i="7"/>
  <c r="W586" i="7"/>
  <c r="W587" i="7"/>
  <c r="W588" i="7"/>
  <c r="AG14" i="2" s="1"/>
  <c r="CB14" i="2" s="1"/>
  <c r="CC14" i="2" s="1"/>
  <c r="W589" i="7"/>
  <c r="W590" i="7"/>
  <c r="C14" i="2" s="1"/>
  <c r="W591" i="7"/>
  <c r="O14" i="2" s="1"/>
  <c r="BJ14" i="2" s="1"/>
  <c r="BK14" i="2" s="1"/>
  <c r="W592" i="7"/>
  <c r="I14" i="2" s="1"/>
  <c r="BD14" i="2" s="1"/>
  <c r="BE14" i="2" s="1"/>
  <c r="W593" i="7"/>
  <c r="U14" i="2" s="1"/>
  <c r="BP14" i="2" s="1"/>
  <c r="BQ14" i="2" s="1"/>
  <c r="W594" i="7"/>
  <c r="AA14" i="2" s="1"/>
  <c r="BV14" i="2" s="1"/>
  <c r="BW14" i="2" s="1"/>
  <c r="W595" i="7"/>
  <c r="W596" i="7"/>
  <c r="W597" i="7"/>
  <c r="W598" i="7"/>
  <c r="W599" i="7"/>
  <c r="W600" i="7"/>
  <c r="W601" i="7"/>
  <c r="W602" i="7"/>
  <c r="W603" i="7"/>
  <c r="W604" i="7"/>
  <c r="W605" i="7"/>
  <c r="AG15" i="2" s="1"/>
  <c r="CB15" i="2" s="1"/>
  <c r="CC15" i="2" s="1"/>
  <c r="W606" i="7"/>
  <c r="W607" i="7"/>
  <c r="C15" i="2" s="1"/>
  <c r="W608" i="7"/>
  <c r="O15" i="2" s="1"/>
  <c r="BJ15" i="2" s="1"/>
  <c r="BK15" i="2" s="1"/>
  <c r="W609" i="7"/>
  <c r="I15" i="2" s="1"/>
  <c r="BD15" i="2" s="1"/>
  <c r="BE15" i="2" s="1"/>
  <c r="W610" i="7"/>
  <c r="U15" i="2" s="1"/>
  <c r="BP15" i="2" s="1"/>
  <c r="BQ15" i="2" s="1"/>
  <c r="W611" i="7"/>
  <c r="AA15" i="2" s="1"/>
  <c r="BV15" i="2" s="1"/>
  <c r="BW15" i="2" s="1"/>
  <c r="W612" i="7"/>
  <c r="AX8" i="2" l="1"/>
  <c r="D8" i="2"/>
  <c r="AM8" i="2"/>
  <c r="CH8" i="2" s="1"/>
  <c r="BV33" i="2"/>
  <c r="BW33" i="2" s="1"/>
  <c r="AB33" i="2"/>
  <c r="I34" i="2"/>
  <c r="BD35" i="2"/>
  <c r="BE35" i="2" s="1"/>
  <c r="BV13" i="2"/>
  <c r="BW13" i="2" s="1"/>
  <c r="AB13" i="2"/>
  <c r="BP33" i="2"/>
  <c r="BQ33" i="2" s="1"/>
  <c r="V33" i="2"/>
  <c r="AM26" i="2"/>
  <c r="CH26" i="2" s="1"/>
  <c r="BP13" i="2"/>
  <c r="BQ13" i="2" s="1"/>
  <c r="V13" i="2"/>
  <c r="BD13" i="2"/>
  <c r="BE13" i="2" s="1"/>
  <c r="J13" i="2"/>
  <c r="BD33" i="2"/>
  <c r="BE33" i="2" s="1"/>
  <c r="J33" i="2"/>
  <c r="BJ33" i="2"/>
  <c r="BK33" i="2" s="1"/>
  <c r="P33" i="2"/>
  <c r="AX13" i="2"/>
  <c r="D13" i="2"/>
  <c r="AM13" i="2"/>
  <c r="CH13" i="2" s="1"/>
  <c r="AX33" i="2"/>
  <c r="D33" i="2"/>
  <c r="AM33" i="2"/>
  <c r="CH33" i="2" s="1"/>
  <c r="BJ13" i="2"/>
  <c r="BK13" i="2" s="1"/>
  <c r="P13" i="2"/>
  <c r="BP8" i="2"/>
  <c r="BQ8" i="2" s="1"/>
  <c r="V8" i="2"/>
  <c r="AB12" i="2"/>
  <c r="BV12" i="2"/>
  <c r="BW12" i="2" s="1"/>
  <c r="AG34" i="2"/>
  <c r="AH34" i="2" s="1"/>
  <c r="CB8" i="2"/>
  <c r="CC8" i="2" s="1"/>
  <c r="AH8" i="2"/>
  <c r="O34" i="2"/>
  <c r="BJ34" i="2" s="1"/>
  <c r="BJ35" i="2"/>
  <c r="BK35" i="2" s="1"/>
  <c r="BV8" i="2"/>
  <c r="BW8" i="2" s="1"/>
  <c r="AB8" i="2"/>
  <c r="BD8" i="2"/>
  <c r="BE8" i="2" s="1"/>
  <c r="J8" i="2"/>
  <c r="CB13" i="2"/>
  <c r="CC13" i="2" s="1"/>
  <c r="AH13" i="2"/>
  <c r="C34" i="2"/>
  <c r="C50" i="2" s="1"/>
  <c r="CB33" i="2"/>
  <c r="CC33" i="2" s="1"/>
  <c r="AH33" i="2"/>
  <c r="BJ8" i="2"/>
  <c r="BK8" i="2" s="1"/>
  <c r="P8" i="2"/>
  <c r="AA34" i="2"/>
  <c r="BV34" i="2" s="1"/>
  <c r="BW34" i="2" s="1"/>
  <c r="BV35" i="2"/>
  <c r="BW35" i="2" s="1"/>
  <c r="U34" i="2"/>
  <c r="BP34" i="2" s="1"/>
  <c r="BP35" i="2"/>
  <c r="BQ35" i="2" s="1"/>
  <c r="CG9" i="2"/>
  <c r="CI9" i="2" s="1"/>
  <c r="AN9" i="2"/>
  <c r="CG10" i="2"/>
  <c r="CI10" i="2" s="1"/>
  <c r="AN10" i="2"/>
  <c r="AL54" i="2"/>
  <c r="AH54" i="2"/>
  <c r="CG52" i="2"/>
  <c r="CI52" i="2" s="1"/>
  <c r="AN52" i="2"/>
  <c r="CA34" i="2"/>
  <c r="T19" i="2"/>
  <c r="BO19" i="2" s="1"/>
  <c r="T34" i="2"/>
  <c r="BO34" i="2" s="1"/>
  <c r="V26" i="2"/>
  <c r="H19" i="2"/>
  <c r="BC19" i="2" s="1"/>
  <c r="H34" i="2"/>
  <c r="BC34" i="2" s="1"/>
  <c r="J26" i="2"/>
  <c r="AB26" i="2"/>
  <c r="N34" i="2"/>
  <c r="BI34" i="2" s="1"/>
  <c r="P26" i="2"/>
  <c r="AW15" i="2"/>
  <c r="AL15" i="2"/>
  <c r="CG15" i="2" s="1"/>
  <c r="AL14" i="2"/>
  <c r="CG14" i="2" s="1"/>
  <c r="AW14" i="2"/>
  <c r="AL8" i="2"/>
  <c r="AW8" i="2"/>
  <c r="AL6" i="2"/>
  <c r="CG6" i="2" s="1"/>
  <c r="AL5" i="2"/>
  <c r="CG5" i="2" s="1"/>
  <c r="AL13" i="2"/>
  <c r="AW13" i="2"/>
  <c r="AL43" i="2"/>
  <c r="CG43" i="2" s="1"/>
  <c r="AW33" i="2"/>
  <c r="AL33" i="2"/>
  <c r="AL24" i="2"/>
  <c r="CG24" i="2" s="1"/>
  <c r="AL32" i="2"/>
  <c r="CG32" i="2" s="1"/>
  <c r="AL26" i="2"/>
  <c r="AL25" i="2"/>
  <c r="CG25" i="2" s="1"/>
  <c r="AL40" i="2"/>
  <c r="CG40" i="2" s="1"/>
  <c r="AL22" i="2"/>
  <c r="CG22" i="2" s="1"/>
  <c r="AL21" i="2"/>
  <c r="CG21" i="2" s="1"/>
  <c r="AL23" i="2"/>
  <c r="CG23" i="2" s="1"/>
  <c r="AL39" i="2"/>
  <c r="CG39" i="2" s="1"/>
  <c r="N19" i="2"/>
  <c r="BI19" i="2" s="1"/>
  <c r="AH26" i="2"/>
  <c r="AF50" i="2"/>
  <c r="CA50" i="2" s="1"/>
  <c r="CA54" i="2"/>
  <c r="CC54" i="2" s="1"/>
  <c r="Z19" i="2"/>
  <c r="BU19" i="2" s="1"/>
  <c r="AF19" i="2"/>
  <c r="CA19" i="2" s="1"/>
  <c r="P12" i="2"/>
  <c r="AH25" i="2"/>
  <c r="AH28" i="2"/>
  <c r="P45" i="2"/>
  <c r="J16" i="2"/>
  <c r="V43" i="2"/>
  <c r="V24" i="2"/>
  <c r="J15" i="2"/>
  <c r="V14" i="2"/>
  <c r="AB6" i="2"/>
  <c r="AH4" i="2"/>
  <c r="P17" i="2"/>
  <c r="J43" i="2"/>
  <c r="V27" i="2"/>
  <c r="AB42" i="2"/>
  <c r="P35" i="2"/>
  <c r="J24" i="2"/>
  <c r="V32" i="2"/>
  <c r="AB25" i="2"/>
  <c r="AH22" i="2"/>
  <c r="P39" i="2"/>
  <c r="V29" i="2"/>
  <c r="AB28" i="2"/>
  <c r="AH31" i="2"/>
  <c r="P41" i="2"/>
  <c r="P15" i="2"/>
  <c r="J14" i="2"/>
  <c r="V6" i="2"/>
  <c r="AB5" i="2"/>
  <c r="AH12" i="2"/>
  <c r="P43" i="2"/>
  <c r="J27" i="2"/>
  <c r="V42" i="2"/>
  <c r="P24" i="2"/>
  <c r="J32" i="2"/>
  <c r="V25" i="2"/>
  <c r="AB40" i="2"/>
  <c r="AH21" i="2"/>
  <c r="J29" i="2"/>
  <c r="V28" i="2"/>
  <c r="AB30" i="2"/>
  <c r="CB45" i="2"/>
  <c r="CC45" i="2" s="1"/>
  <c r="AH45" i="2"/>
  <c r="AB15" i="2"/>
  <c r="AB43" i="2"/>
  <c r="P21" i="2"/>
  <c r="AB14" i="2"/>
  <c r="J17" i="2"/>
  <c r="AH7" i="2"/>
  <c r="J6" i="2"/>
  <c r="AB4" i="2"/>
  <c r="J42" i="2"/>
  <c r="P32" i="2"/>
  <c r="V40" i="2"/>
  <c r="J28" i="2"/>
  <c r="J18" i="2"/>
  <c r="AB24" i="2"/>
  <c r="V15" i="2"/>
  <c r="AB27" i="2"/>
  <c r="P16" i="2"/>
  <c r="P14" i="2"/>
  <c r="V5" i="2"/>
  <c r="AH18" i="2"/>
  <c r="P27" i="2"/>
  <c r="AB38" i="2"/>
  <c r="J25" i="2"/>
  <c r="AB22" i="2"/>
  <c r="AH23" i="2"/>
  <c r="P29" i="2"/>
  <c r="V30" i="2"/>
  <c r="AB31" i="2"/>
  <c r="CB44" i="2"/>
  <c r="CC44" i="2" s="1"/>
  <c r="AH44" i="2"/>
  <c r="AH16" i="2"/>
  <c r="P6" i="2"/>
  <c r="J5" i="2"/>
  <c r="V4" i="2"/>
  <c r="AH17" i="2"/>
  <c r="P42" i="2"/>
  <c r="V38" i="2"/>
  <c r="AB37" i="2"/>
  <c r="P25" i="2"/>
  <c r="J40" i="2"/>
  <c r="V22" i="2"/>
  <c r="AB21" i="2"/>
  <c r="CB39" i="2"/>
  <c r="CC39" i="2" s="1"/>
  <c r="AH39" i="2"/>
  <c r="P28" i="2"/>
  <c r="J30" i="2"/>
  <c r="V31" i="2"/>
  <c r="AB45" i="2"/>
  <c r="CB41" i="2"/>
  <c r="CC41" i="2" s="1"/>
  <c r="AH41" i="2"/>
  <c r="V16" i="2"/>
  <c r="P37" i="2"/>
  <c r="AH6" i="2"/>
  <c r="V17" i="2"/>
  <c r="J36" i="2"/>
  <c r="V39" i="2"/>
  <c r="J44" i="2"/>
  <c r="P7" i="2"/>
  <c r="AH5" i="2"/>
  <c r="P36" i="2"/>
  <c r="AB7" i="2"/>
  <c r="AH15" i="2"/>
  <c r="P5" i="2"/>
  <c r="J4" i="2"/>
  <c r="V12" i="2"/>
  <c r="AB18" i="2"/>
  <c r="CB43" i="2"/>
  <c r="CC43" i="2" s="1"/>
  <c r="AH43" i="2"/>
  <c r="J38" i="2"/>
  <c r="V37" i="2"/>
  <c r="AB36" i="2"/>
  <c r="AH24" i="2"/>
  <c r="P40" i="2"/>
  <c r="J22" i="2"/>
  <c r="V21" i="2"/>
  <c r="AB23" i="2"/>
  <c r="P30" i="2"/>
  <c r="J31" i="2"/>
  <c r="V45" i="2"/>
  <c r="AB44" i="2"/>
  <c r="V7" i="2"/>
  <c r="AB16" i="2"/>
  <c r="AH14" i="2"/>
  <c r="P4" i="2"/>
  <c r="J12" i="2"/>
  <c r="V18" i="2"/>
  <c r="AB17" i="2"/>
  <c r="AH27" i="2"/>
  <c r="P38" i="2"/>
  <c r="J37" i="2"/>
  <c r="V36" i="2"/>
  <c r="AB35" i="2"/>
  <c r="AH32" i="2"/>
  <c r="P22" i="2"/>
  <c r="J21" i="2"/>
  <c r="V23" i="2"/>
  <c r="AB39" i="2"/>
  <c r="AH29" i="2"/>
  <c r="P31" i="2"/>
  <c r="J45" i="2"/>
  <c r="V44" i="2"/>
  <c r="AB41" i="2"/>
  <c r="CB42" i="2"/>
  <c r="CC42" i="2" s="1"/>
  <c r="AH42" i="2"/>
  <c r="V41" i="2"/>
  <c r="J7" i="2"/>
  <c r="V35" i="2"/>
  <c r="J23" i="2"/>
  <c r="P18" i="2"/>
  <c r="J35" i="2"/>
  <c r="AB32" i="2"/>
  <c r="CB40" i="2"/>
  <c r="CC40" i="2" s="1"/>
  <c r="AH40" i="2"/>
  <c r="P23" i="2"/>
  <c r="J39" i="2"/>
  <c r="AB29" i="2"/>
  <c r="AH30" i="2"/>
  <c r="P44" i="2"/>
  <c r="J41" i="2"/>
  <c r="AG19" i="2"/>
  <c r="CB19" i="2" s="1"/>
  <c r="AA19" i="2"/>
  <c r="BV19" i="2" s="1"/>
  <c r="O19" i="2"/>
  <c r="BJ19" i="2" s="1"/>
  <c r="U19" i="2"/>
  <c r="BP19" i="2" s="1"/>
  <c r="I19" i="2"/>
  <c r="BD19" i="2" s="1"/>
  <c r="AG50" i="2" l="1"/>
  <c r="AG56" i="2" s="1"/>
  <c r="BQ34" i="2"/>
  <c r="BW19" i="2"/>
  <c r="AY33" i="2"/>
  <c r="BE19" i="2"/>
  <c r="CC19" i="2"/>
  <c r="BQ19" i="2"/>
  <c r="AY13" i="2"/>
  <c r="BK19" i="2"/>
  <c r="BK34" i="2"/>
  <c r="CB34" i="2"/>
  <c r="CC34" i="2" s="1"/>
  <c r="I50" i="2"/>
  <c r="BD50" i="2" s="1"/>
  <c r="BD34" i="2"/>
  <c r="BE34" i="2" s="1"/>
  <c r="AY8" i="2"/>
  <c r="CG33" i="2"/>
  <c r="CI33" i="2" s="1"/>
  <c r="AN33" i="2"/>
  <c r="CG13" i="2"/>
  <c r="CI13" i="2" s="1"/>
  <c r="AN13" i="2"/>
  <c r="CG8" i="2"/>
  <c r="CI8" i="2" s="1"/>
  <c r="AN8" i="2"/>
  <c r="CG54" i="2"/>
  <c r="CI54" i="2" s="1"/>
  <c r="AN54" i="2"/>
  <c r="Z50" i="2"/>
  <c r="BU50" i="2" s="1"/>
  <c r="T50" i="2"/>
  <c r="BO50" i="2" s="1"/>
  <c r="N50" i="2"/>
  <c r="BI50" i="2" s="1"/>
  <c r="H50" i="2"/>
  <c r="CG26" i="2"/>
  <c r="CI26" i="2" s="1"/>
  <c r="AN26" i="2"/>
  <c r="AF56" i="2"/>
  <c r="CA56" i="2" s="1"/>
  <c r="P34" i="2"/>
  <c r="V34" i="2"/>
  <c r="AB19" i="2"/>
  <c r="J19" i="2"/>
  <c r="AB34" i="2"/>
  <c r="AH19" i="2"/>
  <c r="V19" i="2"/>
  <c r="J34" i="2"/>
  <c r="P19" i="2"/>
  <c r="U50" i="2"/>
  <c r="BP50" i="2" s="1"/>
  <c r="O50" i="2"/>
  <c r="AA50" i="2"/>
  <c r="BV50" i="2" s="1"/>
  <c r="AH50" i="2" l="1"/>
  <c r="CB50" i="2"/>
  <c r="CC50" i="2" s="1"/>
  <c r="I56" i="2"/>
  <c r="BD56" i="2" s="1"/>
  <c r="BQ50" i="2"/>
  <c r="H56" i="2"/>
  <c r="BC56" i="2" s="1"/>
  <c r="BC50" i="2"/>
  <c r="BE50" i="2" s="1"/>
  <c r="BW50" i="2"/>
  <c r="O56" i="2"/>
  <c r="BJ56" i="2" s="1"/>
  <c r="BJ50" i="2"/>
  <c r="BK50" i="2" s="1"/>
  <c r="Z56" i="2"/>
  <c r="BU56" i="2" s="1"/>
  <c r="T56" i="2"/>
  <c r="BO56" i="2" s="1"/>
  <c r="J50" i="2"/>
  <c r="N56" i="2"/>
  <c r="BI56" i="2" s="1"/>
  <c r="AH56" i="2"/>
  <c r="CB56" i="2"/>
  <c r="CC56" i="2" s="1"/>
  <c r="P50" i="2"/>
  <c r="AB50" i="2"/>
  <c r="V50" i="2"/>
  <c r="U56" i="2"/>
  <c r="BP56" i="2" s="1"/>
  <c r="AA56" i="2"/>
  <c r="BV56" i="2" s="1"/>
  <c r="BE56" i="2" l="1"/>
  <c r="J56" i="2"/>
  <c r="BQ56" i="2"/>
  <c r="BK56" i="2"/>
  <c r="BW56" i="2"/>
  <c r="P56" i="2"/>
  <c r="AB56" i="2"/>
  <c r="V56" i="2"/>
  <c r="AX26" i="2"/>
  <c r="F26" i="2"/>
  <c r="AP26" i="2" s="1"/>
  <c r="E26" i="2"/>
  <c r="AO26" i="2" s="1"/>
  <c r="D26" i="2"/>
  <c r="AW26" i="2"/>
  <c r="AQ26" i="2" l="1"/>
  <c r="G26" i="2"/>
  <c r="AY26" i="2"/>
  <c r="AM23" i="2" l="1"/>
  <c r="F21" i="2"/>
  <c r="AP21" i="2" s="1"/>
  <c r="CH23" i="2" l="1"/>
  <c r="CI23" i="2" s="1"/>
  <c r="AN23" i="2"/>
  <c r="AM21" i="2"/>
  <c r="AN21" i="2" l="1"/>
  <c r="CH21" i="2"/>
  <c r="CI21" i="2" s="1"/>
  <c r="AX21" i="2"/>
  <c r="E21" i="2" l="1"/>
  <c r="AO21" i="2" s="1"/>
  <c r="AQ21" i="2" s="1"/>
  <c r="G21" i="2" l="1"/>
  <c r="D21" i="2"/>
  <c r="AW21" i="2" l="1"/>
  <c r="AY21" i="2" s="1"/>
  <c r="AL31" i="2" l="1"/>
  <c r="CG31" i="2" s="1"/>
  <c r="F43" i="2" l="1"/>
  <c r="AP43" i="2" s="1"/>
  <c r="AP6" i="2" l="1"/>
  <c r="AQ6" i="2" s="1"/>
  <c r="G6" i="2" l="1"/>
  <c r="F29" i="2" l="1"/>
  <c r="AP29" i="2" s="1"/>
  <c r="E29" i="2"/>
  <c r="AO29" i="2" s="1"/>
  <c r="AQ29" i="2" l="1"/>
  <c r="G29" i="2"/>
  <c r="E45" i="2" l="1"/>
  <c r="AO45" i="2" s="1"/>
  <c r="E44" i="2"/>
  <c r="AO44" i="2" s="1"/>
  <c r="E41" i="2"/>
  <c r="AO41" i="2" s="1"/>
  <c r="E38" i="2"/>
  <c r="AO38" i="2" s="1"/>
  <c r="E37" i="2"/>
  <c r="AO37" i="2" s="1"/>
  <c r="E36" i="2"/>
  <c r="AO36" i="2" s="1"/>
  <c r="E35" i="2"/>
  <c r="AO35" i="2" s="1"/>
  <c r="E32" i="2"/>
  <c r="AO32" i="2" s="1"/>
  <c r="E40" i="2"/>
  <c r="AO40" i="2" s="1"/>
  <c r="E39" i="2"/>
  <c r="AO39" i="2" s="1"/>
  <c r="E31" i="2"/>
  <c r="AO31" i="2" s="1"/>
  <c r="E30" i="2"/>
  <c r="AO30" i="2" s="1"/>
  <c r="E28" i="2"/>
  <c r="AO28" i="2" s="1"/>
  <c r="E43" i="2"/>
  <c r="AO43" i="2" s="1"/>
  <c r="AQ43" i="2" s="1"/>
  <c r="E27" i="2"/>
  <c r="AO27" i="2" s="1"/>
  <c r="E42" i="2"/>
  <c r="AO42" i="2" s="1"/>
  <c r="E25" i="2"/>
  <c r="AO25" i="2" s="1"/>
  <c r="E24" i="2"/>
  <c r="AO24" i="2" s="1"/>
  <c r="E23" i="2"/>
  <c r="AO23" i="2" s="1"/>
  <c r="E22" i="2"/>
  <c r="AO22" i="2" s="1"/>
  <c r="E18" i="2"/>
  <c r="AO18" i="2" s="1"/>
  <c r="E17" i="2"/>
  <c r="AO17" i="2" s="1"/>
  <c r="E16" i="2"/>
  <c r="AO16" i="2" s="1"/>
  <c r="E15" i="2"/>
  <c r="AO15" i="2" s="1"/>
  <c r="E14" i="2"/>
  <c r="AO14" i="2" s="1"/>
  <c r="E12" i="2"/>
  <c r="AO12" i="2" s="1"/>
  <c r="E7" i="2"/>
  <c r="AO7" i="2" s="1"/>
  <c r="E5" i="2"/>
  <c r="AO5" i="2" s="1"/>
  <c r="F45" i="2" l="1"/>
  <c r="AP45" i="2" s="1"/>
  <c r="AQ45" i="2" s="1"/>
  <c r="F44" i="2"/>
  <c r="AP44" i="2" s="1"/>
  <c r="AQ44" i="2" s="1"/>
  <c r="F41" i="2"/>
  <c r="AP41" i="2" s="1"/>
  <c r="AQ41" i="2" s="1"/>
  <c r="F38" i="2"/>
  <c r="AP38" i="2" s="1"/>
  <c r="AQ38" i="2" s="1"/>
  <c r="F37" i="2"/>
  <c r="AP37" i="2" s="1"/>
  <c r="AQ37" i="2" s="1"/>
  <c r="F36" i="2"/>
  <c r="AP36" i="2" s="1"/>
  <c r="AQ36" i="2" s="1"/>
  <c r="F35" i="2"/>
  <c r="AP35" i="2" s="1"/>
  <c r="AQ35" i="2" s="1"/>
  <c r="F32" i="2"/>
  <c r="AP32" i="2" s="1"/>
  <c r="AQ32" i="2" s="1"/>
  <c r="F40" i="2"/>
  <c r="AP40" i="2" s="1"/>
  <c r="AQ40" i="2" s="1"/>
  <c r="F39" i="2"/>
  <c r="AP39" i="2" s="1"/>
  <c r="AQ39" i="2" s="1"/>
  <c r="F31" i="2"/>
  <c r="AP31" i="2" s="1"/>
  <c r="AQ31" i="2" s="1"/>
  <c r="F30" i="2"/>
  <c r="AP30" i="2" s="1"/>
  <c r="AQ30" i="2" s="1"/>
  <c r="F28" i="2"/>
  <c r="AP28" i="2" s="1"/>
  <c r="AQ28" i="2" s="1"/>
  <c r="F27" i="2"/>
  <c r="AP27" i="2" s="1"/>
  <c r="AQ27" i="2" s="1"/>
  <c r="F42" i="2"/>
  <c r="AP42" i="2" s="1"/>
  <c r="AQ42" i="2" s="1"/>
  <c r="F25" i="2"/>
  <c r="AP25" i="2" s="1"/>
  <c r="AQ25" i="2" s="1"/>
  <c r="F24" i="2"/>
  <c r="AP24" i="2" s="1"/>
  <c r="AQ24" i="2" s="1"/>
  <c r="F23" i="2"/>
  <c r="AP23" i="2" s="1"/>
  <c r="AQ23" i="2" s="1"/>
  <c r="F22" i="2"/>
  <c r="AP22" i="2" s="1"/>
  <c r="AQ22" i="2" s="1"/>
  <c r="F18" i="2"/>
  <c r="AP18" i="2" s="1"/>
  <c r="AQ18" i="2" s="1"/>
  <c r="F17" i="2"/>
  <c r="AP17" i="2" s="1"/>
  <c r="AQ17" i="2" s="1"/>
  <c r="F16" i="2"/>
  <c r="AP16" i="2" s="1"/>
  <c r="AQ16" i="2" s="1"/>
  <c r="F15" i="2"/>
  <c r="AP15" i="2" s="1"/>
  <c r="AQ15" i="2" s="1"/>
  <c r="F14" i="2"/>
  <c r="AP14" i="2" s="1"/>
  <c r="AQ14" i="2" s="1"/>
  <c r="F12" i="2"/>
  <c r="AP12" i="2" s="1"/>
  <c r="AQ12" i="2" s="1"/>
  <c r="F7" i="2"/>
  <c r="AP7" i="2" s="1"/>
  <c r="AQ7" i="2" s="1"/>
  <c r="F5" i="2"/>
  <c r="AP5" i="2" s="1"/>
  <c r="AQ5" i="2" s="1"/>
  <c r="AC611" i="7" l="1"/>
  <c r="AB611" i="7"/>
  <c r="AC610" i="7"/>
  <c r="AB610" i="7"/>
  <c r="AC608" i="7"/>
  <c r="AB608" i="7"/>
  <c r="AC607" i="7"/>
  <c r="AB607" i="7"/>
  <c r="AM7" i="2"/>
  <c r="AC606" i="7"/>
  <c r="AB606" i="7"/>
  <c r="AC605" i="7"/>
  <c r="AB605" i="7"/>
  <c r="Y604" i="7"/>
  <c r="AC594" i="7"/>
  <c r="AB594" i="7"/>
  <c r="AC593" i="7"/>
  <c r="AB593" i="7"/>
  <c r="AC591" i="7"/>
  <c r="AB591" i="7"/>
  <c r="AC590" i="7"/>
  <c r="AB590" i="7"/>
  <c r="AC589" i="7"/>
  <c r="AB589" i="7"/>
  <c r="AC588" i="7"/>
  <c r="AB588" i="7"/>
  <c r="Y587" i="7"/>
  <c r="AC577" i="7"/>
  <c r="AB577" i="7"/>
  <c r="AC576" i="7"/>
  <c r="AB576" i="7"/>
  <c r="AC574" i="7"/>
  <c r="AB574" i="7"/>
  <c r="AC573" i="7"/>
  <c r="AB573" i="7"/>
  <c r="AC572" i="7"/>
  <c r="AB572" i="7"/>
  <c r="AC571" i="7"/>
  <c r="AB571" i="7"/>
  <c r="Y570" i="7"/>
  <c r="AC560" i="7"/>
  <c r="AB560" i="7"/>
  <c r="AC559" i="7"/>
  <c r="AB559" i="7"/>
  <c r="AC557" i="7"/>
  <c r="AB557" i="7"/>
  <c r="AC556" i="7"/>
  <c r="AB556" i="7"/>
  <c r="AC555" i="7"/>
  <c r="AB555" i="7"/>
  <c r="AC554" i="7"/>
  <c r="AB554" i="7"/>
  <c r="Y553" i="7"/>
  <c r="AC543" i="7"/>
  <c r="AB543" i="7"/>
  <c r="AC542" i="7"/>
  <c r="AB542" i="7"/>
  <c r="AC540" i="7"/>
  <c r="AB540" i="7"/>
  <c r="AC539" i="7"/>
  <c r="AB539" i="7"/>
  <c r="AM6" i="2"/>
  <c r="AC538" i="7"/>
  <c r="AB538" i="7"/>
  <c r="AC537" i="7"/>
  <c r="AB537" i="7"/>
  <c r="Y531" i="7"/>
  <c r="Y536" i="7"/>
  <c r="AB526" i="7"/>
  <c r="AB525" i="7"/>
  <c r="AB523" i="7"/>
  <c r="AB522" i="7"/>
  <c r="AB521" i="7"/>
  <c r="AB520" i="7"/>
  <c r="AB509" i="7"/>
  <c r="AB508" i="7"/>
  <c r="AB506" i="7"/>
  <c r="AB505" i="7"/>
  <c r="AB504" i="7"/>
  <c r="AB503" i="7"/>
  <c r="AB492" i="7"/>
  <c r="AB491" i="7"/>
  <c r="AB489" i="7"/>
  <c r="AB488" i="7"/>
  <c r="AB487" i="7"/>
  <c r="AB486" i="7"/>
  <c r="AB475" i="7"/>
  <c r="AB474" i="7"/>
  <c r="AB472" i="7"/>
  <c r="AB471" i="7"/>
  <c r="AB470" i="7"/>
  <c r="AB469" i="7"/>
  <c r="AB458" i="7"/>
  <c r="AB457" i="7"/>
  <c r="AB455" i="7"/>
  <c r="AB454" i="7"/>
  <c r="AB453" i="7"/>
  <c r="AB452" i="7"/>
  <c r="AB441" i="7"/>
  <c r="AB440" i="7"/>
  <c r="AB438" i="7"/>
  <c r="AB437" i="7"/>
  <c r="AB436" i="7"/>
  <c r="AB435" i="7"/>
  <c r="AB424" i="7"/>
  <c r="AB423" i="7"/>
  <c r="AB421" i="7"/>
  <c r="AB420" i="7"/>
  <c r="AB419" i="7"/>
  <c r="AB418" i="7"/>
  <c r="AB407" i="7"/>
  <c r="AB406" i="7"/>
  <c r="AB404" i="7"/>
  <c r="AB403" i="7"/>
  <c r="AB402" i="7"/>
  <c r="AB401" i="7"/>
  <c r="AB390" i="7"/>
  <c r="AB389" i="7"/>
  <c r="AB387" i="7"/>
  <c r="AB386" i="7"/>
  <c r="AB385" i="7"/>
  <c r="AB384" i="7"/>
  <c r="AB373" i="7"/>
  <c r="AB372" i="7"/>
  <c r="AB370" i="7"/>
  <c r="AB369" i="7"/>
  <c r="AB368" i="7"/>
  <c r="AB367" i="7"/>
  <c r="AB356" i="7"/>
  <c r="AB355" i="7"/>
  <c r="AB353" i="7"/>
  <c r="AB352" i="7"/>
  <c r="AB351" i="7"/>
  <c r="AB350" i="7"/>
  <c r="AB339" i="7"/>
  <c r="AB338" i="7"/>
  <c r="AB336" i="7"/>
  <c r="AB335" i="7"/>
  <c r="AB334" i="7"/>
  <c r="AB333" i="7"/>
  <c r="AB322" i="7"/>
  <c r="AB321" i="7"/>
  <c r="AB319" i="7"/>
  <c r="AB318" i="7"/>
  <c r="AB317" i="7"/>
  <c r="AB316" i="7"/>
  <c r="AB305" i="7"/>
  <c r="AB304" i="7"/>
  <c r="AB302" i="7"/>
  <c r="AB301" i="7"/>
  <c r="AB300" i="7"/>
  <c r="AB299" i="7"/>
  <c r="AB288" i="7"/>
  <c r="AB287" i="7"/>
  <c r="AB285" i="7"/>
  <c r="AB284" i="7"/>
  <c r="AB283" i="7"/>
  <c r="AB282" i="7"/>
  <c r="AB254" i="7"/>
  <c r="AB253" i="7"/>
  <c r="AB251" i="7"/>
  <c r="AB250" i="7"/>
  <c r="AB249" i="7"/>
  <c r="AB248" i="7"/>
  <c r="AB237" i="7"/>
  <c r="AB236" i="7"/>
  <c r="AB234" i="7"/>
  <c r="AB233" i="7"/>
  <c r="AB232" i="7"/>
  <c r="AB231" i="7"/>
  <c r="AB220" i="7"/>
  <c r="AB219" i="7"/>
  <c r="AB217" i="7"/>
  <c r="AB216" i="7"/>
  <c r="AB215" i="7"/>
  <c r="AB214" i="7"/>
  <c r="AB203" i="7"/>
  <c r="AB202" i="7"/>
  <c r="AB200" i="7"/>
  <c r="AB199" i="7"/>
  <c r="AB198" i="7"/>
  <c r="AB197" i="7"/>
  <c r="AB186" i="7"/>
  <c r="AB185" i="7"/>
  <c r="AB183" i="7"/>
  <c r="AB182" i="7"/>
  <c r="AB181" i="7"/>
  <c r="AB180" i="7"/>
  <c r="AB152" i="7"/>
  <c r="AB151" i="7"/>
  <c r="AB149" i="7"/>
  <c r="AB148" i="7"/>
  <c r="AB147" i="7"/>
  <c r="AB146" i="7"/>
  <c r="AB135" i="7"/>
  <c r="AB134" i="7"/>
  <c r="AB132" i="7"/>
  <c r="AB131" i="7"/>
  <c r="AB130" i="7"/>
  <c r="AB129" i="7"/>
  <c r="AB118" i="7"/>
  <c r="AB117" i="7"/>
  <c r="AB115" i="7"/>
  <c r="AB114" i="7"/>
  <c r="AB113" i="7"/>
  <c r="AB112" i="7"/>
  <c r="AB101" i="7"/>
  <c r="AB100" i="7"/>
  <c r="AB98" i="7"/>
  <c r="AB97" i="7"/>
  <c r="AB96" i="7"/>
  <c r="AB95" i="7"/>
  <c r="AB84" i="7"/>
  <c r="AB83" i="7"/>
  <c r="AB81" i="7"/>
  <c r="AB80" i="7"/>
  <c r="AB79" i="7"/>
  <c r="AB78" i="7"/>
  <c r="AB67" i="7"/>
  <c r="AB66" i="7"/>
  <c r="AB64" i="7"/>
  <c r="AB63" i="7"/>
  <c r="AB62" i="7"/>
  <c r="AB61" i="7"/>
  <c r="AB50" i="7"/>
  <c r="AB49" i="7"/>
  <c r="AB47" i="7"/>
  <c r="AB46" i="7"/>
  <c r="AB45" i="7"/>
  <c r="AB44" i="7"/>
  <c r="AB33" i="7"/>
  <c r="AB32" i="7"/>
  <c r="AB30" i="7"/>
  <c r="AB29" i="7"/>
  <c r="AB28" i="7"/>
  <c r="AB27" i="7"/>
  <c r="AB16" i="7"/>
  <c r="AB15" i="7"/>
  <c r="AB13" i="7"/>
  <c r="AB12" i="7"/>
  <c r="AB11" i="7"/>
  <c r="AB10" i="7"/>
  <c r="AM16" i="2" l="1"/>
  <c r="AX16" i="2"/>
  <c r="AY16" i="2" s="1"/>
  <c r="AM15" i="2"/>
  <c r="AX15" i="2"/>
  <c r="AY15" i="2" s="1"/>
  <c r="AM14" i="2"/>
  <c r="AX14" i="2"/>
  <c r="AY14" i="2" s="1"/>
  <c r="AN6" i="2"/>
  <c r="CH6" i="2"/>
  <c r="CI6" i="2" s="1"/>
  <c r="CH7" i="2"/>
  <c r="CI7" i="2" s="1"/>
  <c r="AN7" i="2"/>
  <c r="Y544" i="7"/>
  <c r="AA544" i="7" s="1"/>
  <c r="AX6" i="2"/>
  <c r="Y561" i="7"/>
  <c r="AA561" i="7" s="1"/>
  <c r="Y578" i="7"/>
  <c r="AA578" i="7" s="1"/>
  <c r="Y595" i="7"/>
  <c r="AA595" i="7" s="1"/>
  <c r="Y612" i="7"/>
  <c r="AA612" i="7" s="1"/>
  <c r="X595" i="7"/>
  <c r="Z595" i="7" s="1"/>
  <c r="X612" i="7"/>
  <c r="Z612" i="7" s="1"/>
  <c r="X536" i="7"/>
  <c r="X587" i="7"/>
  <c r="X578" i="7"/>
  <c r="Z578" i="7" s="1"/>
  <c r="X544" i="7"/>
  <c r="Z544" i="7" s="1"/>
  <c r="X604" i="7"/>
  <c r="X570" i="7"/>
  <c r="X553" i="7"/>
  <c r="X561" i="7"/>
  <c r="Z561" i="7" s="1"/>
  <c r="CH15" i="2" l="1"/>
  <c r="CI15" i="2" s="1"/>
  <c r="AN15" i="2"/>
  <c r="CH14" i="2"/>
  <c r="CI14" i="2" s="1"/>
  <c r="AN14" i="2"/>
  <c r="CH16" i="2"/>
  <c r="CI16" i="2" s="1"/>
  <c r="AN16" i="2"/>
  <c r="F4" i="2" l="1"/>
  <c r="E4" i="2"/>
  <c r="E19" i="2" l="1"/>
  <c r="AO19" i="2" s="1"/>
  <c r="AO4" i="2"/>
  <c r="F19" i="2"/>
  <c r="AP19" i="2" s="1"/>
  <c r="AP4" i="2"/>
  <c r="G17" i="2"/>
  <c r="G5" i="2"/>
  <c r="AQ4" i="2" l="1"/>
  <c r="AQ19" i="2"/>
  <c r="F34" i="2"/>
  <c r="F50" i="2" l="1"/>
  <c r="AP34" i="2"/>
  <c r="G36" i="2"/>
  <c r="G38" i="2"/>
  <c r="G37" i="2"/>
  <c r="E34" i="2"/>
  <c r="G35" i="2"/>
  <c r="E50" i="2" l="1"/>
  <c r="AO34" i="2"/>
  <c r="AQ34" i="2" s="1"/>
  <c r="F56" i="2"/>
  <c r="AP56" i="2" s="1"/>
  <c r="AP50" i="2"/>
  <c r="G16" i="2"/>
  <c r="E56" i="2" l="1"/>
  <c r="AO50" i="2"/>
  <c r="AQ50" i="2" s="1"/>
  <c r="G56" i="2" l="1"/>
  <c r="AO56" i="2"/>
  <c r="AQ56" i="2" s="1"/>
  <c r="G34" i="2"/>
  <c r="G44" i="2"/>
  <c r="G19" i="2" l="1"/>
  <c r="AX7" i="2"/>
  <c r="G45" i="2"/>
  <c r="G39" i="2"/>
  <c r="G41" i="2"/>
  <c r="G12" i="2"/>
  <c r="G25" i="2"/>
  <c r="G7" i="2"/>
  <c r="G28" i="2"/>
  <c r="G24" i="2"/>
  <c r="G15" i="2"/>
  <c r="G43" i="2"/>
  <c r="G30" i="2"/>
  <c r="G42" i="2"/>
  <c r="G23" i="2"/>
  <c r="G32" i="2"/>
  <c r="G40" i="2"/>
  <c r="G27" i="2"/>
  <c r="G4" i="2"/>
  <c r="G22" i="2"/>
  <c r="G31" i="2"/>
  <c r="G18" i="2"/>
  <c r="G14" i="2"/>
  <c r="G50" i="2" l="1"/>
  <c r="AL30" i="2" l="1"/>
  <c r="CG30" i="2" s="1"/>
  <c r="AL41" i="2"/>
  <c r="CG41" i="2" s="1"/>
  <c r="AL29" i="2"/>
  <c r="CG29" i="2" s="1"/>
  <c r="AL45" i="2"/>
  <c r="CG45" i="2" s="1"/>
  <c r="AL27" i="2"/>
  <c r="CG27" i="2" s="1"/>
  <c r="AL42" i="2"/>
  <c r="CG42" i="2" s="1"/>
  <c r="AL36" i="2"/>
  <c r="CG36" i="2" s="1"/>
  <c r="AL44" i="2"/>
  <c r="CG44" i="2" s="1"/>
  <c r="AL37" i="2"/>
  <c r="CG37" i="2" s="1"/>
  <c r="AL35" i="2"/>
  <c r="CG35" i="2" s="1"/>
  <c r="AL38" i="2"/>
  <c r="CG38" i="2" s="1"/>
  <c r="AL28" i="2"/>
  <c r="CG28" i="2" s="1"/>
  <c r="D6" i="2"/>
  <c r="AL17" i="2" l="1"/>
  <c r="CG17" i="2" s="1"/>
  <c r="AW17" i="2"/>
  <c r="AL12" i="2"/>
  <c r="CG12" i="2" s="1"/>
  <c r="AW12" i="2"/>
  <c r="AL18" i="2"/>
  <c r="CG18" i="2" s="1"/>
  <c r="AW18" i="2"/>
  <c r="B19" i="2"/>
  <c r="AL19" i="2" s="1"/>
  <c r="CG19" i="2" s="1"/>
  <c r="AW6" i="2"/>
  <c r="AY6" i="2" s="1"/>
  <c r="D14" i="2"/>
  <c r="AW4" i="2"/>
  <c r="AW37" i="2"/>
  <c r="AW39" i="2"/>
  <c r="AW36" i="2"/>
  <c r="AW27" i="2"/>
  <c r="AW43" i="2"/>
  <c r="AW41" i="2"/>
  <c r="AW30" i="2"/>
  <c r="AW40" i="2"/>
  <c r="AW44" i="2"/>
  <c r="AW5" i="2"/>
  <c r="AW25" i="2"/>
  <c r="AW32" i="2"/>
  <c r="AW28" i="2"/>
  <c r="D7" i="2"/>
  <c r="B34" i="2"/>
  <c r="AW42" i="2"/>
  <c r="AW29" i="2"/>
  <c r="D15" i="2"/>
  <c r="AW35" i="2"/>
  <c r="AW22" i="2"/>
  <c r="AW24" i="2"/>
  <c r="AW38" i="2"/>
  <c r="AW7" i="2"/>
  <c r="AY7" i="2" s="1"/>
  <c r="D16" i="2"/>
  <c r="AW45" i="2"/>
  <c r="AW23" i="2"/>
  <c r="B50" i="2" l="1"/>
  <c r="AL34" i="2"/>
  <c r="CG34" i="2" s="1"/>
  <c r="AL4" i="2"/>
  <c r="CG4" i="2" s="1"/>
  <c r="AW19" i="2"/>
  <c r="AW34" i="2"/>
  <c r="B56" i="2" l="1"/>
  <c r="AL50" i="2"/>
  <c r="CG50" i="2" s="1"/>
  <c r="AL56" i="2" l="1"/>
  <c r="CG56" i="2" s="1"/>
  <c r="AW56" i="2"/>
  <c r="AC214" i="7"/>
  <c r="AC503" i="7"/>
  <c r="AC49" i="7"/>
  <c r="AC440" i="7"/>
  <c r="AC12" i="7"/>
  <c r="AM41" i="2"/>
  <c r="AC304" i="7"/>
  <c r="AC13" i="7"/>
  <c r="AC183" i="7"/>
  <c r="AC458" i="7"/>
  <c r="AC62" i="7"/>
  <c r="AC27" i="7"/>
  <c r="AC132" i="7"/>
  <c r="AC197" i="7"/>
  <c r="AC10" i="7"/>
  <c r="AC181" i="7"/>
  <c r="AC217" i="7"/>
  <c r="AC96" i="7"/>
  <c r="AC117" i="7"/>
  <c r="AC182" i="7"/>
  <c r="AC231" i="7"/>
  <c r="AC384" i="7"/>
  <c r="AC420" i="7"/>
  <c r="AM27" i="2"/>
  <c r="AC457" i="7"/>
  <c r="AC50" i="7"/>
  <c r="AM29" i="2"/>
  <c r="AC114" i="7"/>
  <c r="AC370" i="7"/>
  <c r="AC78" i="7"/>
  <c r="AC115" i="7"/>
  <c r="AC335" i="7"/>
  <c r="AM36" i="2"/>
  <c r="X383" i="7"/>
  <c r="AC453" i="7"/>
  <c r="AC489" i="7"/>
  <c r="AC526" i="7"/>
  <c r="AC248" i="7"/>
  <c r="AC283" i="7"/>
  <c r="AC301" i="7"/>
  <c r="AM24" i="2"/>
  <c r="AC319" i="7"/>
  <c r="AC338" i="7"/>
  <c r="AC356" i="7"/>
  <c r="AC350" i="7"/>
  <c r="Y357" i="7"/>
  <c r="AC368" i="7"/>
  <c r="AC386" i="7"/>
  <c r="AC404" i="7"/>
  <c r="AC423" i="7"/>
  <c r="AC441" i="7"/>
  <c r="AC67" i="7"/>
  <c r="AC202" i="7"/>
  <c r="AC97" i="7"/>
  <c r="AM28" i="2"/>
  <c r="AC45" i="7"/>
  <c r="AC81" i="7"/>
  <c r="AC98" i="7"/>
  <c r="AC506" i="7"/>
  <c r="AC83" i="7"/>
  <c r="AC95" i="7"/>
  <c r="AC134" i="7"/>
  <c r="AC61" i="7"/>
  <c r="Y68" i="7"/>
  <c r="AC79" i="7"/>
  <c r="AC101" i="7"/>
  <c r="AC147" i="7"/>
  <c r="AC237" i="7"/>
  <c r="AM32" i="2"/>
  <c r="AC284" i="7"/>
  <c r="AC321" i="7"/>
  <c r="AC316" i="7"/>
  <c r="Y323" i="7"/>
  <c r="AC389" i="7"/>
  <c r="AC452" i="7"/>
  <c r="AC46" i="7"/>
  <c r="AM45" i="2"/>
  <c r="AC299" i="7"/>
  <c r="AC353" i="7"/>
  <c r="AC390" i="7"/>
  <c r="AC180" i="7"/>
  <c r="AC198" i="7"/>
  <c r="AC216" i="7"/>
  <c r="AM40" i="2"/>
  <c r="AC234" i="7"/>
  <c r="AC253" i="7"/>
  <c r="AC288" i="7"/>
  <c r="AC469" i="7"/>
  <c r="AC487" i="7"/>
  <c r="AM4" i="2"/>
  <c r="AC505" i="7"/>
  <c r="AC523" i="7"/>
  <c r="AC282" i="7"/>
  <c r="AC300" i="7"/>
  <c r="AM35" i="2"/>
  <c r="AC318" i="7"/>
  <c r="AC336" i="7"/>
  <c r="AC355" i="7"/>
  <c r="AC373" i="7"/>
  <c r="AC44" i="7"/>
  <c r="AC285" i="7"/>
  <c r="AC220" i="7"/>
  <c r="Y374" i="7"/>
  <c r="AC367" i="7"/>
  <c r="AC30" i="7"/>
  <c r="AC112" i="7"/>
  <c r="AC521" i="7"/>
  <c r="AC32" i="7"/>
  <c r="AC232" i="7"/>
  <c r="AC385" i="7"/>
  <c r="AC470" i="7"/>
  <c r="AC525" i="7"/>
  <c r="AM22" i="2"/>
  <c r="AC199" i="7"/>
  <c r="AC236" i="7"/>
  <c r="AC11" i="7"/>
  <c r="AM44" i="2"/>
  <c r="AC29" i="7"/>
  <c r="AC47" i="7"/>
  <c r="AC66" i="7"/>
  <c r="AC84" i="7"/>
  <c r="AC129" i="7"/>
  <c r="AC219" i="7"/>
  <c r="AC402" i="7"/>
  <c r="AC438" i="7"/>
  <c r="AC475" i="7"/>
  <c r="AC254" i="7"/>
  <c r="AC334" i="7"/>
  <c r="AC407" i="7"/>
  <c r="AC15" i="7"/>
  <c r="AC146" i="7"/>
  <c r="AC317" i="7"/>
  <c r="AC435" i="7"/>
  <c r="AC471" i="7"/>
  <c r="AC508" i="7"/>
  <c r="AC113" i="7"/>
  <c r="AC131" i="7"/>
  <c r="AC149" i="7"/>
  <c r="AC185" i="7"/>
  <c r="AC203" i="7"/>
  <c r="AC401" i="7"/>
  <c r="AC419" i="7"/>
  <c r="AM43" i="2"/>
  <c r="AC437" i="7"/>
  <c r="AC455" i="7"/>
  <c r="AC474" i="7"/>
  <c r="AC492" i="7"/>
  <c r="AC251" i="7"/>
  <c r="AC287" i="7"/>
  <c r="AC305" i="7"/>
  <c r="AC486" i="7"/>
  <c r="AC504" i="7"/>
  <c r="AC522" i="7"/>
  <c r="AM5" i="2"/>
  <c r="AC80" i="7"/>
  <c r="AM30" i="2"/>
  <c r="AM39" i="2"/>
  <c r="AC148" i="7"/>
  <c r="AC322" i="7"/>
  <c r="AC130" i="7"/>
  <c r="AM42" i="2"/>
  <c r="AC403" i="7"/>
  <c r="AC250" i="7"/>
  <c r="AC421" i="7"/>
  <c r="AM31" i="2"/>
  <c r="AC63" i="7"/>
  <c r="X128" i="7"/>
  <c r="AC186" i="7"/>
  <c r="AM25" i="2"/>
  <c r="AC233" i="7"/>
  <c r="AC488" i="7"/>
  <c r="AC33" i="7"/>
  <c r="AC64" i="7"/>
  <c r="AC152" i="7"/>
  <c r="AC16" i="7"/>
  <c r="AC135" i="7"/>
  <c r="AC200" i="7"/>
  <c r="AC249" i="7"/>
  <c r="AC302" i="7"/>
  <c r="AC339" i="7"/>
  <c r="AC520" i="7"/>
  <c r="AC151" i="7"/>
  <c r="AC215" i="7"/>
  <c r="AM37" i="2"/>
  <c r="AC352" i="7"/>
  <c r="AC28" i="7"/>
  <c r="AC100" i="7"/>
  <c r="AC372" i="7"/>
  <c r="AC118" i="7"/>
  <c r="Y340" i="7"/>
  <c r="AC333" i="7"/>
  <c r="AC351" i="7"/>
  <c r="AC369" i="7"/>
  <c r="AM38" i="2"/>
  <c r="AC387" i="7"/>
  <c r="AC406" i="7"/>
  <c r="AC424" i="7"/>
  <c r="AC418" i="7"/>
  <c r="AC436" i="7"/>
  <c r="AC454" i="7"/>
  <c r="AC472" i="7"/>
  <c r="AC491" i="7"/>
  <c r="AC509" i="7"/>
  <c r="CH30" i="2" l="1"/>
  <c r="CI30" i="2" s="1"/>
  <c r="AN30" i="2"/>
  <c r="AM18" i="2"/>
  <c r="AX18" i="2"/>
  <c r="AY18" i="2" s="1"/>
  <c r="CH22" i="2"/>
  <c r="CI22" i="2" s="1"/>
  <c r="AN22" i="2"/>
  <c r="CH45" i="2"/>
  <c r="CI45" i="2" s="1"/>
  <c r="AN45" i="2"/>
  <c r="CH28" i="2"/>
  <c r="CI28" i="2" s="1"/>
  <c r="AN28" i="2"/>
  <c r="CH24" i="2"/>
  <c r="CI24" i="2" s="1"/>
  <c r="AN24" i="2"/>
  <c r="AN36" i="2"/>
  <c r="CH36" i="2"/>
  <c r="CI36" i="2" s="1"/>
  <c r="CH25" i="2"/>
  <c r="CI25" i="2" s="1"/>
  <c r="AN25" i="2"/>
  <c r="CH32" i="2"/>
  <c r="CI32" i="2" s="1"/>
  <c r="AN32" i="2"/>
  <c r="CH27" i="2"/>
  <c r="CI27" i="2" s="1"/>
  <c r="AN27" i="2"/>
  <c r="AN5" i="2"/>
  <c r="CH5" i="2"/>
  <c r="CI5" i="2" s="1"/>
  <c r="CH40" i="2"/>
  <c r="CI40" i="2" s="1"/>
  <c r="AN40" i="2"/>
  <c r="CH4" i="2"/>
  <c r="CI4" i="2" s="1"/>
  <c r="AN4" i="2"/>
  <c r="AN37" i="2"/>
  <c r="CH37" i="2"/>
  <c r="CI37" i="2" s="1"/>
  <c r="CH43" i="2"/>
  <c r="CI43" i="2" s="1"/>
  <c r="AN43" i="2"/>
  <c r="CH44" i="2"/>
  <c r="CI44" i="2" s="1"/>
  <c r="AN44" i="2"/>
  <c r="AN38" i="2"/>
  <c r="CH38" i="2"/>
  <c r="CI38" i="2" s="1"/>
  <c r="CH41" i="2"/>
  <c r="CI41" i="2" s="1"/>
  <c r="AN41" i="2"/>
  <c r="CH42" i="2"/>
  <c r="CI42" i="2" s="1"/>
  <c r="AN42" i="2"/>
  <c r="AM17" i="2"/>
  <c r="AX17" i="2"/>
  <c r="AY17" i="2" s="1"/>
  <c r="CH31" i="2"/>
  <c r="CI31" i="2" s="1"/>
  <c r="AN31" i="2"/>
  <c r="AM12" i="2"/>
  <c r="AX12" i="2"/>
  <c r="AY12" i="2" s="1"/>
  <c r="CH39" i="2"/>
  <c r="CI39" i="2" s="1"/>
  <c r="AN39" i="2"/>
  <c r="AN35" i="2"/>
  <c r="CH35" i="2"/>
  <c r="CI35" i="2" s="1"/>
  <c r="CH29" i="2"/>
  <c r="CI29" i="2" s="1"/>
  <c r="AN29" i="2"/>
  <c r="C19" i="2"/>
  <c r="AM19" i="2" s="1"/>
  <c r="X281" i="7"/>
  <c r="X26" i="7"/>
  <c r="X145" i="7"/>
  <c r="X136" i="7"/>
  <c r="Z136" i="7" s="1"/>
  <c r="X247" i="7"/>
  <c r="X391" i="7"/>
  <c r="Z391" i="7" s="1"/>
  <c r="X366" i="7"/>
  <c r="X434" i="7"/>
  <c r="X213" i="7"/>
  <c r="X94" i="7"/>
  <c r="X77" i="7"/>
  <c r="X332" i="7"/>
  <c r="X400" i="7"/>
  <c r="X510" i="7"/>
  <c r="Z510" i="7" s="1"/>
  <c r="X119" i="7"/>
  <c r="Z119" i="7" s="1"/>
  <c r="AX37" i="2"/>
  <c r="AY37" i="2" s="1"/>
  <c r="Y527" i="7"/>
  <c r="D12" i="2"/>
  <c r="Y332" i="7"/>
  <c r="AA340" i="7" s="1"/>
  <c r="X187" i="7"/>
  <c r="Z187" i="7" s="1"/>
  <c r="D42" i="2"/>
  <c r="Y43" i="7"/>
  <c r="AX39" i="2"/>
  <c r="AY39" i="2" s="1"/>
  <c r="D30" i="2"/>
  <c r="D5" i="2"/>
  <c r="Y493" i="7"/>
  <c r="X306" i="7"/>
  <c r="Z306" i="7" s="1"/>
  <c r="D43" i="2"/>
  <c r="Y281" i="7"/>
  <c r="D18" i="2"/>
  <c r="Y442" i="7"/>
  <c r="Y230" i="7"/>
  <c r="Y468" i="7"/>
  <c r="X255" i="7"/>
  <c r="Z255" i="7" s="1"/>
  <c r="Y145" i="7"/>
  <c r="X476" i="7"/>
  <c r="Z476" i="7" s="1"/>
  <c r="D44" i="2"/>
  <c r="Y315" i="7"/>
  <c r="AA323" i="7" s="1"/>
  <c r="Y111" i="7"/>
  <c r="Y383" i="7"/>
  <c r="X221" i="7"/>
  <c r="Z221" i="7" s="1"/>
  <c r="Y476" i="7"/>
  <c r="X289" i="7"/>
  <c r="Z289" i="7" s="1"/>
  <c r="AX40" i="2"/>
  <c r="AY40" i="2" s="1"/>
  <c r="D32" i="2"/>
  <c r="X238" i="7"/>
  <c r="Z238" i="7" s="1"/>
  <c r="Y102" i="7"/>
  <c r="AX28" i="2"/>
  <c r="AY28" i="2" s="1"/>
  <c r="Y417" i="7"/>
  <c r="X196" i="7"/>
  <c r="X527" i="7"/>
  <c r="Z527" i="7" s="1"/>
  <c r="AX29" i="2"/>
  <c r="AY29" i="2" s="1"/>
  <c r="Y128" i="7"/>
  <c r="Y17" i="7"/>
  <c r="D41" i="2"/>
  <c r="Y298" i="7"/>
  <c r="AX38" i="2"/>
  <c r="AY38" i="2" s="1"/>
  <c r="Y196" i="7"/>
  <c r="X519" i="7"/>
  <c r="X340" i="7"/>
  <c r="Z340" i="7" s="1"/>
  <c r="X179" i="7"/>
  <c r="Y77" i="7"/>
  <c r="X17" i="7"/>
  <c r="Z17" i="7" s="1"/>
  <c r="D25" i="2"/>
  <c r="X43" i="7"/>
  <c r="AX42" i="2"/>
  <c r="AY42" i="2" s="1"/>
  <c r="X323" i="7"/>
  <c r="Z323" i="7" s="1"/>
  <c r="Y366" i="7"/>
  <c r="AA374" i="7" s="1"/>
  <c r="AX43" i="2"/>
  <c r="AY43" i="2" s="1"/>
  <c r="Y408" i="7"/>
  <c r="X349" i="7"/>
  <c r="Y136" i="7"/>
  <c r="Y119" i="7"/>
  <c r="Y519" i="7"/>
  <c r="Y51" i="7"/>
  <c r="D35" i="2"/>
  <c r="Y349" i="7"/>
  <c r="AA357" i="7" s="1"/>
  <c r="D45" i="2"/>
  <c r="Y459" i="7"/>
  <c r="Y247" i="7"/>
  <c r="AX32" i="2"/>
  <c r="AY32" i="2" s="1"/>
  <c r="X102" i="7"/>
  <c r="Z102" i="7" s="1"/>
  <c r="X68" i="7"/>
  <c r="Z68" i="7" s="1"/>
  <c r="X442" i="7"/>
  <c r="Z442" i="7" s="1"/>
  <c r="X485" i="7"/>
  <c r="D36" i="2"/>
  <c r="X51" i="7"/>
  <c r="Z51" i="7" s="1"/>
  <c r="Y391" i="7"/>
  <c r="Y238" i="7"/>
  <c r="AX23" i="2"/>
  <c r="AY23" i="2" s="1"/>
  <c r="X60" i="7"/>
  <c r="X451" i="7"/>
  <c r="AX41" i="2"/>
  <c r="AY41" i="2" s="1"/>
  <c r="Y179" i="7"/>
  <c r="Y485" i="7"/>
  <c r="X425" i="7"/>
  <c r="Z425" i="7" s="1"/>
  <c r="Y451" i="7"/>
  <c r="D37" i="2"/>
  <c r="X153" i="7"/>
  <c r="Z153" i="7" s="1"/>
  <c r="AX5" i="2"/>
  <c r="AY5" i="2" s="1"/>
  <c r="AX44" i="2"/>
  <c r="AY44" i="2" s="1"/>
  <c r="D22" i="2"/>
  <c r="Y434" i="7"/>
  <c r="X374" i="7"/>
  <c r="Z374" i="7" s="1"/>
  <c r="D4" i="2"/>
  <c r="D40" i="2"/>
  <c r="Y187" i="7"/>
  <c r="X111" i="7"/>
  <c r="AX45" i="2"/>
  <c r="AY45" i="2" s="1"/>
  <c r="X468" i="7"/>
  <c r="X9" i="7"/>
  <c r="Y26" i="7"/>
  <c r="Y502" i="7"/>
  <c r="X298" i="7"/>
  <c r="AX24" i="2"/>
  <c r="AY24" i="2" s="1"/>
  <c r="Y255" i="7"/>
  <c r="X230" i="7"/>
  <c r="D29" i="2"/>
  <c r="AX27" i="2"/>
  <c r="AY27" i="2" s="1"/>
  <c r="Y213" i="7"/>
  <c r="D23" i="2"/>
  <c r="Y9" i="7"/>
  <c r="Y204" i="7"/>
  <c r="Y60" i="7"/>
  <c r="AA68" i="7" s="1"/>
  <c r="Y221" i="7"/>
  <c r="D17" i="2"/>
  <c r="Y425" i="7"/>
  <c r="D38" i="2"/>
  <c r="X34" i="7"/>
  <c r="Z34" i="7" s="1"/>
  <c r="AX25" i="2"/>
  <c r="AY25" i="2" s="1"/>
  <c r="AX31" i="2"/>
  <c r="D39" i="2"/>
  <c r="AX30" i="2"/>
  <c r="AY30" i="2" s="1"/>
  <c r="X493" i="7"/>
  <c r="Z493" i="7" s="1"/>
  <c r="X204" i="7"/>
  <c r="Z204" i="7" s="1"/>
  <c r="Y153" i="7"/>
  <c r="X408" i="7"/>
  <c r="Z408" i="7" s="1"/>
  <c r="Y94" i="7"/>
  <c r="X85" i="7"/>
  <c r="Z85" i="7" s="1"/>
  <c r="AX22" i="2"/>
  <c r="AY22" i="2" s="1"/>
  <c r="X502" i="7"/>
  <c r="AX35" i="2"/>
  <c r="AY35" i="2" s="1"/>
  <c r="Y289" i="7"/>
  <c r="AX4" i="2"/>
  <c r="AY4" i="2" s="1"/>
  <c r="X417" i="7"/>
  <c r="Y306" i="7"/>
  <c r="Y400" i="7"/>
  <c r="D28" i="2"/>
  <c r="X357" i="7"/>
  <c r="Z357" i="7" s="1"/>
  <c r="D24" i="2"/>
  <c r="AX36" i="2"/>
  <c r="AY36" i="2" s="1"/>
  <c r="Y85" i="7"/>
  <c r="D27" i="2"/>
  <c r="Y34" i="7"/>
  <c r="X459" i="7"/>
  <c r="Z459" i="7" s="1"/>
  <c r="X315" i="7"/>
  <c r="Y510" i="7"/>
  <c r="CH17" i="2" l="1"/>
  <c r="CI17" i="2" s="1"/>
  <c r="AN17" i="2"/>
  <c r="AN19" i="2"/>
  <c r="CH19" i="2"/>
  <c r="CI19" i="2" s="1"/>
  <c r="CH12" i="2"/>
  <c r="CI12" i="2" s="1"/>
  <c r="AN12" i="2"/>
  <c r="AN18" i="2"/>
  <c r="CH18" i="2"/>
  <c r="CI18" i="2" s="1"/>
  <c r="AM34" i="2"/>
  <c r="AA119" i="7"/>
  <c r="AA187" i="7"/>
  <c r="AA238" i="7"/>
  <c r="AA510" i="7"/>
  <c r="AA34" i="7"/>
  <c r="AA306" i="7"/>
  <c r="AA255" i="7"/>
  <c r="AA153" i="7"/>
  <c r="AA51" i="7"/>
  <c r="AA85" i="7"/>
  <c r="AA221" i="7"/>
  <c r="AA476" i="7"/>
  <c r="AA289" i="7"/>
  <c r="AA459" i="7"/>
  <c r="AA204" i="7"/>
  <c r="AA408" i="7"/>
  <c r="AA527" i="7"/>
  <c r="AA425" i="7"/>
  <c r="AA102" i="7"/>
  <c r="AA442" i="7"/>
  <c r="AA493" i="7"/>
  <c r="AA17" i="7"/>
  <c r="AX19" i="2"/>
  <c r="AY19" i="2" s="1"/>
  <c r="D19" i="2"/>
  <c r="AA391" i="7"/>
  <c r="D34" i="2"/>
  <c r="AA136" i="7"/>
  <c r="AX34" i="2"/>
  <c r="AY34" i="2" s="1"/>
  <c r="AN34" i="2" l="1"/>
  <c r="CH34" i="2"/>
  <c r="CI34" i="2" s="1"/>
  <c r="C56" i="2"/>
  <c r="AX56" i="2" s="1"/>
  <c r="AY56" i="2" s="1"/>
  <c r="AM50" i="2"/>
  <c r="AX50" i="2"/>
  <c r="AN50" i="2" l="1"/>
  <c r="CH50" i="2"/>
  <c r="CI50" i="2" s="1"/>
  <c r="D56" i="2"/>
  <c r="AM56" i="2"/>
  <c r="AN56" i="2" l="1"/>
  <c r="CH56" i="2"/>
  <c r="CI56" i="2" s="1"/>
  <c r="D31" i="2"/>
  <c r="AW31" i="2"/>
  <c r="AY31" i="2" s="1"/>
  <c r="D50" i="2" l="1"/>
  <c r="AW50" i="2" l="1"/>
  <c r="AY50" i="2" s="1"/>
</calcChain>
</file>

<file path=xl/sharedStrings.xml><?xml version="1.0" encoding="utf-8"?>
<sst xmlns="http://schemas.openxmlformats.org/spreadsheetml/2006/main" count="7186" uniqueCount="185">
  <si>
    <t>Ireland</t>
  </si>
  <si>
    <t>Sweden</t>
  </si>
  <si>
    <t>Italy</t>
  </si>
  <si>
    <t>Spain</t>
  </si>
  <si>
    <t>Portugal</t>
  </si>
  <si>
    <t>Germany</t>
  </si>
  <si>
    <t>Austria</t>
  </si>
  <si>
    <t>Poland</t>
  </si>
  <si>
    <t>Hungary</t>
  </si>
  <si>
    <t>Russia</t>
  </si>
  <si>
    <t>Romania</t>
  </si>
  <si>
    <t>Greece</t>
  </si>
  <si>
    <t>Total</t>
  </si>
  <si>
    <t>Repair</t>
  </si>
  <si>
    <t>Czech</t>
  </si>
  <si>
    <t>Category</t>
  </si>
  <si>
    <t>TOTAL</t>
  </si>
  <si>
    <t>Parts-OTC</t>
  </si>
  <si>
    <t>Quotes</t>
  </si>
  <si>
    <t>Maintenance</t>
  </si>
  <si>
    <t>Startup</t>
  </si>
  <si>
    <t>Orders</t>
  </si>
  <si>
    <t>Country</t>
  </si>
  <si>
    <t>FR-TPC</t>
  </si>
  <si>
    <t>UK-Bas</t>
  </si>
  <si>
    <t>NL</t>
  </si>
  <si>
    <t>FR-Lyo</t>
  </si>
  <si>
    <t>FR-Mar</t>
  </si>
  <si>
    <t>FR-Nan</t>
  </si>
  <si>
    <t>FR-Par</t>
  </si>
  <si>
    <t>Swiss</t>
  </si>
  <si>
    <t>Israel</t>
  </si>
  <si>
    <t>Kuwait</t>
  </si>
  <si>
    <t>Lebanon</t>
  </si>
  <si>
    <t>Saudi</t>
  </si>
  <si>
    <t>Turkey</t>
  </si>
  <si>
    <t>QP</t>
  </si>
  <si>
    <t>Service</t>
  </si>
  <si>
    <t>Parts</t>
  </si>
  <si>
    <t>QP=2xBL Service</t>
  </si>
  <si>
    <t>QP=2xBL Parts-OTC</t>
  </si>
  <si>
    <t>France</t>
  </si>
  <si>
    <t>IDM</t>
  </si>
  <si>
    <t>DUB</t>
  </si>
  <si>
    <t>MIL</t>
  </si>
  <si>
    <t>UK</t>
  </si>
  <si>
    <t>Sub Description</t>
  </si>
  <si>
    <t>Previous</t>
  </si>
  <si>
    <t>OTC</t>
  </si>
  <si>
    <t>Maintenance-TraneSELECT</t>
  </si>
  <si>
    <t>VPY</t>
  </si>
  <si>
    <t>Orders YTD</t>
  </si>
  <si>
    <t>SU</t>
  </si>
  <si>
    <t>M-TS</t>
  </si>
  <si>
    <t>&lt; 6        mth old</t>
  </si>
  <si>
    <t>&lt; 3        mth old</t>
  </si>
  <si>
    <t>Qatar</t>
  </si>
  <si>
    <t>Burn Rate</t>
  </si>
  <si>
    <t>Backlog Month</t>
  </si>
  <si>
    <t>Backlog Total</t>
  </si>
  <si>
    <t>Dubai</t>
  </si>
  <si>
    <t>Maintenance-TS</t>
  </si>
  <si>
    <t>Backlog Month+1</t>
  </si>
  <si>
    <t>Backlog Month+2</t>
  </si>
  <si>
    <t>IDA</t>
  </si>
  <si>
    <t>Abu Dhabi</t>
  </si>
  <si>
    <t>CTKS</t>
  </si>
  <si>
    <t>Rental</t>
  </si>
  <si>
    <t>Trane Rental</t>
  </si>
  <si>
    <t>Europe</t>
  </si>
  <si>
    <t>MEA</t>
  </si>
  <si>
    <t>%          EOD</t>
  </si>
  <si>
    <t>IDS</t>
  </si>
  <si>
    <t>TraneCare</t>
  </si>
  <si>
    <t>R</t>
  </si>
  <si>
    <t>TC</t>
  </si>
  <si>
    <t>Trane Building Advantage</t>
  </si>
  <si>
    <t>TBA</t>
  </si>
  <si>
    <t>Croatia</t>
  </si>
  <si>
    <t>Slovakia</t>
  </si>
  <si>
    <t>CAI</t>
  </si>
  <si>
    <t>Australia</t>
  </si>
  <si>
    <t>New Zealand</t>
  </si>
  <si>
    <t>Iraq</t>
  </si>
  <si>
    <t>ANZ</t>
  </si>
  <si>
    <t>EMEA</t>
  </si>
  <si>
    <t>Nigeria</t>
  </si>
  <si>
    <t>Oman</t>
  </si>
  <si>
    <t>Egypt_CAI</t>
  </si>
  <si>
    <t>Egypt_CAE</t>
  </si>
  <si>
    <t>ICS_FR</t>
  </si>
  <si>
    <t>Younger than 6 months</t>
  </si>
  <si>
    <t>Younger than 3 months</t>
  </si>
  <si>
    <t>Morroco</t>
  </si>
  <si>
    <t>SubDescription</t>
  </si>
  <si>
    <t>ICS_Germany</t>
  </si>
  <si>
    <t>ICS_NL</t>
  </si>
  <si>
    <t>ICS_Switzerland</t>
  </si>
  <si>
    <t>ICS_Italy</t>
  </si>
  <si>
    <t>Aug 2025</t>
  </si>
  <si>
    <t>Sep 2025</t>
  </si>
  <si>
    <t>Oct 2025</t>
  </si>
  <si>
    <t>Nov 2025</t>
  </si>
  <si>
    <t>Dec 2025</t>
  </si>
  <si>
    <t>Jan 2026</t>
  </si>
  <si>
    <t>Feb 2026</t>
  </si>
  <si>
    <t>Mar 2026</t>
  </si>
  <si>
    <t>Apr 2026</t>
  </si>
  <si>
    <t>May 2026</t>
  </si>
  <si>
    <t>Jun 2026</t>
  </si>
  <si>
    <t>Jul 2026</t>
  </si>
  <si>
    <t>Aug 2026</t>
  </si>
  <si>
    <t>ICS_DE</t>
  </si>
  <si>
    <t>ICS_CH</t>
  </si>
  <si>
    <t>ICS_IT</t>
  </si>
  <si>
    <t>Sep 2026</t>
  </si>
  <si>
    <t>Feb 2025</t>
  </si>
  <si>
    <t>Mar 2025</t>
  </si>
  <si>
    <t>Apr 2025</t>
  </si>
  <si>
    <t>May 2025</t>
  </si>
  <si>
    <t>Oct 2026</t>
  </si>
  <si>
    <t>Nov 2026</t>
  </si>
  <si>
    <t>QuotationType</t>
  </si>
  <si>
    <t>SalesOffice</t>
  </si>
  <si>
    <t>Older Than 6 Months</t>
  </si>
  <si>
    <t>Service-Quotes</t>
  </si>
  <si>
    <t>PTD</t>
  </si>
  <si>
    <t>BRC</t>
  </si>
  <si>
    <t>JHH</t>
  </si>
  <si>
    <t>AHS</t>
  </si>
  <si>
    <t>BDS</t>
  </si>
  <si>
    <t>ZAG</t>
  </si>
  <si>
    <t>PRG</t>
  </si>
  <si>
    <t>TEA</t>
  </si>
  <si>
    <t>BCS</t>
  </si>
  <si>
    <t>SLO</t>
  </si>
  <si>
    <t>SBU</t>
  </si>
  <si>
    <t>WAW</t>
  </si>
  <si>
    <t>BGB</t>
  </si>
  <si>
    <t>DTK</t>
  </si>
  <si>
    <t>ADH</t>
  </si>
  <si>
    <t>DXB</t>
  </si>
  <si>
    <t>CAE</t>
  </si>
  <si>
    <t>BGW</t>
  </si>
  <si>
    <t>SAF</t>
  </si>
  <si>
    <t>BEI</t>
  </si>
  <si>
    <t>Morocco</t>
  </si>
  <si>
    <t>MOR</t>
  </si>
  <si>
    <t>NIG</t>
  </si>
  <si>
    <t>MUS</t>
  </si>
  <si>
    <t>DOA</t>
  </si>
  <si>
    <t>RUH</t>
  </si>
  <si>
    <t>ADE</t>
  </si>
  <si>
    <t>NZS</t>
  </si>
  <si>
    <t>ZBD</t>
  </si>
  <si>
    <t>SML</t>
  </si>
  <si>
    <t>BLN</t>
  </si>
  <si>
    <t>BLS</t>
  </si>
  <si>
    <t>ICS_Austria</t>
  </si>
  <si>
    <t>ATI</t>
  </si>
  <si>
    <t>MTA Germany</t>
  </si>
  <si>
    <t>MTA</t>
  </si>
  <si>
    <t>Older Than 3 Months</t>
  </si>
  <si>
    <t>Parts-Quotes</t>
  </si>
  <si>
    <t>Dec 2026</t>
  </si>
  <si>
    <t>SOE</t>
  </si>
  <si>
    <t>RUS</t>
  </si>
  <si>
    <t>ICS</t>
  </si>
  <si>
    <t>LYO</t>
  </si>
  <si>
    <t>MAR</t>
  </si>
  <si>
    <t>NAN</t>
  </si>
  <si>
    <t>PAR</t>
  </si>
  <si>
    <t>PRT</t>
  </si>
  <si>
    <t>Jan 2027</t>
  </si>
  <si>
    <t>Jun 2025</t>
  </si>
  <si>
    <t>Jul 2025</t>
  </si>
  <si>
    <t>BSK</t>
  </si>
  <si>
    <t>Feb 2027</t>
  </si>
  <si>
    <t>Belgium</t>
  </si>
  <si>
    <t>BEL</t>
  </si>
  <si>
    <t>Luxembourg</t>
  </si>
  <si>
    <t>LUX</t>
  </si>
  <si>
    <t>Mar 2027</t>
  </si>
  <si>
    <t>% follow up</t>
  </si>
  <si>
    <t>DRD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</si>
</sst>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35" x14ac:knownFonts="1">
    <font>
      <sz val="10"/>
      <name val="Arial"/>
    </font>
    <font>
      <sz val="10"/>
      <name val="Arial"/>
      <family val="2"/>
    </font>
    <font>
      <sz val="8"/>
      <name val="Arial"/>
      <family val="2"/>
    </font>
    <font>
      <b/>
      <sz val="8"/>
      <name val="Arial"/>
      <family val="2"/>
    </font>
    <font>
      <sz val="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i/>
      <sz val="8"/>
      <color theme="1" tint="0.249977111117893"/>
      <name val="Arial"/>
      <family val="2"/>
    </font>
    <font>
      <i/>
      <sz val="8"/>
      <color theme="0" tint="-0.499984740745262"/>
      <name val="Arial"/>
      <family val="2"/>
    </font>
    <font>
      <i/>
      <sz val="8"/>
      <color theme="5" tint="-0.499984740745262"/>
      <name val="Arial"/>
      <family val="2"/>
    </font>
    <font>
      <b/>
      <sz val="18"/>
      <color theme="1"/>
      <name val="Arial"/>
      <family val="2"/>
    </font>
    <font>
      <sz val="8"/>
      <color theme="4" tint="-0.249977111117893"/>
      <name val="Arial"/>
      <family val="2"/>
    </font>
    <font>
      <sz val="10"/>
      <color theme="1"/>
      <name val="Arial"/>
      <family val="2"/>
    </font>
    <font>
      <sz val="8"/>
      <color theme="1"/>
      <name val="Arial"/>
      <family val="2"/>
    </font>
    <font>
      <u/>
      <sz val="10"/>
      <name val="Arial"/>
      <family val="2"/>
    </font>
    <font>
      <sz val="6"/>
      <color rgb="FF000000"/>
      <name val="Arial"/>
      <family val="2"/>
    </font>
    <font>
      <sz val="10"/>
      <name val="Arial"/>
      <family val="2"/>
    </font>
    <font>
      <sz val="11"/>
      <name val="Calibri"/>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FFFF"/>
        <bgColor rgb="FFFFFFFF"/>
      </patternFill>
    </fill>
    <fill>
      <patternFill patternType="solid">
        <fgColor rgb="FFFFFF00"/>
        <bgColor indexed="64"/>
      </patternFill>
    </fill>
    <fill>
      <patternFill patternType="solid">
        <fgColor theme="5" tint="0.39997558519241921"/>
        <bgColor indexed="64"/>
      </patternFill>
    </fill>
  </fills>
  <borders count="4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19" fillId="23" borderId="7" applyNumberFormat="0" applyFont="0" applyAlignment="0" applyProtection="0"/>
    <xf numFmtId="0" fontId="20" fillId="20" borderId="8" applyNumberFormat="0" applyAlignment="0" applyProtection="0"/>
    <xf numFmtId="9" fontId="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1" fillId="0" borderId="0"/>
    <xf numFmtId="0" fontId="33" fillId="0" borderId="0"/>
    <xf numFmtId="9" fontId="1" fillId="0" borderId="0" applyFont="0" applyFill="0" applyBorder="0" applyAlignment="0" applyProtection="0"/>
  </cellStyleXfs>
  <cellXfs count="232">
    <xf numFmtId="0" fontId="0" fillId="0" borderId="0" xfId="0"/>
    <xf numFmtId="0" fontId="2" fillId="24" borderId="10" xfId="0" applyFont="1" applyFill="1" applyBorder="1" applyAlignment="1">
      <alignment horizontal="center"/>
    </xf>
    <xf numFmtId="0" fontId="2" fillId="24" borderId="11" xfId="0" applyFont="1" applyFill="1" applyBorder="1" applyAlignment="1">
      <alignment horizontal="right"/>
    </xf>
    <xf numFmtId="0" fontId="2" fillId="24" borderId="11" xfId="0" applyFont="1" applyFill="1" applyBorder="1" applyAlignment="1">
      <alignment horizontal="center"/>
    </xf>
    <xf numFmtId="0" fontId="2" fillId="24" borderId="12" xfId="0" applyFont="1" applyFill="1" applyBorder="1" applyAlignment="1">
      <alignment horizontal="center"/>
    </xf>
    <xf numFmtId="0" fontId="2" fillId="24" borderId="13" xfId="0" applyFont="1" applyFill="1" applyBorder="1" applyAlignment="1">
      <alignment horizontal="center"/>
    </xf>
    <xf numFmtId="0" fontId="2" fillId="24" borderId="0" xfId="0" applyFont="1" applyFill="1" applyAlignment="1">
      <alignment horizontal="center"/>
    </xf>
    <xf numFmtId="0" fontId="2" fillId="0" borderId="14" xfId="0" applyFont="1" applyBorder="1" applyAlignment="1">
      <alignment horizontal="center"/>
    </xf>
    <xf numFmtId="0" fontId="2" fillId="0" borderId="10" xfId="0" applyFont="1" applyBorder="1" applyAlignment="1">
      <alignment horizontal="right"/>
    </xf>
    <xf numFmtId="0" fontId="2" fillId="0" borderId="10" xfId="0" applyFont="1" applyBorder="1" applyAlignment="1">
      <alignment horizontal="center"/>
    </xf>
    <xf numFmtId="0" fontId="2" fillId="0" borderId="15" xfId="0" applyFont="1" applyBorder="1" applyAlignment="1">
      <alignment horizontal="center"/>
    </xf>
    <xf numFmtId="0" fontId="2" fillId="25" borderId="16" xfId="0" applyFont="1" applyFill="1" applyBorder="1" applyAlignment="1">
      <alignment horizontal="center"/>
    </xf>
    <xf numFmtId="0" fontId="2" fillId="25" borderId="17" xfId="0" applyFont="1" applyFill="1" applyBorder="1" applyAlignment="1">
      <alignment horizontal="center"/>
    </xf>
    <xf numFmtId="0" fontId="2" fillId="0" borderId="17" xfId="0" applyFont="1" applyBorder="1" applyAlignment="1">
      <alignment horizontal="center"/>
    </xf>
    <xf numFmtId="0" fontId="2" fillId="0" borderId="0" xfId="0" applyFont="1" applyAlignment="1">
      <alignment horizontal="center"/>
    </xf>
    <xf numFmtId="0" fontId="2" fillId="0" borderId="14" xfId="0" applyFont="1" applyBorder="1" applyAlignment="1">
      <alignment horizontal="right"/>
    </xf>
    <xf numFmtId="0" fontId="2" fillId="25" borderId="18" xfId="0" applyFont="1" applyFill="1" applyBorder="1" applyAlignment="1">
      <alignment horizontal="center"/>
    </xf>
    <xf numFmtId="0" fontId="2" fillId="25" borderId="19" xfId="0" applyFont="1" applyFill="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right"/>
    </xf>
    <xf numFmtId="0" fontId="2" fillId="0" borderId="20" xfId="0" applyFont="1" applyBorder="1" applyAlignment="1">
      <alignment horizontal="center"/>
    </xf>
    <xf numFmtId="0" fontId="2" fillId="0" borderId="21" xfId="0" applyFont="1" applyBorder="1" applyAlignment="1">
      <alignment horizontal="center"/>
    </xf>
    <xf numFmtId="0" fontId="2" fillId="25" borderId="22" xfId="0" applyFont="1" applyFill="1" applyBorder="1" applyAlignment="1">
      <alignment horizontal="center"/>
    </xf>
    <xf numFmtId="0" fontId="2" fillId="25" borderId="23" xfId="0" applyFont="1" applyFill="1" applyBorder="1" applyAlignment="1">
      <alignment horizontal="center"/>
    </xf>
    <xf numFmtId="0" fontId="2" fillId="0" borderId="23" xfId="0" applyFont="1" applyBorder="1" applyAlignment="1">
      <alignment horizontal="center"/>
    </xf>
    <xf numFmtId="0" fontId="2" fillId="25" borderId="11" xfId="0" applyFont="1" applyFill="1" applyBorder="1" applyAlignment="1">
      <alignment horizontal="right"/>
    </xf>
    <xf numFmtId="0" fontId="2" fillId="25" borderId="11" xfId="0" applyFont="1" applyFill="1" applyBorder="1" applyAlignment="1">
      <alignment horizontal="center"/>
    </xf>
    <xf numFmtId="0" fontId="2" fillId="25" borderId="12" xfId="0" applyFont="1" applyFill="1" applyBorder="1" applyAlignment="1">
      <alignment horizontal="center"/>
    </xf>
    <xf numFmtId="0" fontId="2" fillId="25" borderId="13" xfId="0" applyFont="1" applyFill="1" applyBorder="1" applyAlignment="1">
      <alignment horizontal="center"/>
    </xf>
    <xf numFmtId="0" fontId="2" fillId="25" borderId="24" xfId="0" applyFont="1" applyFill="1" applyBorder="1" applyAlignment="1">
      <alignment horizontal="center"/>
    </xf>
    <xf numFmtId="0" fontId="2" fillId="0" borderId="11" xfId="0" applyFont="1" applyBorder="1" applyAlignment="1">
      <alignment horizontal="right"/>
    </xf>
    <xf numFmtId="0" fontId="2" fillId="0" borderId="11" xfId="0" applyFont="1" applyBorder="1" applyAlignment="1">
      <alignment horizontal="center"/>
    </xf>
    <xf numFmtId="0" fontId="2" fillId="0" borderId="12" xfId="0" applyFont="1" applyBorder="1" applyAlignment="1">
      <alignment horizontal="center"/>
    </xf>
    <xf numFmtId="0" fontId="2" fillId="25" borderId="19" xfId="28" applyNumberFormat="1" applyFont="1" applyFill="1" applyBorder="1" applyAlignment="1">
      <alignment horizontal="center"/>
    </xf>
    <xf numFmtId="0" fontId="2" fillId="0" borderId="0" xfId="28" applyNumberFormat="1" applyFont="1" applyFill="1" applyBorder="1" applyAlignment="1">
      <alignment horizontal="center"/>
    </xf>
    <xf numFmtId="1" fontId="2" fillId="0" borderId="0" xfId="0" applyNumberFormat="1" applyFont="1" applyAlignment="1">
      <alignment horizontal="center"/>
    </xf>
    <xf numFmtId="0" fontId="2" fillId="0" borderId="0" xfId="0" applyFont="1"/>
    <xf numFmtId="0" fontId="2" fillId="0" borderId="0" xfId="0" applyFont="1" applyAlignment="1">
      <alignment horizontal="right"/>
    </xf>
    <xf numFmtId="1" fontId="2" fillId="26" borderId="0" xfId="0" applyNumberFormat="1" applyFont="1" applyFill="1" applyAlignment="1">
      <alignment horizontal="center"/>
    </xf>
    <xf numFmtId="1" fontId="2" fillId="27" borderId="0" xfId="0" applyNumberFormat="1" applyFont="1" applyFill="1" applyAlignment="1">
      <alignment horizontal="center"/>
    </xf>
    <xf numFmtId="164" fontId="2" fillId="25" borderId="0" xfId="0" applyNumberFormat="1" applyFont="1" applyFill="1" applyAlignment="1">
      <alignment horizontal="center"/>
    </xf>
    <xf numFmtId="9" fontId="2" fillId="0" borderId="0" xfId="40" applyFont="1" applyAlignment="1">
      <alignment horizontal="center"/>
    </xf>
    <xf numFmtId="9" fontId="2" fillId="28" borderId="0" xfId="40" applyFont="1" applyFill="1" applyAlignment="1">
      <alignment horizontal="center"/>
    </xf>
    <xf numFmtId="9" fontId="2" fillId="29" borderId="0" xfId="40" applyFont="1" applyFill="1" applyAlignment="1">
      <alignment horizontal="center"/>
    </xf>
    <xf numFmtId="1" fontId="2" fillId="0" borderId="0" xfId="40" applyNumberFormat="1" applyFont="1" applyAlignment="1">
      <alignment horizontal="center"/>
    </xf>
    <xf numFmtId="0" fontId="0" fillId="0" borderId="0" xfId="0" applyAlignment="1">
      <alignment horizontal="right"/>
    </xf>
    <xf numFmtId="0" fontId="3" fillId="0" borderId="0" xfId="0" applyFont="1"/>
    <xf numFmtId="9" fontId="2" fillId="0" borderId="0" xfId="40" applyFont="1" applyBorder="1" applyAlignment="1">
      <alignment horizontal="right"/>
    </xf>
    <xf numFmtId="0" fontId="2" fillId="24" borderId="0" xfId="0" applyFont="1" applyFill="1"/>
    <xf numFmtId="0" fontId="3" fillId="30" borderId="0" xfId="0" applyFont="1" applyFill="1"/>
    <xf numFmtId="0" fontId="4" fillId="0" borderId="0" xfId="0" applyFont="1"/>
    <xf numFmtId="17" fontId="2" fillId="24" borderId="12" xfId="0" applyNumberFormat="1" applyFont="1" applyFill="1" applyBorder="1" applyAlignment="1">
      <alignment horizontal="center"/>
    </xf>
    <xf numFmtId="17" fontId="2" fillId="24" borderId="24" xfId="0" applyNumberFormat="1" applyFont="1" applyFill="1" applyBorder="1" applyAlignment="1">
      <alignment horizontal="center"/>
    </xf>
    <xf numFmtId="17" fontId="2" fillId="0" borderId="12" xfId="0" applyNumberFormat="1" applyFont="1" applyBorder="1" applyAlignment="1">
      <alignment horizontal="center"/>
    </xf>
    <xf numFmtId="17" fontId="2" fillId="25" borderId="24" xfId="0" applyNumberFormat="1" applyFont="1" applyFill="1" applyBorder="1" applyAlignment="1">
      <alignment horizontal="center"/>
    </xf>
    <xf numFmtId="17" fontId="2" fillId="0" borderId="24" xfId="0" applyNumberFormat="1" applyFont="1" applyBorder="1" applyAlignment="1">
      <alignment horizontal="center"/>
    </xf>
    <xf numFmtId="1" fontId="2" fillId="30" borderId="0" xfId="0" applyNumberFormat="1" applyFont="1" applyFill="1" applyAlignment="1">
      <alignment horizontal="right"/>
    </xf>
    <xf numFmtId="9" fontId="2" fillId="0" borderId="26" xfId="40" applyFont="1" applyBorder="1" applyAlignment="1">
      <alignment horizontal="right"/>
    </xf>
    <xf numFmtId="0" fontId="5" fillId="30" borderId="0" xfId="0" applyFont="1" applyFill="1" applyAlignment="1">
      <alignment horizontal="right"/>
    </xf>
    <xf numFmtId="9" fontId="2" fillId="0" borderId="28" xfId="40" applyFont="1" applyBorder="1" applyAlignment="1">
      <alignment horizontal="right"/>
    </xf>
    <xf numFmtId="1" fontId="2" fillId="30" borderId="31" xfId="0" applyNumberFormat="1" applyFont="1" applyFill="1" applyBorder="1" applyAlignment="1">
      <alignment horizontal="right"/>
    </xf>
    <xf numFmtId="9" fontId="2" fillId="0" borderId="32" xfId="40" applyFont="1" applyBorder="1" applyAlignment="1">
      <alignment horizontal="right"/>
    </xf>
    <xf numFmtId="9" fontId="2" fillId="0" borderId="31" xfId="40" applyFont="1" applyBorder="1" applyAlignment="1">
      <alignment horizontal="right"/>
    </xf>
    <xf numFmtId="0" fontId="1" fillId="0" borderId="0" xfId="0" applyFont="1"/>
    <xf numFmtId="9" fontId="24" fillId="0" borderId="26" xfId="40" applyFont="1" applyBorder="1" applyAlignment="1">
      <alignment horizontal="right"/>
    </xf>
    <xf numFmtId="0" fontId="24" fillId="32" borderId="0" xfId="0" applyFont="1" applyFill="1" applyAlignment="1">
      <alignment horizontal="center"/>
    </xf>
    <xf numFmtId="0" fontId="24" fillId="30" borderId="0" xfId="0" applyFont="1" applyFill="1" applyAlignment="1">
      <alignment horizontal="center"/>
    </xf>
    <xf numFmtId="9" fontId="25" fillId="30" borderId="29" xfId="40" applyFont="1" applyFill="1" applyBorder="1"/>
    <xf numFmtId="9" fontId="25" fillId="30" borderId="0" xfId="40" applyFont="1" applyFill="1" applyBorder="1"/>
    <xf numFmtId="1" fontId="25" fillId="30" borderId="0" xfId="40" applyNumberFormat="1" applyFont="1" applyFill="1" applyBorder="1"/>
    <xf numFmtId="9" fontId="2" fillId="0" borderId="30" xfId="40" applyFont="1" applyBorder="1" applyAlignment="1">
      <alignment horizontal="right"/>
    </xf>
    <xf numFmtId="0" fontId="2" fillId="31" borderId="0" xfId="0" applyFont="1" applyFill="1" applyAlignment="1">
      <alignment horizontal="right"/>
    </xf>
    <xf numFmtId="0" fontId="2" fillId="31" borderId="0" xfId="0" applyFont="1" applyFill="1"/>
    <xf numFmtId="1" fontId="2" fillId="30" borderId="25" xfId="40" applyNumberFormat="1" applyFont="1" applyFill="1" applyBorder="1"/>
    <xf numFmtId="9" fontId="2" fillId="30" borderId="38" xfId="40" applyFont="1" applyFill="1" applyBorder="1"/>
    <xf numFmtId="9" fontId="2" fillId="30" borderId="0" xfId="40" applyFont="1" applyFill="1" applyBorder="1"/>
    <xf numFmtId="9" fontId="2" fillId="0" borderId="29" xfId="40" applyFont="1" applyBorder="1" applyAlignment="1">
      <alignment horizontal="right"/>
    </xf>
    <xf numFmtId="1" fontId="2" fillId="30" borderId="0" xfId="40" applyNumberFormat="1" applyFont="1" applyFill="1" applyBorder="1"/>
    <xf numFmtId="9" fontId="2" fillId="30" borderId="29" xfId="40" applyFont="1" applyFill="1" applyBorder="1"/>
    <xf numFmtId="1" fontId="2" fillId="31" borderId="0" xfId="40" applyNumberFormat="1" applyFont="1" applyFill="1" applyBorder="1"/>
    <xf numFmtId="1" fontId="2" fillId="30" borderId="31" xfId="40" applyNumberFormat="1" applyFont="1" applyFill="1" applyBorder="1"/>
    <xf numFmtId="9" fontId="2" fillId="30" borderId="33" xfId="40" applyFont="1" applyFill="1" applyBorder="1"/>
    <xf numFmtId="9" fontId="2" fillId="30" borderId="31" xfId="40" applyFont="1" applyFill="1" applyBorder="1"/>
    <xf numFmtId="9" fontId="2" fillId="0" borderId="33" xfId="40" applyFont="1" applyBorder="1" applyAlignment="1">
      <alignment horizontal="right"/>
    </xf>
    <xf numFmtId="0" fontId="1" fillId="31" borderId="0" xfId="0" applyFont="1" applyFill="1"/>
    <xf numFmtId="164" fontId="2" fillId="31" borderId="0" xfId="0" applyNumberFormat="1" applyFont="1" applyFill="1"/>
    <xf numFmtId="9" fontId="2" fillId="31" borderId="0" xfId="40" applyFont="1" applyFill="1" applyBorder="1" applyAlignment="1">
      <alignment horizontal="right"/>
    </xf>
    <xf numFmtId="0" fontId="3" fillId="31" borderId="0" xfId="0" applyFont="1" applyFill="1" applyAlignment="1">
      <alignment horizontal="center"/>
    </xf>
    <xf numFmtId="0" fontId="2" fillId="31" borderId="0" xfId="0" applyFont="1" applyFill="1" applyAlignment="1">
      <alignment horizontal="center"/>
    </xf>
    <xf numFmtId="0" fontId="2" fillId="31" borderId="0" xfId="0" applyFont="1" applyFill="1" applyAlignment="1">
      <alignment horizontal="right" wrapText="1"/>
    </xf>
    <xf numFmtId="0" fontId="0" fillId="31" borderId="0" xfId="0" applyFill="1"/>
    <xf numFmtId="1" fontId="2" fillId="30" borderId="0" xfId="0" applyNumberFormat="1" applyFont="1" applyFill="1"/>
    <xf numFmtId="0" fontId="3" fillId="31" borderId="0" xfId="0" applyFont="1" applyFill="1"/>
    <xf numFmtId="1" fontId="2" fillId="31" borderId="0" xfId="0" applyNumberFormat="1" applyFont="1" applyFill="1" applyAlignment="1">
      <alignment horizontal="right"/>
    </xf>
    <xf numFmtId="1" fontId="26" fillId="31" borderId="0" xfId="0" applyNumberFormat="1" applyFont="1" applyFill="1" applyAlignment="1">
      <alignment horizontal="left"/>
    </xf>
    <xf numFmtId="0" fontId="27" fillId="31" borderId="0" xfId="0" applyFont="1" applyFill="1" applyAlignment="1">
      <alignment horizontal="center" vertical="center"/>
    </xf>
    <xf numFmtId="0" fontId="28" fillId="0" borderId="0" xfId="0" applyFont="1" applyAlignment="1">
      <alignment horizontal="right"/>
    </xf>
    <xf numFmtId="1" fontId="2" fillId="31" borderId="31" xfId="0" applyNumberFormat="1" applyFont="1" applyFill="1" applyBorder="1" applyAlignment="1">
      <alignment horizontal="right"/>
    </xf>
    <xf numFmtId="1" fontId="24" fillId="31" borderId="0" xfId="0" applyNumberFormat="1" applyFont="1" applyFill="1" applyAlignment="1">
      <alignment horizontal="right"/>
    </xf>
    <xf numFmtId="1" fontId="2" fillId="31" borderId="29" xfId="0" applyNumberFormat="1" applyFont="1" applyFill="1" applyBorder="1" applyAlignment="1">
      <alignment horizontal="right"/>
    </xf>
    <xf numFmtId="1" fontId="2" fillId="31" borderId="33" xfId="0" applyNumberFormat="1" applyFont="1" applyFill="1" applyBorder="1" applyAlignment="1">
      <alignment horizontal="right"/>
    </xf>
    <xf numFmtId="0" fontId="0" fillId="31" borderId="0" xfId="0" applyFill="1" applyAlignment="1">
      <alignment horizontal="right"/>
    </xf>
    <xf numFmtId="0" fontId="5" fillId="31" borderId="0" xfId="0" applyFont="1" applyFill="1" applyAlignment="1">
      <alignment horizontal="right"/>
    </xf>
    <xf numFmtId="0" fontId="4" fillId="31" borderId="0" xfId="0" applyFont="1" applyFill="1"/>
    <xf numFmtId="1" fontId="2" fillId="31" borderId="36" xfId="0" applyNumberFormat="1" applyFont="1" applyFill="1" applyBorder="1" applyAlignment="1">
      <alignment horizontal="right"/>
    </xf>
    <xf numFmtId="165" fontId="2" fillId="0" borderId="0" xfId="0" applyNumberFormat="1" applyFont="1" applyAlignment="1">
      <alignment horizontal="center"/>
    </xf>
    <xf numFmtId="9" fontId="2" fillId="32" borderId="0" xfId="40" applyFont="1" applyFill="1" applyBorder="1" applyAlignment="1">
      <alignment horizontal="right"/>
    </xf>
    <xf numFmtId="9" fontId="2" fillId="31" borderId="36" xfId="40" applyFont="1" applyFill="1" applyBorder="1" applyAlignment="1">
      <alignment horizontal="right"/>
    </xf>
    <xf numFmtId="0" fontId="1" fillId="0" borderId="36" xfId="0" applyFont="1" applyBorder="1"/>
    <xf numFmtId="0" fontId="2" fillId="31" borderId="38" xfId="0" applyFont="1" applyFill="1" applyBorder="1" applyAlignment="1">
      <alignment horizontal="right"/>
    </xf>
    <xf numFmtId="0" fontId="2" fillId="31" borderId="29" xfId="0" applyFont="1" applyFill="1" applyBorder="1" applyAlignment="1">
      <alignment horizontal="right"/>
    </xf>
    <xf numFmtId="0" fontId="2" fillId="31" borderId="33" xfId="0" applyFont="1" applyFill="1" applyBorder="1" applyAlignment="1">
      <alignment horizontal="right"/>
    </xf>
    <xf numFmtId="0" fontId="24" fillId="31" borderId="29" xfId="0" applyFont="1" applyFill="1" applyBorder="1" applyAlignment="1">
      <alignment horizontal="right"/>
    </xf>
    <xf numFmtId="0" fontId="2" fillId="31" borderId="35" xfId="0" applyFont="1" applyFill="1" applyBorder="1" applyAlignment="1">
      <alignment horizontal="right"/>
    </xf>
    <xf numFmtId="1" fontId="24" fillId="31" borderId="29" xfId="0" applyNumberFormat="1" applyFont="1" applyFill="1" applyBorder="1" applyAlignment="1">
      <alignment horizontal="right"/>
    </xf>
    <xf numFmtId="1" fontId="2" fillId="31" borderId="35" xfId="0" applyNumberFormat="1" applyFont="1" applyFill="1" applyBorder="1" applyAlignment="1">
      <alignment horizontal="right"/>
    </xf>
    <xf numFmtId="1" fontId="2" fillId="30" borderId="29" xfId="0" applyNumberFormat="1" applyFont="1" applyFill="1" applyBorder="1" applyAlignment="1">
      <alignment horizontal="right"/>
    </xf>
    <xf numFmtId="1" fontId="2" fillId="30" borderId="33" xfId="0" applyNumberFormat="1" applyFont="1" applyFill="1" applyBorder="1" applyAlignment="1">
      <alignment horizontal="right"/>
    </xf>
    <xf numFmtId="1" fontId="2" fillId="30" borderId="29" xfId="40" applyNumberFormat="1" applyFont="1" applyFill="1" applyBorder="1"/>
    <xf numFmtId="164" fontId="2" fillId="30" borderId="26" xfId="0" applyNumberFormat="1" applyFont="1" applyFill="1" applyBorder="1"/>
    <xf numFmtId="1" fontId="2" fillId="30" borderId="33" xfId="40" applyNumberFormat="1" applyFont="1" applyFill="1" applyBorder="1"/>
    <xf numFmtId="164" fontId="2" fillId="30" borderId="32" xfId="0" applyNumberFormat="1" applyFont="1" applyFill="1" applyBorder="1"/>
    <xf numFmtId="1" fontId="25" fillId="30" borderId="29" xfId="40" applyNumberFormat="1" applyFont="1" applyFill="1" applyBorder="1"/>
    <xf numFmtId="0" fontId="2" fillId="31" borderId="37" xfId="0" applyFont="1" applyFill="1" applyBorder="1" applyAlignment="1">
      <alignment horizontal="right"/>
    </xf>
    <xf numFmtId="0" fontId="2" fillId="31" borderId="39" xfId="0" applyFont="1" applyFill="1" applyBorder="1" applyAlignment="1">
      <alignment horizontal="right"/>
    </xf>
    <xf numFmtId="0" fontId="24" fillId="31" borderId="39" xfId="0" applyFont="1" applyFill="1" applyBorder="1" applyAlignment="1">
      <alignment horizontal="right"/>
    </xf>
    <xf numFmtId="9" fontId="2" fillId="0" borderId="38" xfId="40" applyFont="1" applyBorder="1" applyAlignment="1">
      <alignment horizontal="right"/>
    </xf>
    <xf numFmtId="0" fontId="2" fillId="31" borderId="27" xfId="0" applyFont="1" applyFill="1" applyBorder="1" applyAlignment="1">
      <alignment horizontal="right"/>
    </xf>
    <xf numFmtId="0" fontId="1" fillId="31" borderId="29" xfId="0" applyFont="1" applyFill="1" applyBorder="1"/>
    <xf numFmtId="0" fontId="3" fillId="31" borderId="31" xfId="0" applyFont="1" applyFill="1" applyBorder="1" applyAlignment="1">
      <alignment horizontal="center"/>
    </xf>
    <xf numFmtId="164" fontId="2" fillId="0" borderId="30" xfId="40" applyNumberFormat="1" applyFont="1" applyBorder="1" applyAlignment="1">
      <alignment horizontal="right"/>
    </xf>
    <xf numFmtId="1" fontId="2" fillId="31" borderId="0" xfId="0" applyNumberFormat="1" applyFont="1" applyFill="1"/>
    <xf numFmtId="1" fontId="2" fillId="30" borderId="38" xfId="40" applyNumberFormat="1" applyFont="1" applyFill="1" applyBorder="1"/>
    <xf numFmtId="9" fontId="2" fillId="0" borderId="25" xfId="40" applyFont="1" applyBorder="1" applyAlignment="1">
      <alignment horizontal="right"/>
    </xf>
    <xf numFmtId="0" fontId="2" fillId="34" borderId="27" xfId="0" applyFont="1" applyFill="1" applyBorder="1" applyAlignment="1">
      <alignment wrapText="1"/>
    </xf>
    <xf numFmtId="0" fontId="2" fillId="34" borderId="27" xfId="0" applyFont="1" applyFill="1" applyBorder="1" applyAlignment="1">
      <alignment horizontal="right" wrapText="1"/>
    </xf>
    <xf numFmtId="0" fontId="2" fillId="25" borderId="10" xfId="0" applyFont="1" applyFill="1" applyBorder="1" applyAlignment="1">
      <alignment horizontal="right"/>
    </xf>
    <xf numFmtId="0" fontId="2" fillId="25" borderId="10" xfId="0" applyFont="1" applyFill="1" applyBorder="1" applyAlignment="1">
      <alignment horizontal="center"/>
    </xf>
    <xf numFmtId="0" fontId="2" fillId="25" borderId="15" xfId="0" applyFont="1" applyFill="1" applyBorder="1" applyAlignment="1">
      <alignment horizontal="center"/>
    </xf>
    <xf numFmtId="17" fontId="2" fillId="25" borderId="12" xfId="0" applyNumberFormat="1" applyFont="1" applyFill="1" applyBorder="1" applyAlignment="1">
      <alignment horizontal="center"/>
    </xf>
    <xf numFmtId="0" fontId="30" fillId="31" borderId="29" xfId="0" applyFont="1" applyFill="1" applyBorder="1" applyAlignment="1">
      <alignment horizontal="right"/>
    </xf>
    <xf numFmtId="1" fontId="30" fillId="31" borderId="29" xfId="0" applyNumberFormat="1" applyFont="1" applyFill="1" applyBorder="1" applyAlignment="1">
      <alignment horizontal="right"/>
    </xf>
    <xf numFmtId="1" fontId="30" fillId="31" borderId="0" xfId="0" applyNumberFormat="1" applyFont="1" applyFill="1" applyAlignment="1">
      <alignment horizontal="right"/>
    </xf>
    <xf numFmtId="9" fontId="30" fillId="0" borderId="26" xfId="40" applyFont="1" applyBorder="1" applyAlignment="1">
      <alignment horizontal="right"/>
    </xf>
    <xf numFmtId="1" fontId="30" fillId="30" borderId="29" xfId="0" applyNumberFormat="1" applyFont="1" applyFill="1" applyBorder="1" applyAlignment="1">
      <alignment horizontal="right"/>
    </xf>
    <xf numFmtId="1" fontId="30" fillId="30" borderId="0" xfId="0" applyNumberFormat="1" applyFont="1" applyFill="1" applyAlignment="1">
      <alignment horizontal="right"/>
    </xf>
    <xf numFmtId="0" fontId="30" fillId="31" borderId="0" xfId="0" applyFont="1" applyFill="1"/>
    <xf numFmtId="1" fontId="30" fillId="30" borderId="29" xfId="40" applyNumberFormat="1" applyFont="1" applyFill="1" applyBorder="1"/>
    <xf numFmtId="1" fontId="30" fillId="30" borderId="0" xfId="40" applyNumberFormat="1" applyFont="1" applyFill="1" applyBorder="1"/>
    <xf numFmtId="9" fontId="30" fillId="30" borderId="29" xfId="40" applyFont="1" applyFill="1" applyBorder="1"/>
    <xf numFmtId="9" fontId="30" fillId="30" borderId="0" xfId="40" applyFont="1" applyFill="1" applyBorder="1"/>
    <xf numFmtId="164" fontId="30" fillId="30" borderId="26" xfId="0" applyNumberFormat="1" applyFont="1" applyFill="1" applyBorder="1"/>
    <xf numFmtId="164" fontId="30" fillId="31" borderId="0" xfId="0" applyNumberFormat="1" applyFont="1" applyFill="1"/>
    <xf numFmtId="1" fontId="30" fillId="31" borderId="0" xfId="40" applyNumberFormat="1" applyFont="1" applyFill="1" applyBorder="1" applyAlignment="1">
      <alignment horizontal="right"/>
    </xf>
    <xf numFmtId="1" fontId="30" fillId="31" borderId="0" xfId="0" applyNumberFormat="1" applyFont="1" applyFill="1" applyAlignment="1">
      <alignment horizontal="left"/>
    </xf>
    <xf numFmtId="0" fontId="30" fillId="31" borderId="39" xfId="0" applyFont="1" applyFill="1" applyBorder="1" applyAlignment="1">
      <alignment horizontal="right"/>
    </xf>
    <xf numFmtId="9" fontId="30" fillId="0" borderId="29" xfId="40" applyFont="1" applyBorder="1" applyAlignment="1">
      <alignment horizontal="right"/>
    </xf>
    <xf numFmtId="0" fontId="29" fillId="31" borderId="0" xfId="0" applyFont="1" applyFill="1"/>
    <xf numFmtId="0" fontId="29" fillId="0" borderId="0" xfId="0" applyFont="1"/>
    <xf numFmtId="0" fontId="0" fillId="31" borderId="36" xfId="0" applyFill="1" applyBorder="1"/>
    <xf numFmtId="0" fontId="31" fillId="31" borderId="36" xfId="0" applyFont="1" applyFill="1" applyBorder="1"/>
    <xf numFmtId="0" fontId="0" fillId="31" borderId="36" xfId="0" applyFill="1" applyBorder="1" applyAlignment="1">
      <alignment horizontal="right"/>
    </xf>
    <xf numFmtId="17" fontId="2" fillId="25" borderId="17" xfId="0" applyNumberFormat="1" applyFont="1" applyFill="1" applyBorder="1" applyAlignment="1">
      <alignment horizontal="center"/>
    </xf>
    <xf numFmtId="16" fontId="2" fillId="0" borderId="15" xfId="0" applyNumberFormat="1" applyFont="1" applyBorder="1" applyAlignment="1">
      <alignment horizontal="center"/>
    </xf>
    <xf numFmtId="16" fontId="2" fillId="25" borderId="17" xfId="0" applyNumberFormat="1" applyFont="1" applyFill="1" applyBorder="1" applyAlignment="1">
      <alignment horizontal="center"/>
    </xf>
    <xf numFmtId="17" fontId="2" fillId="0" borderId="15" xfId="0" applyNumberFormat="1" applyFont="1" applyBorder="1" applyAlignment="1">
      <alignment horizontal="center"/>
    </xf>
    <xf numFmtId="0" fontId="2" fillId="31" borderId="36" xfId="0" applyFont="1" applyFill="1" applyBorder="1" applyAlignment="1">
      <alignment horizontal="right"/>
    </xf>
    <xf numFmtId="0" fontId="2" fillId="31" borderId="36" xfId="0" applyFont="1" applyFill="1" applyBorder="1"/>
    <xf numFmtId="1" fontId="2" fillId="31" borderId="38" xfId="0" applyNumberFormat="1" applyFont="1" applyFill="1" applyBorder="1" applyAlignment="1">
      <alignment horizontal="right"/>
    </xf>
    <xf numFmtId="1" fontId="2" fillId="31" borderId="25" xfId="0" applyNumberFormat="1" applyFont="1" applyFill="1" applyBorder="1" applyAlignment="1">
      <alignment horizontal="right"/>
    </xf>
    <xf numFmtId="1" fontId="24" fillId="30" borderId="29" xfId="0" applyNumberFormat="1" applyFont="1" applyFill="1" applyBorder="1" applyAlignment="1">
      <alignment horizontal="center"/>
    </xf>
    <xf numFmtId="1" fontId="2" fillId="30" borderId="38" xfId="0" applyNumberFormat="1" applyFont="1" applyFill="1" applyBorder="1" applyAlignment="1">
      <alignment horizontal="right"/>
    </xf>
    <xf numFmtId="9" fontId="2" fillId="30" borderId="25" xfId="40" applyFont="1" applyFill="1" applyBorder="1"/>
    <xf numFmtId="164" fontId="2" fillId="30" borderId="28" xfId="0" applyNumberFormat="1" applyFont="1" applyFill="1" applyBorder="1"/>
    <xf numFmtId="0" fontId="0" fillId="31" borderId="25" xfId="0" applyFill="1" applyBorder="1"/>
    <xf numFmtId="1" fontId="2" fillId="30" borderId="35" xfId="40" applyNumberFormat="1" applyFont="1" applyFill="1" applyBorder="1"/>
    <xf numFmtId="1" fontId="2" fillId="30" borderId="36" xfId="40" applyNumberFormat="1" applyFont="1" applyFill="1" applyBorder="1"/>
    <xf numFmtId="0" fontId="2" fillId="31" borderId="30" xfId="0" applyFont="1" applyFill="1" applyBorder="1" applyAlignment="1">
      <alignment horizontal="right"/>
    </xf>
    <xf numFmtId="0" fontId="32" fillId="35" borderId="0" xfId="0" applyFont="1" applyFill="1" applyAlignment="1">
      <alignment horizontal="left"/>
    </xf>
    <xf numFmtId="0" fontId="31" fillId="31" borderId="25" xfId="0" applyFont="1" applyFill="1" applyBorder="1"/>
    <xf numFmtId="0" fontId="31" fillId="31" borderId="0" xfId="0" applyFont="1" applyFill="1"/>
    <xf numFmtId="0" fontId="1" fillId="31" borderId="39" xfId="0" applyFont="1" applyFill="1" applyBorder="1"/>
    <xf numFmtId="9" fontId="30" fillId="31" borderId="29" xfId="0" applyNumberFormat="1" applyFont="1" applyFill="1" applyBorder="1" applyAlignment="1">
      <alignment horizontal="right"/>
    </xf>
    <xf numFmtId="1" fontId="2" fillId="0" borderId="0" xfId="0" applyNumberFormat="1" applyFont="1" applyAlignment="1">
      <alignment horizontal="right"/>
    </xf>
    <xf numFmtId="0" fontId="24" fillId="32" borderId="29" xfId="0" applyFont="1" applyFill="1" applyBorder="1" applyAlignment="1">
      <alignment horizontal="center"/>
    </xf>
    <xf numFmtId="9" fontId="2" fillId="36" borderId="26" xfId="40" applyFont="1" applyFill="1" applyBorder="1" applyAlignment="1">
      <alignment horizontal="right"/>
    </xf>
    <xf numFmtId="9" fontId="2" fillId="36" borderId="29" xfId="40" applyFont="1" applyFill="1" applyBorder="1" applyAlignment="1">
      <alignment horizontal="right"/>
    </xf>
    <xf numFmtId="1" fontId="2" fillId="31" borderId="29" xfId="40" applyNumberFormat="1" applyFont="1" applyFill="1" applyBorder="1"/>
    <xf numFmtId="1" fontId="2" fillId="0" borderId="15" xfId="0" applyNumberFormat="1" applyFont="1" applyBorder="1" applyAlignment="1">
      <alignment horizontal="center"/>
    </xf>
    <xf numFmtId="1" fontId="2" fillId="25" borderId="16" xfId="0" applyNumberFormat="1" applyFont="1" applyFill="1" applyBorder="1" applyAlignment="1">
      <alignment horizontal="center"/>
    </xf>
    <xf numFmtId="1" fontId="2" fillId="25" borderId="17" xfId="0" applyNumberFormat="1" applyFont="1" applyFill="1" applyBorder="1" applyAlignment="1">
      <alignment horizontal="center"/>
    </xf>
    <xf numFmtId="1" fontId="2" fillId="0" borderId="17" xfId="0" applyNumberFormat="1" applyFont="1" applyBorder="1" applyAlignment="1">
      <alignment horizontal="center"/>
    </xf>
    <xf numFmtId="1" fontId="2" fillId="25" borderId="18" xfId="0" applyNumberFormat="1" applyFont="1" applyFill="1" applyBorder="1" applyAlignment="1">
      <alignment horizontal="center"/>
    </xf>
    <xf numFmtId="1" fontId="2" fillId="25" borderId="19" xfId="0" applyNumberFormat="1" applyFont="1" applyFill="1" applyBorder="1" applyAlignment="1">
      <alignment horizontal="center"/>
    </xf>
    <xf numFmtId="1" fontId="2" fillId="0" borderId="19" xfId="0" applyNumberFormat="1" applyFont="1" applyBorder="1" applyAlignment="1">
      <alignment horizontal="center"/>
    </xf>
    <xf numFmtId="1" fontId="2" fillId="0" borderId="21" xfId="0" applyNumberFormat="1" applyFont="1" applyBorder="1" applyAlignment="1">
      <alignment horizontal="center"/>
    </xf>
    <xf numFmtId="1" fontId="2" fillId="25" borderId="22" xfId="0" applyNumberFormat="1" applyFont="1" applyFill="1" applyBorder="1" applyAlignment="1">
      <alignment horizontal="center"/>
    </xf>
    <xf numFmtId="1" fontId="2" fillId="25" borderId="23" xfId="0" applyNumberFormat="1" applyFont="1" applyFill="1" applyBorder="1" applyAlignment="1">
      <alignment horizontal="center"/>
    </xf>
    <xf numFmtId="1" fontId="2" fillId="0" borderId="23" xfId="0" applyNumberFormat="1" applyFont="1" applyBorder="1" applyAlignment="1">
      <alignment horizontal="center"/>
    </xf>
    <xf numFmtId="1" fontId="2" fillId="25" borderId="12" xfId="0" applyNumberFormat="1" applyFont="1" applyFill="1" applyBorder="1" applyAlignment="1">
      <alignment horizontal="center"/>
    </xf>
    <xf numFmtId="1" fontId="2" fillId="25" borderId="13" xfId="0" applyNumberFormat="1" applyFont="1" applyFill="1" applyBorder="1" applyAlignment="1">
      <alignment horizontal="center"/>
    </xf>
    <xf numFmtId="1" fontId="2" fillId="25" borderId="24" xfId="0" applyNumberFormat="1" applyFont="1" applyFill="1" applyBorder="1" applyAlignment="1">
      <alignment horizontal="center"/>
    </xf>
    <xf numFmtId="1" fontId="2" fillId="31" borderId="0" xfId="40" applyNumberFormat="1" applyFont="1" applyFill="1"/>
    <xf numFmtId="0" fontId="2" fillId="37" borderId="11" xfId="0" applyFont="1" applyFill="1" applyBorder="1" applyAlignment="1">
      <alignment horizontal="center"/>
    </xf>
    <xf numFmtId="0" fontId="2" fillId="37" borderId="12" xfId="0" applyFont="1" applyFill="1" applyBorder="1" applyAlignment="1">
      <alignment horizontal="center"/>
    </xf>
    <xf numFmtId="17" fontId="2" fillId="37" borderId="12" xfId="0" applyNumberFormat="1" applyFont="1" applyFill="1" applyBorder="1" applyAlignment="1">
      <alignment horizontal="center"/>
    </xf>
    <xf numFmtId="0" fontId="2" fillId="37" borderId="13" xfId="0" applyFont="1" applyFill="1" applyBorder="1" applyAlignment="1">
      <alignment horizontal="center"/>
    </xf>
    <xf numFmtId="17" fontId="2" fillId="37" borderId="24" xfId="0" applyNumberFormat="1" applyFont="1" applyFill="1" applyBorder="1" applyAlignment="1">
      <alignment horizontal="center"/>
    </xf>
    <xf numFmtId="164" fontId="2" fillId="30" borderId="0" xfId="0" applyNumberFormat="1" applyFont="1" applyFill="1"/>
    <xf numFmtId="0" fontId="2" fillId="31" borderId="31" xfId="0" applyFont="1" applyFill="1" applyBorder="1" applyAlignment="1">
      <alignment horizontal="right"/>
    </xf>
    <xf numFmtId="164" fontId="2" fillId="30" borderId="31" xfId="0" applyNumberFormat="1" applyFont="1" applyFill="1" applyBorder="1"/>
    <xf numFmtId="0" fontId="34" fillId="0" borderId="0" xfId="0" applyFont="1"/>
    <xf numFmtId="9" fontId="0" fillId="0" borderId="0" xfId="0" applyNumberFormat="1"/>
    <xf numFmtId="0" fontId="0" fillId="31" borderId="31" xfId="0" applyFill="1" applyBorder="1"/>
    <xf numFmtId="9" fontId="2" fillId="31" borderId="26" xfId="0" applyNumberFormat="1" applyFont="1" applyFill="1" applyBorder="1" applyAlignment="1">
      <alignment horizontal="right"/>
    </xf>
    <xf numFmtId="0" fontId="2" fillId="33" borderId="35" xfId="0" applyFont="1" applyFill="1" applyBorder="1" applyAlignment="1">
      <alignment horizontal="center"/>
    </xf>
    <xf numFmtId="0" fontId="2" fillId="33" borderId="36" xfId="0" applyFont="1" applyFill="1" applyBorder="1" applyAlignment="1">
      <alignment horizontal="center"/>
    </xf>
    <xf numFmtId="0" fontId="2" fillId="33" borderId="30" xfId="0" applyFont="1" applyFill="1" applyBorder="1" applyAlignment="1">
      <alignment horizontal="center"/>
    </xf>
    <xf numFmtId="0" fontId="3" fillId="33" borderId="35" xfId="0" applyFont="1" applyFill="1" applyBorder="1" applyAlignment="1">
      <alignment horizontal="center"/>
    </xf>
    <xf numFmtId="0" fontId="3" fillId="33" borderId="36" xfId="0" applyFont="1" applyFill="1" applyBorder="1" applyAlignment="1">
      <alignment horizontal="center"/>
    </xf>
    <xf numFmtId="0" fontId="3" fillId="33" borderId="30" xfId="0" applyFont="1" applyFill="1" applyBorder="1" applyAlignment="1">
      <alignment horizontal="center"/>
    </xf>
    <xf numFmtId="0" fontId="2" fillId="33" borderId="37" xfId="0" applyFont="1" applyFill="1" applyBorder="1" applyAlignment="1">
      <alignment horizontal="right" wrapText="1"/>
    </xf>
    <xf numFmtId="0" fontId="2" fillId="33" borderId="39" xfId="0" applyFont="1" applyFill="1" applyBorder="1" applyAlignment="1">
      <alignment horizontal="right" wrapText="1"/>
    </xf>
    <xf numFmtId="0" fontId="2" fillId="33" borderId="34" xfId="0" applyFont="1" applyFill="1" applyBorder="1" applyAlignment="1">
      <alignment horizontal="right" wrapText="1"/>
    </xf>
    <xf numFmtId="0" fontId="3" fillId="31" borderId="25" xfId="0" applyFont="1" applyFill="1" applyBorder="1" applyAlignment="1">
      <alignment horizontal="center"/>
    </xf>
    <xf numFmtId="0" fontId="3" fillId="31" borderId="0" xfId="0" applyFont="1" applyFill="1" applyAlignment="1">
      <alignment horizontal="center"/>
    </xf>
    <xf numFmtId="0" fontId="3" fillId="31" borderId="31" xfId="0" applyFont="1" applyFill="1" applyBorder="1" applyAlignment="1">
      <alignment horizontal="center"/>
    </xf>
    <xf numFmtId="0" fontId="2" fillId="33" borderId="35" xfId="0" applyFont="1" applyFill="1" applyBorder="1" applyAlignment="1">
      <alignment horizontal="center" wrapText="1"/>
    </xf>
    <xf numFmtId="0" fontId="2" fillId="33" borderId="36" xfId="0" applyFont="1" applyFill="1" applyBorder="1" applyAlignment="1">
      <alignment horizontal="center" wrapText="1"/>
    </xf>
    <xf numFmtId="0" fontId="2" fillId="33" borderId="30" xfId="0" applyFont="1" applyFill="1" applyBorder="1" applyAlignment="1">
      <alignment horizontal="center" wrapText="1"/>
    </xf>
    <xf numFmtId="0" fontId="2" fillId="0" borderId="0" xfId="0" applyFont="1" applyAlignment="1">
      <alignment horizontal="center"/>
    </xf>
    <xf numFmtId="0" fontId="2" fillId="36" borderId="0" xfId="0" applyFont="1" applyFill="1" applyAlignment="1">
      <alignment horizontal="center"/>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4" xr:uid="{00000000-0005-0000-0000-000026000000}"/>
    <cellStyle name="Normal 3" xfId="45" xr:uid="{39885DFE-E127-453F-B94A-E8344635F1BB}"/>
    <cellStyle name="Note" xfId="38" builtinId="10" customBuiltin="1"/>
    <cellStyle name="Output" xfId="39" builtinId="21" customBuiltin="1"/>
    <cellStyle name="Percent" xfId="40" builtinId="5"/>
    <cellStyle name="Percent 2" xfId="46" xr:uid="{AC599D20-B2B0-4E52-94F0-9D6A5073FFB1}"/>
    <cellStyle name="Title" xfId="41" builtinId="15" customBuiltin="1"/>
    <cellStyle name="Total" xfId="42" builtinId="25" customBuiltin="1"/>
    <cellStyle name="Warning Text" xfId="43" builtinId="11" customBuiltin="1"/>
  </cellStyles>
  <dxfs count="315">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ill>
        <patternFill>
          <bgColor indexed="13"/>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7"/>
        </patternFill>
      </fill>
    </dxf>
    <dxf>
      <fill>
        <patternFill>
          <bgColor indexed="13"/>
        </patternFill>
      </fill>
    </dxf>
    <dxf>
      <fill>
        <patternFill>
          <bgColor indexed="13"/>
        </patternFill>
      </fill>
    </dxf>
    <dxf>
      <font>
        <condense val="0"/>
        <extend val="0"/>
        <color indexed="9"/>
      </font>
      <fill>
        <patternFill>
          <bgColor indexed="10"/>
        </patternFill>
      </fill>
    </dxf>
    <dxf>
      <font>
        <condense val="0"/>
        <extend val="0"/>
        <color indexed="9"/>
      </font>
      <fill>
        <patternFill>
          <bgColor indexed="17"/>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ill>
        <patternFill>
          <bgColor indexed="13"/>
        </patternFill>
      </fill>
    </dxf>
    <dxf>
      <font>
        <condense val="0"/>
        <extend val="0"/>
        <color indexed="9"/>
      </font>
      <fill>
        <patternFill>
          <bgColor indexed="17"/>
        </patternFill>
      </fill>
    </dxf>
    <dxf>
      <font>
        <condense val="0"/>
        <extend val="0"/>
        <color indexed="9"/>
      </font>
      <fill>
        <patternFill>
          <bgColor indexed="10"/>
        </patternFill>
      </fill>
    </dxf>
    <dxf>
      <font>
        <condense val="0"/>
        <extend val="0"/>
        <color indexed="9"/>
      </font>
      <fill>
        <patternFill>
          <bgColor indexed="10"/>
        </patternFill>
      </fill>
    </dxf>
    <dxf>
      <fill>
        <patternFill>
          <bgColor indexed="13"/>
        </patternFill>
      </fill>
    </dxf>
    <dxf>
      <font>
        <condense val="0"/>
        <extend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b val="0"/>
        <i val="0"/>
      </font>
      <fill>
        <patternFill>
          <bgColor indexed="13"/>
        </patternFill>
      </fill>
    </dxf>
    <dxf>
      <font>
        <condense val="0"/>
        <extend val="0"/>
        <color indexed="9"/>
      </font>
      <fill>
        <patternFill>
          <bgColor indexed="17"/>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condense val="0"/>
        <extend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condense val="0"/>
        <extend val="0"/>
        <color indexed="9"/>
      </font>
      <fill>
        <patternFill>
          <bgColor indexed="17"/>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condense val="0"/>
        <extend val="0"/>
        <color indexed="9"/>
      </font>
      <fill>
        <patternFill>
          <bgColor indexed="17"/>
        </patternFill>
      </fill>
    </dxf>
    <dxf>
      <font>
        <b val="0"/>
        <i val="0"/>
        <color indexed="9"/>
      </font>
      <fill>
        <patternFill>
          <bgColor indexed="10"/>
        </patternFill>
      </fill>
    </dxf>
    <dxf>
      <font>
        <b val="0"/>
        <i val="0"/>
      </font>
      <fill>
        <patternFill>
          <bgColor indexed="13"/>
        </patternFill>
      </fill>
    </dxf>
    <dxf>
      <font>
        <condense val="0"/>
        <extend val="0"/>
        <color indexed="9"/>
      </font>
      <fill>
        <patternFill>
          <bgColor indexed="17"/>
        </patternFill>
      </fill>
    </dxf>
    <dxf>
      <font>
        <b val="0"/>
        <i val="0"/>
        <color indexed="9"/>
      </font>
      <fill>
        <patternFill>
          <bgColor indexed="10"/>
        </patternFill>
      </fill>
    </dxf>
    <dxf>
      <font>
        <condense val="0"/>
        <extend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0"/>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font>
      <fill>
        <patternFill>
          <bgColor indexed="13"/>
        </patternFill>
      </fill>
    </dxf>
    <dxf>
      <font>
        <b val="0"/>
        <i val="0"/>
        <color indexed="9"/>
      </font>
      <fill>
        <patternFill>
          <bgColor indexed="10"/>
        </patternFill>
      </fill>
    </dxf>
    <dxf>
      <font>
        <b val="0"/>
        <i val="0"/>
        <color indexed="9"/>
      </font>
      <fill>
        <patternFill>
          <bgColor indexed="10"/>
        </patternFill>
      </fill>
    </dxf>
    <dxf>
      <font>
        <b val="0"/>
        <i val="0"/>
      </font>
      <fill>
        <patternFill>
          <bgColor indexed="13"/>
        </patternFill>
      </fill>
    </dxf>
    <dxf>
      <font>
        <b val="0"/>
        <i val="0"/>
        <color indexed="9"/>
      </font>
      <fill>
        <patternFill>
          <bgColor indexed="17"/>
        </patternFill>
      </fill>
    </dxf>
    <dxf>
      <font>
        <b val="0"/>
        <i val="0"/>
        <color indexed="9"/>
      </font>
      <fill>
        <patternFill>
          <bgColor indexed="17"/>
        </patternFill>
      </fill>
    </dxf>
    <dxf>
      <font>
        <b val="0"/>
        <i val="0"/>
        <color indexed="9"/>
      </font>
      <fill>
        <patternFill>
          <bgColor indexed="10"/>
        </patternFill>
      </fill>
    </dxf>
    <dxf>
      <font>
        <b val="0"/>
        <i val="0"/>
      </font>
      <fill>
        <patternFill>
          <bgColor indexed="13"/>
        </patternFill>
      </fill>
    </dxf>
  </dxfs>
  <tableStyles count="0" defaultTableStyle="TableStyleMedium2" defaultPivotStyle="PivotStyleLight16"/>
  <colors>
    <mruColors>
      <color rgb="FF110B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Y445"/>
  <sheetViews>
    <sheetView tabSelected="1" zoomScaleNormal="100" workbookViewId="0">
      <pane xSplit="1" ySplit="3" topLeftCell="H32" activePane="bottomRight" state="frozen"/>
      <selection pane="topRight" activeCell="C1" sqref="C1"/>
      <selection pane="bottomLeft" activeCell="A4" sqref="A4"/>
      <selection pane="bottomRight" activeCell="AF52" sqref="AF52"/>
    </sheetView>
  </sheetViews>
  <sheetFormatPr defaultRowHeight="12.5" outlineLevelRow="1" outlineLevelCol="1" x14ac:dyDescent="0.25"/>
  <cols>
    <col min="1" max="1" width="9" style="37" customWidth="1"/>
    <col min="2" max="5" width="5.1796875" style="37" customWidth="1" outlineLevel="1"/>
    <col min="6" max="7" width="5.1796875" style="45" customWidth="1" outlineLevel="1"/>
    <col min="8" max="10" width="5.1796875" style="37" customWidth="1" outlineLevel="1"/>
    <col min="11" max="13" width="5.1796875" style="45" customWidth="1" outlineLevel="1"/>
    <col min="14" max="17" width="5.1796875" style="37" customWidth="1" outlineLevel="1"/>
    <col min="18" max="19" width="5.1796875" style="45" customWidth="1" outlineLevel="1"/>
    <col min="20" max="20" width="5.1796875" style="37" customWidth="1" outlineLevel="1"/>
    <col min="21" max="22" width="5.1796875" style="45" customWidth="1" outlineLevel="1"/>
    <col min="23" max="28" width="5.1796875" style="58" customWidth="1" outlineLevel="1"/>
    <col min="29" max="29" width="5.1796875" style="37" customWidth="1" outlineLevel="1"/>
    <col min="30" max="31" width="5.1796875" style="45" customWidth="1" outlineLevel="1"/>
    <col min="32" max="34" width="5.1796875" style="58" customWidth="1" outlineLevel="1"/>
    <col min="35" max="35" width="5.1796875" style="45" customWidth="1" outlineLevel="1"/>
    <col min="36" max="37" width="5.1796875" style="14" customWidth="1" outlineLevel="1"/>
    <col min="38" max="38" width="5.54296875" customWidth="1"/>
    <col min="39" max="39" width="5.54296875" style="37" customWidth="1"/>
    <col min="40" max="40" width="5.1796875" style="45" customWidth="1"/>
    <col min="41" max="42" width="5.54296875" style="45" customWidth="1"/>
    <col min="43" max="43" width="5.1796875" style="45" customWidth="1"/>
    <col min="44" max="44" width="5.6328125" style="50" customWidth="1"/>
    <col min="45" max="45" width="9" style="50" bestFit="1" customWidth="1"/>
    <col min="46" max="48" width="5" style="50" hidden="1" customWidth="1" outlineLevel="1"/>
    <col min="49" max="52" width="5" hidden="1" customWidth="1" outlineLevel="1"/>
    <col min="53" max="53" width="5" style="50" hidden="1" customWidth="1" outlineLevel="1"/>
    <col min="54" max="57" width="5" hidden="1" customWidth="1" outlineLevel="1"/>
    <col min="58" max="60" width="5" style="50" hidden="1" customWidth="1" outlineLevel="1"/>
    <col min="61" max="81" width="5" hidden="1" customWidth="1" outlineLevel="1"/>
    <col min="82" max="82" width="5" customWidth="1" collapsed="1"/>
    <col min="83" max="84" width="5" customWidth="1"/>
    <col min="85" max="87" width="5" customWidth="1" outlineLevel="1"/>
    <col min="88" max="88" width="2.1796875" customWidth="1"/>
    <col min="89" max="89" width="9" style="50" bestFit="1" customWidth="1"/>
    <col min="90" max="91" width="4.90625" style="50" hidden="1" customWidth="1" outlineLevel="1"/>
    <col min="92" max="92" width="4.6328125" style="50" hidden="1" customWidth="1" outlineLevel="1"/>
    <col min="93" max="94" width="4.90625" style="50" hidden="1" customWidth="1" outlineLevel="1"/>
    <col min="95" max="95" width="4.6328125" style="50" hidden="1" customWidth="1" outlineLevel="1"/>
    <col min="96" max="97" width="4.90625" style="50" hidden="1" customWidth="1" outlineLevel="1"/>
    <col min="98" max="98" width="4.6328125" style="50" hidden="1" customWidth="1" outlineLevel="1"/>
    <col min="99" max="100" width="4.90625" hidden="1" customWidth="1" outlineLevel="1"/>
    <col min="101" max="101" width="4.6328125" hidden="1" customWidth="1" outlineLevel="1"/>
    <col min="102" max="103" width="4.90625" hidden="1" customWidth="1" outlineLevel="1"/>
    <col min="104" max="104" width="4.6328125" hidden="1" customWidth="1" outlineLevel="1"/>
    <col min="105" max="106" width="4.90625" hidden="1" customWidth="1" outlineLevel="1"/>
    <col min="107" max="107" width="4.6328125" hidden="1" customWidth="1" outlineLevel="1"/>
    <col min="108" max="108" width="5" customWidth="1" collapsed="1"/>
    <col min="109" max="109" width="5" customWidth="1"/>
    <col min="110" max="110" width="4.6328125" customWidth="1"/>
    <col min="111" max="111" width="2.1796875" style="90" customWidth="1"/>
    <col min="112" max="112" width="9" style="50" bestFit="1" customWidth="1"/>
    <col min="113" max="121" width="5.08984375" style="50" hidden="1" customWidth="1" outlineLevel="1"/>
    <col min="122" max="130" width="5.08984375" hidden="1" customWidth="1" outlineLevel="1"/>
    <col min="131" max="131" width="5.08984375" customWidth="1" collapsed="1"/>
    <col min="132" max="133" width="5.08984375" customWidth="1"/>
    <col min="134" max="134" width="5.6328125" style="90" customWidth="1"/>
    <col min="135" max="135" width="9" style="90" bestFit="1" customWidth="1"/>
    <col min="136" max="136" width="6" style="90" customWidth="1"/>
    <col min="137" max="137" width="5.36328125" style="90" customWidth="1"/>
    <col min="138" max="138" width="5.54296875" style="90" customWidth="1"/>
    <col min="139" max="140" width="5.36328125" style="90" customWidth="1"/>
    <col min="141" max="142" width="5.54296875" style="90" customWidth="1"/>
    <col min="143" max="149" width="5.36328125" style="90" customWidth="1"/>
    <col min="150" max="152" width="5.36328125" style="90" hidden="1" customWidth="1" outlineLevel="1"/>
    <col min="153" max="153" width="2.1796875" customWidth="1" collapsed="1"/>
    <col min="154" max="158" width="5.453125" style="90" customWidth="1"/>
    <col min="159" max="159" width="2.1796875" style="90" customWidth="1"/>
    <col min="160" max="160" width="5.6328125" style="90" customWidth="1"/>
    <col min="161" max="161" width="5.81640625" style="90" customWidth="1"/>
    <col min="162" max="162" width="5.453125" style="90" customWidth="1"/>
    <col min="163" max="163" width="5.08984375" style="90" customWidth="1"/>
    <col min="164" max="180" width="9.08984375" style="90"/>
    <col min="181" max="181" width="9.08984375"/>
  </cols>
  <sheetData>
    <row r="1" spans="1:180" s="46" customFormat="1" ht="10.25" customHeight="1" x14ac:dyDescent="0.25">
      <c r="A1" s="224"/>
      <c r="B1" s="218" t="s">
        <v>13</v>
      </c>
      <c r="C1" s="219"/>
      <c r="D1" s="219"/>
      <c r="E1" s="219"/>
      <c r="F1" s="219"/>
      <c r="G1" s="220"/>
      <c r="H1" s="218" t="s">
        <v>76</v>
      </c>
      <c r="I1" s="219"/>
      <c r="J1" s="219"/>
      <c r="K1" s="219"/>
      <c r="L1" s="219"/>
      <c r="M1" s="220"/>
      <c r="N1" s="218" t="s">
        <v>68</v>
      </c>
      <c r="O1" s="219"/>
      <c r="P1" s="219"/>
      <c r="Q1" s="219"/>
      <c r="R1" s="219"/>
      <c r="S1" s="220"/>
      <c r="T1" s="218" t="s">
        <v>49</v>
      </c>
      <c r="U1" s="219"/>
      <c r="V1" s="219"/>
      <c r="W1" s="219"/>
      <c r="X1" s="219"/>
      <c r="Y1" s="220"/>
      <c r="Z1" s="218" t="s">
        <v>20</v>
      </c>
      <c r="AA1" s="219"/>
      <c r="AB1" s="219"/>
      <c r="AC1" s="219"/>
      <c r="AD1" s="219"/>
      <c r="AE1" s="220"/>
      <c r="AF1" s="218" t="s">
        <v>17</v>
      </c>
      <c r="AG1" s="219"/>
      <c r="AH1" s="219"/>
      <c r="AI1" s="219"/>
      <c r="AJ1" s="219"/>
      <c r="AK1" s="220"/>
      <c r="AL1" s="218" t="s">
        <v>16</v>
      </c>
      <c r="AM1" s="219"/>
      <c r="AN1" s="219"/>
      <c r="AO1" s="219"/>
      <c r="AP1" s="219"/>
      <c r="AQ1" s="220"/>
      <c r="AR1" s="49"/>
      <c r="AS1" s="225"/>
      <c r="AT1" s="218" t="s">
        <v>13</v>
      </c>
      <c r="AU1" s="219"/>
      <c r="AV1" s="219"/>
      <c r="AW1" s="219"/>
      <c r="AX1" s="219"/>
      <c r="AY1" s="220"/>
      <c r="AZ1" s="218" t="s">
        <v>76</v>
      </c>
      <c r="BA1" s="219"/>
      <c r="BB1" s="219"/>
      <c r="BC1" s="219"/>
      <c r="BD1" s="219"/>
      <c r="BE1" s="220"/>
      <c r="BF1" s="218" t="s">
        <v>68</v>
      </c>
      <c r="BG1" s="219"/>
      <c r="BH1" s="219"/>
      <c r="BI1" s="219"/>
      <c r="BJ1" s="219"/>
      <c r="BK1" s="220"/>
      <c r="BL1" s="218" t="s">
        <v>49</v>
      </c>
      <c r="BM1" s="219"/>
      <c r="BN1" s="219"/>
      <c r="BO1" s="219"/>
      <c r="BP1" s="219"/>
      <c r="BQ1" s="220"/>
      <c r="BR1" s="218" t="s">
        <v>20</v>
      </c>
      <c r="BS1" s="219"/>
      <c r="BT1" s="219"/>
      <c r="BU1" s="219"/>
      <c r="BV1" s="219"/>
      <c r="BW1" s="220"/>
      <c r="BX1" s="218" t="s">
        <v>17</v>
      </c>
      <c r="BY1" s="219"/>
      <c r="BZ1" s="219"/>
      <c r="CA1" s="219"/>
      <c r="CB1" s="219"/>
      <c r="CC1" s="220"/>
      <c r="CD1" s="218" t="s">
        <v>16</v>
      </c>
      <c r="CE1" s="219"/>
      <c r="CF1" s="219"/>
      <c r="CG1" s="219"/>
      <c r="CH1" s="219"/>
      <c r="CI1" s="220"/>
      <c r="CJ1" s="87"/>
      <c r="CK1" s="225"/>
      <c r="CL1" s="218" t="s">
        <v>13</v>
      </c>
      <c r="CM1" s="219"/>
      <c r="CN1" s="220"/>
      <c r="CO1" s="218" t="s">
        <v>77</v>
      </c>
      <c r="CP1" s="219"/>
      <c r="CQ1" s="220"/>
      <c r="CR1" s="218" t="s">
        <v>68</v>
      </c>
      <c r="CS1" s="219"/>
      <c r="CT1" s="220"/>
      <c r="CU1" s="218" t="s">
        <v>61</v>
      </c>
      <c r="CV1" s="219"/>
      <c r="CW1" s="220"/>
      <c r="CX1" s="218" t="s">
        <v>20</v>
      </c>
      <c r="CY1" s="219"/>
      <c r="CZ1" s="220"/>
      <c r="DA1" s="218" t="s">
        <v>17</v>
      </c>
      <c r="DB1" s="219"/>
      <c r="DC1" s="220"/>
      <c r="DD1" s="218" t="s">
        <v>16</v>
      </c>
      <c r="DE1" s="219"/>
      <c r="DF1" s="220"/>
      <c r="DG1" s="87"/>
      <c r="DH1" s="225"/>
      <c r="DI1" s="218" t="s">
        <v>13</v>
      </c>
      <c r="DJ1" s="219"/>
      <c r="DK1" s="220"/>
      <c r="DL1" s="218" t="s">
        <v>77</v>
      </c>
      <c r="DM1" s="219"/>
      <c r="DN1" s="220"/>
      <c r="DO1" s="218" t="s">
        <v>68</v>
      </c>
      <c r="DP1" s="219"/>
      <c r="DQ1" s="220"/>
      <c r="DR1" s="218" t="s">
        <v>61</v>
      </c>
      <c r="DS1" s="219"/>
      <c r="DT1" s="220"/>
      <c r="DU1" s="218" t="s">
        <v>20</v>
      </c>
      <c r="DV1" s="219"/>
      <c r="DW1" s="220"/>
      <c r="DX1" s="218" t="s">
        <v>17</v>
      </c>
      <c r="DY1" s="219"/>
      <c r="DZ1" s="220"/>
      <c r="EA1" s="218" t="s">
        <v>16</v>
      </c>
      <c r="EB1" s="219"/>
      <c r="EC1" s="220"/>
      <c r="ED1" s="92"/>
      <c r="EE1" s="87"/>
      <c r="EF1" s="221" t="s">
        <v>71</v>
      </c>
      <c r="EG1" s="221" t="s">
        <v>54</v>
      </c>
      <c r="EH1" s="218" t="s">
        <v>13</v>
      </c>
      <c r="EI1" s="219"/>
      <c r="EJ1" s="220"/>
      <c r="EK1" s="218" t="s">
        <v>77</v>
      </c>
      <c r="EL1" s="219"/>
      <c r="EM1" s="220"/>
      <c r="EN1" s="218" t="s">
        <v>68</v>
      </c>
      <c r="EO1" s="219"/>
      <c r="EP1" s="220"/>
      <c r="EQ1" s="218" t="s">
        <v>61</v>
      </c>
      <c r="ER1" s="219"/>
      <c r="ES1" s="220"/>
      <c r="ET1" s="218" t="s">
        <v>20</v>
      </c>
      <c r="EU1" s="219"/>
      <c r="EV1" s="220"/>
      <c r="EW1" s="92"/>
      <c r="EX1" s="221" t="s">
        <v>71</v>
      </c>
      <c r="EY1" s="221" t="s">
        <v>55</v>
      </c>
      <c r="EZ1" s="218" t="s">
        <v>17</v>
      </c>
      <c r="FA1" s="219"/>
      <c r="FB1" s="220"/>
      <c r="FC1" s="92"/>
      <c r="FD1" s="218" t="s">
        <v>16</v>
      </c>
      <c r="FE1" s="219"/>
      <c r="FF1" s="220"/>
      <c r="FG1" s="92"/>
      <c r="FH1" s="92"/>
      <c r="FI1" s="92"/>
      <c r="FJ1" s="92"/>
      <c r="FK1" s="92"/>
      <c r="FL1" s="92"/>
      <c r="FM1" s="92"/>
      <c r="FN1" s="92"/>
      <c r="FO1" s="92"/>
      <c r="FP1" s="92"/>
      <c r="FQ1" s="92"/>
      <c r="FR1" s="92"/>
      <c r="FS1" s="92"/>
      <c r="FT1" s="92"/>
      <c r="FU1" s="92"/>
      <c r="FV1" s="92"/>
      <c r="FW1" s="92"/>
      <c r="FX1" s="92"/>
    </row>
    <row r="2" spans="1:180" s="63" customFormat="1" ht="23" x14ac:dyDescent="0.25">
      <c r="A2" s="225"/>
      <c r="B2" s="227" t="s">
        <v>59</v>
      </c>
      <c r="C2" s="228"/>
      <c r="D2" s="229"/>
      <c r="E2" s="227" t="s">
        <v>51</v>
      </c>
      <c r="F2" s="228"/>
      <c r="G2" s="229"/>
      <c r="H2" s="227" t="s">
        <v>59</v>
      </c>
      <c r="I2" s="228"/>
      <c r="J2" s="229"/>
      <c r="K2" s="227" t="s">
        <v>51</v>
      </c>
      <c r="L2" s="228"/>
      <c r="M2" s="229"/>
      <c r="N2" s="227" t="s">
        <v>59</v>
      </c>
      <c r="O2" s="228"/>
      <c r="P2" s="229"/>
      <c r="Q2" s="227" t="s">
        <v>51</v>
      </c>
      <c r="R2" s="228"/>
      <c r="S2" s="229"/>
      <c r="T2" s="227" t="s">
        <v>59</v>
      </c>
      <c r="U2" s="228"/>
      <c r="V2" s="229"/>
      <c r="W2" s="227" t="s">
        <v>51</v>
      </c>
      <c r="X2" s="228"/>
      <c r="Y2" s="229"/>
      <c r="Z2" s="227" t="s">
        <v>59</v>
      </c>
      <c r="AA2" s="228"/>
      <c r="AB2" s="229"/>
      <c r="AC2" s="227" t="s">
        <v>51</v>
      </c>
      <c r="AD2" s="228"/>
      <c r="AE2" s="229"/>
      <c r="AF2" s="227" t="s">
        <v>59</v>
      </c>
      <c r="AG2" s="228"/>
      <c r="AH2" s="229"/>
      <c r="AI2" s="227" t="s">
        <v>51</v>
      </c>
      <c r="AJ2" s="228"/>
      <c r="AK2" s="229"/>
      <c r="AL2" s="227" t="s">
        <v>59</v>
      </c>
      <c r="AM2" s="228"/>
      <c r="AN2" s="229"/>
      <c r="AO2" s="227" t="s">
        <v>51</v>
      </c>
      <c r="AP2" s="228"/>
      <c r="AQ2" s="229"/>
      <c r="AR2" s="72"/>
      <c r="AS2" s="225"/>
      <c r="AT2" s="215" t="s">
        <v>58</v>
      </c>
      <c r="AU2" s="216"/>
      <c r="AV2" s="216"/>
      <c r="AW2" s="215" t="s">
        <v>57</v>
      </c>
      <c r="AX2" s="216"/>
      <c r="AY2" s="217"/>
      <c r="AZ2" s="215" t="s">
        <v>58</v>
      </c>
      <c r="BA2" s="216"/>
      <c r="BB2" s="216"/>
      <c r="BC2" s="215" t="s">
        <v>57</v>
      </c>
      <c r="BD2" s="216"/>
      <c r="BE2" s="217"/>
      <c r="BF2" s="215" t="s">
        <v>58</v>
      </c>
      <c r="BG2" s="216"/>
      <c r="BH2" s="216"/>
      <c r="BI2" s="215" t="s">
        <v>57</v>
      </c>
      <c r="BJ2" s="216"/>
      <c r="BK2" s="217"/>
      <c r="BL2" s="215" t="s">
        <v>58</v>
      </c>
      <c r="BM2" s="216"/>
      <c r="BN2" s="216"/>
      <c r="BO2" s="215" t="s">
        <v>57</v>
      </c>
      <c r="BP2" s="216"/>
      <c r="BQ2" s="217"/>
      <c r="BR2" s="215" t="s">
        <v>58</v>
      </c>
      <c r="BS2" s="216"/>
      <c r="BT2" s="216"/>
      <c r="BU2" s="215" t="s">
        <v>57</v>
      </c>
      <c r="BV2" s="216"/>
      <c r="BW2" s="217"/>
      <c r="BX2" s="215" t="s">
        <v>58</v>
      </c>
      <c r="BY2" s="216"/>
      <c r="BZ2" s="216"/>
      <c r="CA2" s="215" t="s">
        <v>57</v>
      </c>
      <c r="CB2" s="216"/>
      <c r="CC2" s="217"/>
      <c r="CD2" s="215" t="s">
        <v>58</v>
      </c>
      <c r="CE2" s="216"/>
      <c r="CF2" s="216"/>
      <c r="CG2" s="215" t="s">
        <v>57</v>
      </c>
      <c r="CH2" s="216"/>
      <c r="CI2" s="217"/>
      <c r="CJ2" s="88"/>
      <c r="CK2" s="225"/>
      <c r="CL2" s="215" t="s">
        <v>62</v>
      </c>
      <c r="CM2" s="216"/>
      <c r="CN2" s="217"/>
      <c r="CO2" s="215" t="s">
        <v>62</v>
      </c>
      <c r="CP2" s="216"/>
      <c r="CQ2" s="217"/>
      <c r="CR2" s="215" t="s">
        <v>62</v>
      </c>
      <c r="CS2" s="216"/>
      <c r="CT2" s="217"/>
      <c r="CU2" s="215" t="s">
        <v>62</v>
      </c>
      <c r="CV2" s="216"/>
      <c r="CW2" s="217"/>
      <c r="CX2" s="215" t="s">
        <v>62</v>
      </c>
      <c r="CY2" s="216"/>
      <c r="CZ2" s="217"/>
      <c r="DA2" s="215" t="s">
        <v>62</v>
      </c>
      <c r="DB2" s="216"/>
      <c r="DC2" s="217"/>
      <c r="DD2" s="215" t="s">
        <v>62</v>
      </c>
      <c r="DE2" s="216"/>
      <c r="DF2" s="217"/>
      <c r="DG2" s="88"/>
      <c r="DH2" s="225"/>
      <c r="DI2" s="215" t="s">
        <v>63</v>
      </c>
      <c r="DJ2" s="216"/>
      <c r="DK2" s="217"/>
      <c r="DL2" s="215" t="s">
        <v>63</v>
      </c>
      <c r="DM2" s="216"/>
      <c r="DN2" s="217"/>
      <c r="DO2" s="215" t="s">
        <v>63</v>
      </c>
      <c r="DP2" s="216"/>
      <c r="DQ2" s="217"/>
      <c r="DR2" s="215" t="s">
        <v>63</v>
      </c>
      <c r="DS2" s="216"/>
      <c r="DT2" s="217"/>
      <c r="DU2" s="215" t="s">
        <v>63</v>
      </c>
      <c r="DV2" s="216"/>
      <c r="DW2" s="217"/>
      <c r="DX2" s="215" t="s">
        <v>63</v>
      </c>
      <c r="DY2" s="216"/>
      <c r="DZ2" s="217"/>
      <c r="EA2" s="215" t="s">
        <v>63</v>
      </c>
      <c r="EB2" s="216"/>
      <c r="EC2" s="217"/>
      <c r="ED2" s="95"/>
      <c r="EE2" s="87"/>
      <c r="EF2" s="222"/>
      <c r="EG2" s="222"/>
      <c r="EH2" s="215" t="s">
        <v>36</v>
      </c>
      <c r="EI2" s="216"/>
      <c r="EJ2" s="217"/>
      <c r="EK2" s="215" t="s">
        <v>36</v>
      </c>
      <c r="EL2" s="216"/>
      <c r="EM2" s="217"/>
      <c r="EN2" s="215" t="s">
        <v>36</v>
      </c>
      <c r="EO2" s="216"/>
      <c r="EP2" s="217"/>
      <c r="EQ2" s="215" t="s">
        <v>36</v>
      </c>
      <c r="ER2" s="216"/>
      <c r="ES2" s="217"/>
      <c r="ET2" s="215" t="s">
        <v>36</v>
      </c>
      <c r="EU2" s="216"/>
      <c r="EV2" s="217"/>
      <c r="EW2" s="84"/>
      <c r="EX2" s="222"/>
      <c r="EY2" s="222"/>
      <c r="EZ2" s="215" t="s">
        <v>36</v>
      </c>
      <c r="FA2" s="216"/>
      <c r="FB2" s="217"/>
      <c r="FC2" s="84"/>
      <c r="FD2" s="215" t="s">
        <v>36</v>
      </c>
      <c r="FE2" s="216"/>
      <c r="FF2" s="217"/>
      <c r="FG2" s="95"/>
      <c r="FH2" s="84"/>
      <c r="FI2" s="84"/>
      <c r="FJ2" s="84"/>
      <c r="FK2" s="84"/>
      <c r="FL2" s="84"/>
      <c r="FM2" s="84"/>
      <c r="FN2" s="84"/>
      <c r="FO2" s="84"/>
      <c r="FP2" s="84"/>
      <c r="FQ2" s="84"/>
      <c r="FR2" s="84"/>
      <c r="FS2" s="84"/>
      <c r="FT2" s="84"/>
      <c r="FU2" s="84"/>
      <c r="FV2" s="84"/>
      <c r="FW2" s="84"/>
      <c r="FX2" s="84"/>
    </row>
    <row r="3" spans="1:180" s="63" customFormat="1" ht="12" customHeight="1" x14ac:dyDescent="0.25">
      <c r="A3" s="226"/>
      <c r="B3" s="134">
        <v>2026</v>
      </c>
      <c r="C3" s="134">
        <v>2025</v>
      </c>
      <c r="D3" s="135" t="s">
        <v>50</v>
      </c>
      <c r="E3" s="134">
        <v>2026</v>
      </c>
      <c r="F3" s="134">
        <v>2025</v>
      </c>
      <c r="G3" s="135" t="s">
        <v>50</v>
      </c>
      <c r="H3" s="134">
        <v>2026</v>
      </c>
      <c r="I3" s="134">
        <v>2025</v>
      </c>
      <c r="J3" s="135" t="s">
        <v>50</v>
      </c>
      <c r="K3" s="134">
        <v>2026</v>
      </c>
      <c r="L3" s="134">
        <v>2025</v>
      </c>
      <c r="M3" s="135" t="s">
        <v>50</v>
      </c>
      <c r="N3" s="134">
        <v>2026</v>
      </c>
      <c r="O3" s="134">
        <v>2025</v>
      </c>
      <c r="P3" s="135" t="s">
        <v>50</v>
      </c>
      <c r="Q3" s="134">
        <v>2026</v>
      </c>
      <c r="R3" s="134">
        <v>2025</v>
      </c>
      <c r="S3" s="135" t="s">
        <v>50</v>
      </c>
      <c r="T3" s="134">
        <v>2026</v>
      </c>
      <c r="U3" s="134">
        <v>2025</v>
      </c>
      <c r="V3" s="135" t="s">
        <v>50</v>
      </c>
      <c r="W3" s="134">
        <v>2026</v>
      </c>
      <c r="X3" s="134">
        <v>2025</v>
      </c>
      <c r="Y3" s="135" t="s">
        <v>50</v>
      </c>
      <c r="Z3" s="134">
        <v>2026</v>
      </c>
      <c r="AA3" s="134">
        <v>2025</v>
      </c>
      <c r="AB3" s="135" t="s">
        <v>50</v>
      </c>
      <c r="AC3" s="134">
        <v>2026</v>
      </c>
      <c r="AD3" s="134">
        <v>2025</v>
      </c>
      <c r="AE3" s="135" t="s">
        <v>50</v>
      </c>
      <c r="AF3" s="134">
        <v>2026</v>
      </c>
      <c r="AG3" s="134">
        <v>2025</v>
      </c>
      <c r="AH3" s="135" t="s">
        <v>50</v>
      </c>
      <c r="AI3" s="134">
        <v>2026</v>
      </c>
      <c r="AJ3" s="134">
        <v>2025</v>
      </c>
      <c r="AK3" s="135" t="s">
        <v>50</v>
      </c>
      <c r="AL3" s="134">
        <v>2026</v>
      </c>
      <c r="AM3" s="134">
        <v>2025</v>
      </c>
      <c r="AN3" s="135" t="s">
        <v>50</v>
      </c>
      <c r="AO3" s="134">
        <v>2026</v>
      </c>
      <c r="AP3" s="134">
        <v>2025</v>
      </c>
      <c r="AQ3" s="135" t="s">
        <v>50</v>
      </c>
      <c r="AR3" s="72"/>
      <c r="AS3" s="226"/>
      <c r="AT3" s="134">
        <v>2026</v>
      </c>
      <c r="AU3" s="134">
        <v>2025</v>
      </c>
      <c r="AV3" s="135" t="s">
        <v>50</v>
      </c>
      <c r="AW3" s="134">
        <v>2026</v>
      </c>
      <c r="AX3" s="134">
        <v>2025</v>
      </c>
      <c r="AY3" s="135" t="s">
        <v>50</v>
      </c>
      <c r="AZ3" s="134">
        <v>2026</v>
      </c>
      <c r="BA3" s="134">
        <v>2025</v>
      </c>
      <c r="BB3" s="135" t="s">
        <v>50</v>
      </c>
      <c r="BC3" s="134">
        <v>2026</v>
      </c>
      <c r="BD3" s="134">
        <v>2025</v>
      </c>
      <c r="BE3" s="135" t="s">
        <v>50</v>
      </c>
      <c r="BF3" s="134">
        <v>2026</v>
      </c>
      <c r="BG3" s="134">
        <v>2025</v>
      </c>
      <c r="BH3" s="135" t="s">
        <v>50</v>
      </c>
      <c r="BI3" s="134">
        <v>2026</v>
      </c>
      <c r="BJ3" s="134">
        <v>2025</v>
      </c>
      <c r="BK3" s="135" t="s">
        <v>50</v>
      </c>
      <c r="BL3" s="134">
        <v>2026</v>
      </c>
      <c r="BM3" s="134">
        <v>2025</v>
      </c>
      <c r="BN3" s="135" t="s">
        <v>50</v>
      </c>
      <c r="BO3" s="134">
        <v>2026</v>
      </c>
      <c r="BP3" s="134">
        <v>2025</v>
      </c>
      <c r="BQ3" s="135" t="s">
        <v>50</v>
      </c>
      <c r="BR3" s="134">
        <v>2026</v>
      </c>
      <c r="BS3" s="134">
        <v>2025</v>
      </c>
      <c r="BT3" s="135" t="s">
        <v>50</v>
      </c>
      <c r="BU3" s="134">
        <v>2026</v>
      </c>
      <c r="BV3" s="134">
        <v>2025</v>
      </c>
      <c r="BW3" s="135" t="s">
        <v>50</v>
      </c>
      <c r="BX3" s="134">
        <v>2026</v>
      </c>
      <c r="BY3" s="134">
        <v>2025</v>
      </c>
      <c r="BZ3" s="135" t="s">
        <v>50</v>
      </c>
      <c r="CA3" s="134">
        <v>2026</v>
      </c>
      <c r="CB3" s="134">
        <v>2025</v>
      </c>
      <c r="CC3" s="135" t="s">
        <v>50</v>
      </c>
      <c r="CD3" s="134">
        <v>2026</v>
      </c>
      <c r="CE3" s="134">
        <v>2025</v>
      </c>
      <c r="CF3" s="135" t="s">
        <v>50</v>
      </c>
      <c r="CG3" s="134">
        <v>2026</v>
      </c>
      <c r="CH3" s="134">
        <v>2025</v>
      </c>
      <c r="CI3" s="135" t="s">
        <v>50</v>
      </c>
      <c r="CJ3" s="89"/>
      <c r="CK3" s="226"/>
      <c r="CL3" s="134">
        <v>2026</v>
      </c>
      <c r="CM3" s="134">
        <v>2025</v>
      </c>
      <c r="CN3" s="135" t="s">
        <v>50</v>
      </c>
      <c r="CO3" s="134">
        <v>2026</v>
      </c>
      <c r="CP3" s="134">
        <v>2025</v>
      </c>
      <c r="CQ3" s="135" t="s">
        <v>50</v>
      </c>
      <c r="CR3" s="134">
        <v>2026</v>
      </c>
      <c r="CS3" s="134">
        <v>2025</v>
      </c>
      <c r="CT3" s="135" t="s">
        <v>50</v>
      </c>
      <c r="CU3" s="134">
        <v>2026</v>
      </c>
      <c r="CV3" s="134">
        <v>2025</v>
      </c>
      <c r="CW3" s="135" t="s">
        <v>50</v>
      </c>
      <c r="CX3" s="134">
        <v>2026</v>
      </c>
      <c r="CY3" s="134">
        <v>2025</v>
      </c>
      <c r="CZ3" s="135" t="s">
        <v>50</v>
      </c>
      <c r="DA3" s="134">
        <v>2026</v>
      </c>
      <c r="DB3" s="134">
        <v>2025</v>
      </c>
      <c r="DC3" s="135" t="s">
        <v>50</v>
      </c>
      <c r="DD3" s="134">
        <v>2026</v>
      </c>
      <c r="DE3" s="134">
        <v>2025</v>
      </c>
      <c r="DF3" s="135" t="s">
        <v>50</v>
      </c>
      <c r="DG3" s="89"/>
      <c r="DH3" s="226"/>
      <c r="DI3" s="134">
        <v>2026</v>
      </c>
      <c r="DJ3" s="134">
        <v>2025</v>
      </c>
      <c r="DK3" s="135" t="s">
        <v>50</v>
      </c>
      <c r="DL3" s="134">
        <v>2026</v>
      </c>
      <c r="DM3" s="134">
        <v>2025</v>
      </c>
      <c r="DN3" s="135" t="s">
        <v>50</v>
      </c>
      <c r="DO3" s="134">
        <v>2026</v>
      </c>
      <c r="DP3" s="134">
        <v>2025</v>
      </c>
      <c r="DQ3" s="135" t="s">
        <v>50</v>
      </c>
      <c r="DR3" s="134">
        <v>2026</v>
      </c>
      <c r="DS3" s="134">
        <v>2025</v>
      </c>
      <c r="DT3" s="135" t="s">
        <v>50</v>
      </c>
      <c r="DU3" s="134">
        <v>2026</v>
      </c>
      <c r="DV3" s="134">
        <v>2025</v>
      </c>
      <c r="DW3" s="135" t="s">
        <v>50</v>
      </c>
      <c r="DX3" s="134">
        <v>2026</v>
      </c>
      <c r="DY3" s="134">
        <v>2025</v>
      </c>
      <c r="DZ3" s="135" t="s">
        <v>50</v>
      </c>
      <c r="EA3" s="134">
        <v>2026</v>
      </c>
      <c r="EB3" s="134">
        <v>2025</v>
      </c>
      <c r="EC3" s="135" t="s">
        <v>50</v>
      </c>
      <c r="ED3" s="95"/>
      <c r="EE3" s="129"/>
      <c r="EF3" s="223"/>
      <c r="EG3" s="223"/>
      <c r="EH3" s="134">
        <v>2026</v>
      </c>
      <c r="EI3" s="134">
        <v>2025</v>
      </c>
      <c r="EJ3" s="135" t="s">
        <v>50</v>
      </c>
      <c r="EK3" s="134">
        <v>2026</v>
      </c>
      <c r="EL3" s="134">
        <v>2025</v>
      </c>
      <c r="EM3" s="134">
        <v>2026</v>
      </c>
      <c r="EN3" s="134">
        <v>2026</v>
      </c>
      <c r="EO3" s="135">
        <v>2025</v>
      </c>
      <c r="EP3" s="135" t="s">
        <v>50</v>
      </c>
      <c r="EQ3" s="134">
        <v>2026</v>
      </c>
      <c r="ER3" s="134">
        <v>2025</v>
      </c>
      <c r="ES3" s="135" t="s">
        <v>50</v>
      </c>
      <c r="ET3" s="134">
        <v>2026</v>
      </c>
      <c r="EU3" s="134">
        <v>2025</v>
      </c>
      <c r="EV3" s="135" t="s">
        <v>50</v>
      </c>
      <c r="EW3" s="84"/>
      <c r="EX3" s="223"/>
      <c r="EY3" s="223"/>
      <c r="EZ3" s="134">
        <v>2026</v>
      </c>
      <c r="FA3" s="134">
        <v>2025</v>
      </c>
      <c r="FB3" s="135" t="s">
        <v>50</v>
      </c>
      <c r="FC3" s="84"/>
      <c r="FD3" s="134">
        <v>2026</v>
      </c>
      <c r="FE3" s="134">
        <v>2025</v>
      </c>
      <c r="FF3" s="135" t="s">
        <v>50</v>
      </c>
      <c r="FG3" s="95"/>
      <c r="FH3" s="84"/>
      <c r="FI3" s="84"/>
      <c r="FJ3" s="84"/>
      <c r="FK3" s="84"/>
      <c r="FL3" s="84"/>
      <c r="FM3" s="84"/>
      <c r="FN3" s="84"/>
      <c r="FO3" s="84"/>
      <c r="FP3" s="84"/>
      <c r="FQ3" s="84"/>
      <c r="FR3" s="84"/>
      <c r="FS3" s="84"/>
      <c r="FT3" s="84"/>
      <c r="FU3" s="84"/>
      <c r="FV3" s="84"/>
      <c r="FW3" s="84"/>
      <c r="FX3" s="84"/>
    </row>
    <row r="4" spans="1:180" s="63" customFormat="1" ht="12" customHeight="1" outlineLevel="1" x14ac:dyDescent="0.25">
      <c r="A4" s="109" t="s">
        <v>64</v>
      </c>
      <c r="B4" s="168">
        <f>Serviceorderfile_Current!$W522</f>
        <v>73</v>
      </c>
      <c r="C4" s="169">
        <f>Serviceorderfile_PREVIOUS!$W522</f>
        <v>149</v>
      </c>
      <c r="D4" s="57">
        <f t="shared" ref="D4:D17" si="0">IF(C4&gt;0,B4/C4-1,1)</f>
        <v>-0.51006711409395966</v>
      </c>
      <c r="E4" s="93">
        <f>'YOY Orders'!$J17</f>
        <v>57</v>
      </c>
      <c r="F4" s="93">
        <f>'YOY Orders'!$B17</f>
        <v>161</v>
      </c>
      <c r="G4" s="57">
        <f t="shared" ref="G4:G18" si="1">IF(F4&gt;0,E4/F4-1,1)</f>
        <v>-0.64596273291925466</v>
      </c>
      <c r="H4" s="99">
        <f>Serviceorderfile_Current!$W524</f>
        <v>0</v>
      </c>
      <c r="I4" s="169">
        <f>Serviceorderfile_PREVIOUS!$W524</f>
        <v>0</v>
      </c>
      <c r="J4" s="57">
        <f t="shared" ref="J4:J50" si="2">IF(I4&gt;0,H4/I4-1,1)</f>
        <v>1</v>
      </c>
      <c r="K4" s="93">
        <f>'YOY Orders'!$K17</f>
        <v>0</v>
      </c>
      <c r="L4" s="93">
        <f>'YOY Orders'!$C17</f>
        <v>10</v>
      </c>
      <c r="M4" s="57">
        <f t="shared" ref="M4:M11" si="3">IF(L4&gt;0,K4/L4-1,1)</f>
        <v>-1</v>
      </c>
      <c r="N4" s="99">
        <f>Serviceorderfile_Current!$W523</f>
        <v>0</v>
      </c>
      <c r="O4" s="169">
        <f>Serviceorderfile_PREVIOUS!$W523</f>
        <v>0</v>
      </c>
      <c r="P4" s="57">
        <f t="shared" ref="P4:P50" si="4">IF(O4&gt;0,N4/O4-1,1)</f>
        <v>1</v>
      </c>
      <c r="Q4" s="93">
        <f>'YOY Orders'!$O17</f>
        <v>0</v>
      </c>
      <c r="R4" s="93">
        <f>'YOY Orders'!$G17</f>
        <v>0</v>
      </c>
      <c r="S4" s="57">
        <f t="shared" ref="S4:S11" si="5">IF(R4&gt;0,Q4/R4-1,1)</f>
        <v>1</v>
      </c>
      <c r="T4" s="99">
        <f>Serviceorderfile_Current!$W525</f>
        <v>141</v>
      </c>
      <c r="U4" s="169">
        <f>Serviceorderfile_PREVIOUS!$W525</f>
        <v>135</v>
      </c>
      <c r="V4" s="57">
        <f t="shared" ref="V4:V50" si="6">IF(U4&gt;0,T4/U4-1,1)</f>
        <v>4.4444444444444509E-2</v>
      </c>
      <c r="W4" s="93">
        <f>'YOY Orders'!$L17</f>
        <v>126</v>
      </c>
      <c r="X4" s="93">
        <f>'YOY Orders'!$D17</f>
        <v>181</v>
      </c>
      <c r="Y4" s="57">
        <f t="shared" ref="Y4:Y12" si="7">IF(X4&gt;0,W4/X4-1,1)</f>
        <v>-0.30386740331491713</v>
      </c>
      <c r="Z4" s="99">
        <f>Serviceorderfile_Current!$W526</f>
        <v>4</v>
      </c>
      <c r="AA4" s="169">
        <f>Serviceorderfile_PREVIOUS!$W526</f>
        <v>9</v>
      </c>
      <c r="AB4" s="57">
        <f t="shared" ref="AB4:AB50" si="8">IF(AA4&gt;0,Z4/AA4-1,1)</f>
        <v>-0.55555555555555558</v>
      </c>
      <c r="AC4" s="93">
        <f>'YOY Orders'!$N17</f>
        <v>13</v>
      </c>
      <c r="AD4" s="93">
        <f>'YOY Orders'!$F17</f>
        <v>83</v>
      </c>
      <c r="AE4" s="57">
        <f t="shared" ref="AE4:AE11" si="9">IF(AD4&gt;0,AC4/AD4-1,1)</f>
        <v>-0.84337349397590367</v>
      </c>
      <c r="AF4" s="99">
        <f>Serviceorderfile_Current!$W520</f>
        <v>293</v>
      </c>
      <c r="AG4" s="169">
        <f>Serviceorderfile_PREVIOUS!$W520</f>
        <v>262</v>
      </c>
      <c r="AH4" s="57">
        <f t="shared" ref="AH4:AH50" si="10">IF(AG4&gt;0,AF4/AG4-1,1)</f>
        <v>0.11832061068702293</v>
      </c>
      <c r="AI4" s="93">
        <f>'YOY Orders'!$M17</f>
        <v>768</v>
      </c>
      <c r="AJ4" s="93">
        <f>'YOY Orders'!$E17</f>
        <v>1214</v>
      </c>
      <c r="AK4" s="57">
        <f t="shared" ref="AK4:AK11" si="11">IF(AJ4&gt;0,AI4/AJ4-1,1)</f>
        <v>-0.36738056013179576</v>
      </c>
      <c r="AL4" s="171">
        <f>B4+T4+Z4+AF4+N4+H4</f>
        <v>511</v>
      </c>
      <c r="AM4" s="56">
        <f>C4+U4+AA4+AG4+O4+I4</f>
        <v>555</v>
      </c>
      <c r="AN4" s="57">
        <f t="shared" ref="AN4:AN50" si="12">IF(AM4&gt;0,AL4/AM4-1,1)</f>
        <v>-7.9279279279279247E-2</v>
      </c>
      <c r="AO4" s="171">
        <f>E4+W4+AC4+AI4+Q4+K4</f>
        <v>964</v>
      </c>
      <c r="AP4" s="56">
        <f>F4+X4+AD4+AJ4+R4+L4</f>
        <v>1649</v>
      </c>
      <c r="AQ4" s="57">
        <f t="shared" ref="AQ4:AQ18" si="13">IF(AP4&gt;0,AO4/AP4-1,1)</f>
        <v>-0.4154032747119466</v>
      </c>
      <c r="AR4" s="72"/>
      <c r="AS4" s="109" t="s">
        <v>64</v>
      </c>
      <c r="AT4" s="99">
        <f>Serviceorderfile_Current!$I522*Serviceorderfile_Current!$U522</f>
        <v>18</v>
      </c>
      <c r="AU4" s="93">
        <f>Serviceorderfile_PREVIOUS!$I522*Serviceorderfile_PREVIOUS!$U522</f>
        <v>37</v>
      </c>
      <c r="AV4" s="57">
        <f t="shared" ref="AV4:AV18" si="14">IF(AU4&gt;0,AT4/AU4-1,1)</f>
        <v>-0.51351351351351349</v>
      </c>
      <c r="AW4" s="74">
        <f t="shared" ref="AW4:AW45" si="15">AT4/B4</f>
        <v>0.24657534246575341</v>
      </c>
      <c r="AX4" s="75">
        <f t="shared" ref="AX4:AX45" si="16">AU4/C4</f>
        <v>0.24832214765100671</v>
      </c>
      <c r="AY4" s="119">
        <f>(AW4-AX4)*100</f>
        <v>-0.17468051852533029</v>
      </c>
      <c r="AZ4" s="99">
        <f>Serviceorderfile_Current!$I524*Serviceorderfile_Current!$U524</f>
        <v>0</v>
      </c>
      <c r="BA4" s="93">
        <f>Serviceorderfile_PREVIOUS!$I524*Serviceorderfile_PREVIOUS!$U524</f>
        <v>0</v>
      </c>
      <c r="BB4" s="57">
        <f t="shared" ref="BB4:BB11" si="17">IF(BA4&gt;0,AZ4/BA4-1,1)</f>
        <v>1</v>
      </c>
      <c r="BC4" s="74" t="e">
        <f t="shared" ref="BC4:BC10" si="18">AZ4/H4</f>
        <v>#DIV/0!</v>
      </c>
      <c r="BD4" s="75" t="e">
        <f t="shared" ref="BD4:BD10" si="19">BA4/I4</f>
        <v>#DIV/0!</v>
      </c>
      <c r="BE4" s="119" t="e">
        <f>(BC4-BD4)*100</f>
        <v>#DIV/0!</v>
      </c>
      <c r="BF4" s="99">
        <f>Serviceorderfile_Current!$I523*Serviceorderfile_Current!$U523</f>
        <v>0</v>
      </c>
      <c r="BG4" s="93">
        <f>Serviceorderfile_PREVIOUS!$I523*Serviceorderfile_PREVIOUS!$U523</f>
        <v>0</v>
      </c>
      <c r="BH4" s="57">
        <f t="shared" ref="BH4:BH11" si="20">IF(BG4&gt;0,BF4/BG4-1,1)</f>
        <v>1</v>
      </c>
      <c r="BI4" s="74" t="e">
        <f t="shared" ref="BI4:BI19" si="21">BF4/N4</f>
        <v>#DIV/0!</v>
      </c>
      <c r="BJ4" s="75" t="e">
        <f t="shared" ref="BJ4:BJ19" si="22">BG4/O4</f>
        <v>#DIV/0!</v>
      </c>
      <c r="BK4" s="119" t="e">
        <f>(BI4-BJ4)*100</f>
        <v>#DIV/0!</v>
      </c>
      <c r="BL4" s="99">
        <f>Serviceorderfile_Current!$I525*Serviceorderfile_Current!$U525</f>
        <v>16</v>
      </c>
      <c r="BM4" s="93">
        <f>Serviceorderfile_PREVIOUS!$I525*Serviceorderfile_PREVIOUS!$U525</f>
        <v>12</v>
      </c>
      <c r="BN4" s="57">
        <f t="shared" ref="BN4:BN11" si="23">IF(BM4&gt;0,BL4/BM4-1,1)</f>
        <v>0.33333333333333326</v>
      </c>
      <c r="BO4" s="74">
        <f t="shared" ref="BO4:BO19" si="24">BL4/T4</f>
        <v>0.11347517730496454</v>
      </c>
      <c r="BP4" s="75">
        <f t="shared" ref="BP4:BP19" si="25">BM4/U4</f>
        <v>8.8888888888888892E-2</v>
      </c>
      <c r="BQ4" s="119">
        <f>(BO4-BP4)*100</f>
        <v>2.4586288416075646</v>
      </c>
      <c r="BR4" s="99">
        <f>Serviceorderfile_Current!$I526*Serviceorderfile_Current!$U526</f>
        <v>4</v>
      </c>
      <c r="BS4" s="93">
        <f>Serviceorderfile_PREVIOUS!$I526*Serviceorderfile_PREVIOUS!$U526</f>
        <v>9</v>
      </c>
      <c r="BT4" s="57">
        <f t="shared" ref="BT4:BT11" si="26">IF(BS4&gt;0,BR4/BS4-1,1)</f>
        <v>-0.55555555555555558</v>
      </c>
      <c r="BU4" s="74">
        <f t="shared" ref="BU4:BU19" si="27">BR4/Z4</f>
        <v>1</v>
      </c>
      <c r="BV4" s="75">
        <f t="shared" ref="BV4:BV19" si="28">BS4/AA4</f>
        <v>1</v>
      </c>
      <c r="BW4" s="119">
        <f>(BU4-BV4)*100</f>
        <v>0</v>
      </c>
      <c r="BX4" s="99">
        <f>Serviceorderfile_Current!$I520*Serviceorderfile_Current!$U520</f>
        <v>146</v>
      </c>
      <c r="BY4" s="93">
        <f>Serviceorderfile_PREVIOUS!$I520*Serviceorderfile_PREVIOUS!$U520</f>
        <v>206</v>
      </c>
      <c r="BZ4" s="57">
        <f t="shared" ref="BZ4:BZ11" si="29">IF(BY4&gt;0,BX4/BY4-1,1)</f>
        <v>-0.29126213592233008</v>
      </c>
      <c r="CA4" s="74">
        <f t="shared" ref="CA4:CA19" si="30">BX4/AF4</f>
        <v>0.49829351535836175</v>
      </c>
      <c r="CB4" s="75">
        <f t="shared" ref="CB4:CB19" si="31">BY4/AG4</f>
        <v>0.7862595419847328</v>
      </c>
      <c r="CC4" s="119">
        <f>(CA4-CB4)*100</f>
        <v>-28.796602662637106</v>
      </c>
      <c r="CD4" s="118">
        <f>AT4+BL4+BR4+BX4+BF4</f>
        <v>184</v>
      </c>
      <c r="CE4" s="73">
        <f>AU4+BM4+BS4+BY4+BG4</f>
        <v>264</v>
      </c>
      <c r="CF4" s="59">
        <f t="shared" ref="CF4:CF50" si="32">IF(CE4&gt;0,CD4/CE4-1,1)</f>
        <v>-0.30303030303030298</v>
      </c>
      <c r="CG4" s="74">
        <f>CD4/AL4</f>
        <v>0.36007827788649704</v>
      </c>
      <c r="CH4" s="75">
        <f>CE4/AM4</f>
        <v>0.4756756756756757</v>
      </c>
      <c r="CI4" s="119">
        <f>(CG4-CH4)*100</f>
        <v>-11.559739778917866</v>
      </c>
      <c r="CJ4" s="85"/>
      <c r="CK4" s="109" t="s">
        <v>64</v>
      </c>
      <c r="CL4" s="99">
        <f>Serviceorderfile_Current!$J522*Serviceorderfile_Current!$U522</f>
        <v>55</v>
      </c>
      <c r="CM4" s="93">
        <f>Serviceorderfile_PREVIOUS!$J522*Serviceorderfile_PREVIOUS!$U522</f>
        <v>0</v>
      </c>
      <c r="CN4" s="57">
        <f t="shared" ref="CN4:CN11" si="33">IF(CM4&gt;0,CL4/CM4-1,1)</f>
        <v>1</v>
      </c>
      <c r="CO4" s="99">
        <f>Serviceorderfile_Current!$J524*Serviceorderfile_Current!$U524</f>
        <v>0</v>
      </c>
      <c r="CP4" s="93">
        <f>Serviceorderfile_PREVIOUS!$J524*Serviceorderfile_PREVIOUS!$U524</f>
        <v>0</v>
      </c>
      <c r="CQ4" s="57">
        <f t="shared" ref="CQ4:CQ18" si="34">IF(CP4&gt;0,CO4/CP4-1,1)</f>
        <v>1</v>
      </c>
      <c r="CR4" s="99">
        <f>Serviceorderfile_Current!$J523*Serviceorderfile_Current!$U523</f>
        <v>0</v>
      </c>
      <c r="CS4" s="93">
        <f>Serviceorderfile_PREVIOUS!$J523*Serviceorderfile_PREVIOUS!$U523</f>
        <v>0</v>
      </c>
      <c r="CT4" s="57">
        <f t="shared" ref="CT4:CT11" si="35">IF(CS4&gt;0,CR4/CS4-1,1)</f>
        <v>1</v>
      </c>
      <c r="CU4" s="99">
        <f>Serviceorderfile_Current!$J525*Serviceorderfile_Current!$U525</f>
        <v>25</v>
      </c>
      <c r="CV4" s="93">
        <f>Serviceorderfile_PREVIOUS!$J525*Serviceorderfile_PREVIOUS!$U525</f>
        <v>29</v>
      </c>
      <c r="CW4" s="57">
        <f t="shared" ref="CW4:CW11" si="36">IF(CV4&gt;0,CU4/CV4-1,1)</f>
        <v>-0.13793103448275867</v>
      </c>
      <c r="CX4" s="99">
        <f>Serviceorderfile_Current!$J526*Serviceorderfile_Current!$U526</f>
        <v>0</v>
      </c>
      <c r="CY4" s="93">
        <f>Serviceorderfile_PREVIOUS!$J526*Serviceorderfile_PREVIOUS!$U526</f>
        <v>0</v>
      </c>
      <c r="CZ4" s="57">
        <f t="shared" ref="CZ4:CZ11" si="37">IF(CY4&gt;0,CX4/CY4-1,1)</f>
        <v>1</v>
      </c>
      <c r="DA4" s="99">
        <f>Serviceorderfile_Current!$J520*Serviceorderfile_Current!$U520</f>
        <v>98</v>
      </c>
      <c r="DB4" s="93">
        <f>Serviceorderfile_PREVIOUS!$J520*Serviceorderfile_PREVIOUS!$U520</f>
        <v>33</v>
      </c>
      <c r="DC4" s="57">
        <f t="shared" ref="DC4:DC10" si="38">IF(DB4&gt;0,DA4/DB4-1,1)</f>
        <v>1.9696969696969697</v>
      </c>
      <c r="DD4" s="118">
        <f>CL4+CO4+CR4+CU4+CX4+DA4</f>
        <v>178</v>
      </c>
      <c r="DE4" s="77">
        <f>CM4+CP4+CS4+CV4+CY4+DB4</f>
        <v>62</v>
      </c>
      <c r="DF4" s="59">
        <f t="shared" ref="DF4:DF18" si="39">IF(DE4&gt;0,DD4/DE4-1,1)</f>
        <v>1.870967741935484</v>
      </c>
      <c r="DG4" s="86"/>
      <c r="DH4" s="109" t="s">
        <v>64</v>
      </c>
      <c r="DI4" s="99">
        <f>Serviceorderfile_Current!$K522*Serviceorderfile_Current!$U522</f>
        <v>0</v>
      </c>
      <c r="DJ4" s="93">
        <f>Serviceorderfile_PREVIOUS!$K522*Serviceorderfile_PREVIOUS!$U522</f>
        <v>0</v>
      </c>
      <c r="DK4" s="57">
        <f t="shared" ref="DK4:DK10" si="40">IF(DJ4&gt;0,DI4/DJ4-1,1)</f>
        <v>1</v>
      </c>
      <c r="DL4" s="99">
        <f>Serviceorderfile_Current!$K524*Serviceorderfile_Current!$U524</f>
        <v>0</v>
      </c>
      <c r="DM4" s="93">
        <f>Serviceorderfile_PREVIOUS!$K524*Serviceorderfile_PREVIOUS!$U524</f>
        <v>0</v>
      </c>
      <c r="DN4" s="57">
        <f t="shared" ref="DN4:DN10" si="41">IF(DM4&gt;0,DL4/DM4-1,1)</f>
        <v>1</v>
      </c>
      <c r="DO4" s="99">
        <f>Serviceorderfile_Current!$K523*Serviceorderfile_Current!$U523</f>
        <v>0</v>
      </c>
      <c r="DP4" s="93">
        <f>Serviceorderfile_PREVIOUS!$K523*Serviceorderfile_PREVIOUS!$U523</f>
        <v>0</v>
      </c>
      <c r="DQ4" s="57">
        <f t="shared" ref="DQ4:DQ10" si="42">IF(DP4&gt;0,DO4/DP4-1,1)</f>
        <v>1</v>
      </c>
      <c r="DR4" s="99">
        <f>Serviceorderfile_Current!$K525*Serviceorderfile_Current!$U525</f>
        <v>14</v>
      </c>
      <c r="DS4" s="93">
        <f>Serviceorderfile_PREVIOUS!$K525*Serviceorderfile_PREVIOUS!$U525</f>
        <v>12</v>
      </c>
      <c r="DT4" s="57">
        <f t="shared" ref="DT4:DT10" si="43">IF(DS4&gt;0,DR4/DS4-1,1)</f>
        <v>0.16666666666666674</v>
      </c>
      <c r="DU4" s="99">
        <f>Serviceorderfile_Current!$K526*Serviceorderfile_Current!$U526</f>
        <v>0</v>
      </c>
      <c r="DV4" s="93">
        <f>Serviceorderfile_PREVIOUS!$K526*Serviceorderfile_PREVIOUS!$U526</f>
        <v>0</v>
      </c>
      <c r="DW4" s="57">
        <f t="shared" ref="DW4:DW10" si="44">IF(DV4&gt;0,DU4/DV4-1,1)</f>
        <v>1</v>
      </c>
      <c r="DX4" s="99">
        <f>Serviceorderfile_Current!$K520*Serviceorderfile_Current!$U520</f>
        <v>44</v>
      </c>
      <c r="DY4" s="93">
        <f>Serviceorderfile_PREVIOUS!$K520*Serviceorderfile_PREVIOUS!$U520</f>
        <v>23</v>
      </c>
      <c r="DZ4" s="57">
        <f t="shared" ref="DZ4:DZ10" si="45">IF(DY4&gt;0,DX4/DY4-1,1)</f>
        <v>0.91304347826086962</v>
      </c>
      <c r="EA4" s="118">
        <f>DI4+DL4+DO4+DR4+DU4+DX4</f>
        <v>58</v>
      </c>
      <c r="EB4" s="77">
        <f>DJ4+DM4+DP4+DS4+DV4+DY4</f>
        <v>35</v>
      </c>
      <c r="EC4" s="59">
        <f t="shared" ref="EC4:EC10" si="46">IF(EB4&gt;0,EA4/EB4-1,1)</f>
        <v>0.65714285714285725</v>
      </c>
      <c r="ED4" s="94"/>
      <c r="EE4" s="109" t="s">
        <v>64</v>
      </c>
      <c r="EF4" s="126">
        <f>Serviceorderfile_Current!$V519</f>
        <v>1</v>
      </c>
      <c r="EG4" s="59">
        <f>Aged!D32</f>
        <v>0</v>
      </c>
      <c r="EH4" s="99">
        <f>Serviceorderfile_Current!$U514*Serviceorderfile_Current!$H514</f>
        <v>0</v>
      </c>
      <c r="EI4" s="93">
        <f>Serviceorderfile_PREVIOUS!$U514*Serviceorderfile_PREVIOUS!$H514</f>
        <v>0</v>
      </c>
      <c r="EJ4" s="57">
        <f t="shared" ref="EJ4:EJ50" si="47">IF(EI4&gt;0,EH4/EI4-1,1)</f>
        <v>1</v>
      </c>
      <c r="EK4" s="99">
        <f>Serviceorderfile_Current!$U516*Serviceorderfile_Current!$H516</f>
        <v>44</v>
      </c>
      <c r="EL4" s="93">
        <f>Serviceorderfile_PREVIOUS!$U516*Serviceorderfile_PREVIOUS!$H516</f>
        <v>0</v>
      </c>
      <c r="EM4" s="57">
        <f t="shared" ref="EM4:EM18" si="48">IF(EL4&gt;0,EK4/EL4-1,1)</f>
        <v>1</v>
      </c>
      <c r="EN4" s="99">
        <f>Serviceorderfile_Current!$U515*Serviceorderfile_Current!$H515</f>
        <v>0</v>
      </c>
      <c r="EO4" s="93">
        <f>Serviceorderfile_PREVIOUS!$U515*Serviceorderfile_PREVIOUS!$H515</f>
        <v>0</v>
      </c>
      <c r="EP4" s="57">
        <f t="shared" ref="EP4:EP18" si="49">IF(EO4&gt;0,EN4/EO4-1,1)</f>
        <v>1</v>
      </c>
      <c r="EQ4" s="99">
        <f>Serviceorderfile_Current!$U517*Serviceorderfile_Current!$H517</f>
        <v>120</v>
      </c>
      <c r="ER4" s="93">
        <f>Serviceorderfile_PREVIOUS!$U517*Serviceorderfile_PREVIOUS!$H517</f>
        <v>42</v>
      </c>
      <c r="ES4" s="57">
        <f t="shared" ref="ES4:ES18" si="50">IF(ER4&gt;0,EQ4/ER4-1,1)</f>
        <v>1.8571428571428572</v>
      </c>
      <c r="ET4" s="99">
        <f>Serviceorderfile_Current!$U518*Serviceorderfile_Current!$H518</f>
        <v>0</v>
      </c>
      <c r="EU4" s="93">
        <f>Serviceorderfile_PREVIOUS!$U518*Serviceorderfile_PREVIOUS!$H518</f>
        <v>0</v>
      </c>
      <c r="EV4" s="57">
        <f t="shared" ref="EV4:EV18" si="51">IF(EU4&gt;0,ET4/EU4-1,1)</f>
        <v>1</v>
      </c>
      <c r="EW4" s="84"/>
      <c r="EX4" s="126">
        <f>Serviceorderfile_Current!$V512</f>
        <v>1</v>
      </c>
      <c r="EY4" s="47">
        <f>Aged!E85</f>
        <v>0.27</v>
      </c>
      <c r="EZ4" s="99">
        <f>Serviceorderfile_Current!$U516*Serviceorderfile_Current!$H516</f>
        <v>44</v>
      </c>
      <c r="FA4" s="93">
        <f>Serviceorderfile_PREVIOUS!$U516*Serviceorderfile_PREVIOUS!$H516</f>
        <v>0</v>
      </c>
      <c r="FB4" s="57">
        <f t="shared" ref="FB4:FB18" si="52">IF(FA4&gt;0,EZ4/FA4-1,1)</f>
        <v>1</v>
      </c>
      <c r="FC4" s="84"/>
      <c r="FD4" s="118">
        <f>EZ4+ET4+EQ4+EN4+EK4+EH4</f>
        <v>208</v>
      </c>
      <c r="FE4" s="73">
        <f>FA4+EU4+ER4+EO4+EL4+EI4</f>
        <v>42</v>
      </c>
      <c r="FF4" s="57">
        <f t="shared" ref="FF4:FF50" si="53">IF(FE4&gt;0,FD4/FE4-1,1)</f>
        <v>3.9523809523809526</v>
      </c>
      <c r="FG4" s="94"/>
      <c r="FH4" s="84"/>
      <c r="FI4" s="84"/>
      <c r="FJ4" s="84"/>
      <c r="FK4" s="84"/>
      <c r="FL4" s="84"/>
      <c r="FM4" s="84"/>
      <c r="FN4" s="84"/>
      <c r="FO4" s="84"/>
      <c r="FP4" s="84"/>
      <c r="FQ4" s="84"/>
      <c r="FR4" s="84"/>
      <c r="FS4" s="84"/>
      <c r="FT4" s="84"/>
      <c r="FU4" s="84"/>
      <c r="FV4" s="84"/>
      <c r="FW4" s="84"/>
      <c r="FX4" s="84"/>
    </row>
    <row r="5" spans="1:180" s="63" customFormat="1" ht="12" customHeight="1" outlineLevel="1" x14ac:dyDescent="0.25">
      <c r="A5" s="110" t="s">
        <v>42</v>
      </c>
      <c r="B5" s="99">
        <f>Serviceorderfile_Current!$W539</f>
        <v>58</v>
      </c>
      <c r="C5" s="93">
        <f>Serviceorderfile_PREVIOUS!$W539</f>
        <v>32</v>
      </c>
      <c r="D5" s="57">
        <f t="shared" si="0"/>
        <v>0.8125</v>
      </c>
      <c r="E5" s="93">
        <f>'YOY Orders'!$J18</f>
        <v>113</v>
      </c>
      <c r="F5" s="93">
        <f>'YOY Orders'!$B18</f>
        <v>118</v>
      </c>
      <c r="G5" s="57">
        <f t="shared" si="1"/>
        <v>-4.2372881355932202E-2</v>
      </c>
      <c r="H5" s="99">
        <f>Serviceorderfile_Current!$W541</f>
        <v>0</v>
      </c>
      <c r="I5" s="93">
        <f>Serviceorderfile_PREVIOUS!$W541</f>
        <v>15</v>
      </c>
      <c r="J5" s="57">
        <f t="shared" si="2"/>
        <v>-1</v>
      </c>
      <c r="K5" s="93">
        <f>'YOY Orders'!$K18</f>
        <v>-15</v>
      </c>
      <c r="L5" s="93">
        <f>'YOY Orders'!$C18</f>
        <v>15</v>
      </c>
      <c r="M5" s="57">
        <f t="shared" si="3"/>
        <v>-2</v>
      </c>
      <c r="N5" s="99">
        <f>Serviceorderfile_Current!$W540</f>
        <v>0</v>
      </c>
      <c r="O5" s="93">
        <f>Serviceorderfile_PREVIOUS!$W540</f>
        <v>0</v>
      </c>
      <c r="P5" s="57">
        <f t="shared" si="4"/>
        <v>1</v>
      </c>
      <c r="Q5" s="93">
        <f>'YOY Orders'!$O18</f>
        <v>0</v>
      </c>
      <c r="R5" s="93">
        <f>'YOY Orders'!$G18</f>
        <v>0</v>
      </c>
      <c r="S5" s="57">
        <f t="shared" si="5"/>
        <v>1</v>
      </c>
      <c r="T5" s="99">
        <f>Serviceorderfile_Current!$W542</f>
        <v>237</v>
      </c>
      <c r="U5" s="93">
        <f>Serviceorderfile_PREVIOUS!$W542</f>
        <v>75</v>
      </c>
      <c r="V5" s="57">
        <f t="shared" si="6"/>
        <v>2.16</v>
      </c>
      <c r="W5" s="93">
        <f>'YOY Orders'!$L18</f>
        <v>330</v>
      </c>
      <c r="X5" s="93">
        <f>'YOY Orders'!$D18</f>
        <v>124</v>
      </c>
      <c r="Y5" s="57">
        <f t="shared" si="7"/>
        <v>1.661290322580645</v>
      </c>
      <c r="Z5" s="99">
        <f>Serviceorderfile_Current!$W543</f>
        <v>0</v>
      </c>
      <c r="AA5" s="93">
        <f>Serviceorderfile_PREVIOUS!$W543</f>
        <v>3</v>
      </c>
      <c r="AB5" s="57">
        <f t="shared" si="8"/>
        <v>-1</v>
      </c>
      <c r="AC5" s="93">
        <f>'YOY Orders'!$N18</f>
        <v>0</v>
      </c>
      <c r="AD5" s="93">
        <f>'YOY Orders'!$F18</f>
        <v>3</v>
      </c>
      <c r="AE5" s="57">
        <f t="shared" si="9"/>
        <v>-1</v>
      </c>
      <c r="AF5" s="99">
        <f>Serviceorderfile_Current!$W537</f>
        <v>95</v>
      </c>
      <c r="AG5" s="93">
        <f>Serviceorderfile_PREVIOUS!$W537</f>
        <v>35</v>
      </c>
      <c r="AH5" s="57">
        <f t="shared" si="10"/>
        <v>1.7142857142857144</v>
      </c>
      <c r="AI5" s="93">
        <f>'YOY Orders'!$M18</f>
        <v>185</v>
      </c>
      <c r="AJ5" s="93">
        <f>'YOY Orders'!$E18</f>
        <v>89</v>
      </c>
      <c r="AK5" s="57">
        <f t="shared" si="11"/>
        <v>1.0786516853932584</v>
      </c>
      <c r="AL5" s="116">
        <f t="shared" ref="AL5:AL56" si="54">B5+T5+Z5+AF5+N5+H5</f>
        <v>390</v>
      </c>
      <c r="AM5" s="56">
        <f t="shared" ref="AM5:AM56" si="55">C5+U5+AA5+AG5+O5+I5</f>
        <v>160</v>
      </c>
      <c r="AN5" s="57">
        <f t="shared" si="12"/>
        <v>1.4375</v>
      </c>
      <c r="AO5" s="116">
        <f t="shared" ref="AO5:AO19" si="56">E5+W5+AC5+AI5+Q5+K5</f>
        <v>613</v>
      </c>
      <c r="AP5" s="56">
        <f t="shared" ref="AP5:AP19" si="57">F5+X5+AD5+AJ5+R5+L5</f>
        <v>349</v>
      </c>
      <c r="AQ5" s="57">
        <f t="shared" si="13"/>
        <v>0.7564469914040115</v>
      </c>
      <c r="AR5" s="72"/>
      <c r="AS5" s="110" t="s">
        <v>42</v>
      </c>
      <c r="AT5" s="99">
        <f>Serviceorderfile_Current!$I539*Serviceorderfile_Current!$U539</f>
        <v>15</v>
      </c>
      <c r="AU5" s="93">
        <f>Serviceorderfile_PREVIOUS!$I539*Serviceorderfile_PREVIOUS!$U539</f>
        <v>32</v>
      </c>
      <c r="AV5" s="57">
        <f t="shared" si="14"/>
        <v>-0.53125</v>
      </c>
      <c r="AW5" s="78">
        <f t="shared" si="15"/>
        <v>0.25862068965517243</v>
      </c>
      <c r="AX5" s="75">
        <f t="shared" si="16"/>
        <v>1</v>
      </c>
      <c r="AY5" s="119">
        <f>(AW5-AX5)*100</f>
        <v>-74.137931034482762</v>
      </c>
      <c r="AZ5" s="99">
        <f>Serviceorderfile_Current!$I541*Serviceorderfile_Current!$U541</f>
        <v>0</v>
      </c>
      <c r="BA5" s="93">
        <f>Serviceorderfile_PREVIOUS!$I541*Serviceorderfile_PREVIOUS!$U541</f>
        <v>0</v>
      </c>
      <c r="BB5" s="57">
        <f t="shared" si="17"/>
        <v>1</v>
      </c>
      <c r="BC5" s="78" t="e">
        <f t="shared" si="18"/>
        <v>#DIV/0!</v>
      </c>
      <c r="BD5" s="75">
        <f t="shared" si="19"/>
        <v>0</v>
      </c>
      <c r="BE5" s="119" t="e">
        <f>(BC5-BD5)*100</f>
        <v>#DIV/0!</v>
      </c>
      <c r="BF5" s="99">
        <f>Serviceorderfile_Current!$I540*Serviceorderfile_Current!$U540</f>
        <v>0</v>
      </c>
      <c r="BG5" s="93">
        <f>Serviceorderfile_PREVIOUS!$I540*Serviceorderfile_PREVIOUS!$U540</f>
        <v>0</v>
      </c>
      <c r="BH5" s="57">
        <f t="shared" si="20"/>
        <v>1</v>
      </c>
      <c r="BI5" s="78" t="e">
        <f t="shared" si="21"/>
        <v>#DIV/0!</v>
      </c>
      <c r="BJ5" s="75" t="e">
        <f t="shared" si="22"/>
        <v>#DIV/0!</v>
      </c>
      <c r="BK5" s="119" t="e">
        <f>(BI5-BJ5)*100</f>
        <v>#DIV/0!</v>
      </c>
      <c r="BL5" s="99">
        <f>Serviceorderfile_Current!$I542*Serviceorderfile_Current!$U542</f>
        <v>26</v>
      </c>
      <c r="BM5" s="93">
        <f>Serviceorderfile_PREVIOUS!$I542*Serviceorderfile_PREVIOUS!$U542</f>
        <v>34</v>
      </c>
      <c r="BN5" s="57">
        <f t="shared" si="23"/>
        <v>-0.23529411764705888</v>
      </c>
      <c r="BO5" s="78">
        <f t="shared" si="24"/>
        <v>0.10970464135021098</v>
      </c>
      <c r="BP5" s="75">
        <f t="shared" si="25"/>
        <v>0.45333333333333331</v>
      </c>
      <c r="BQ5" s="119">
        <f>(BO5-BP5)*100</f>
        <v>-34.362869198312232</v>
      </c>
      <c r="BR5" s="99">
        <f>Serviceorderfile_Current!$I543*Serviceorderfile_Current!$U543</f>
        <v>0</v>
      </c>
      <c r="BS5" s="93">
        <f>Serviceorderfile_PREVIOUS!$I543*Serviceorderfile_PREVIOUS!$U543</f>
        <v>3</v>
      </c>
      <c r="BT5" s="57">
        <f t="shared" si="26"/>
        <v>-1</v>
      </c>
      <c r="BU5" s="78" t="e">
        <f t="shared" si="27"/>
        <v>#DIV/0!</v>
      </c>
      <c r="BV5" s="75">
        <f t="shared" si="28"/>
        <v>1</v>
      </c>
      <c r="BW5" s="119" t="e">
        <f>(BU5-BV5)*100</f>
        <v>#DIV/0!</v>
      </c>
      <c r="BX5" s="99">
        <f>Serviceorderfile_Current!$I537*Serviceorderfile_Current!$U537</f>
        <v>14</v>
      </c>
      <c r="BY5" s="93">
        <f>Serviceorderfile_PREVIOUS!$I537*Serviceorderfile_PREVIOUS!$U537</f>
        <v>9</v>
      </c>
      <c r="BZ5" s="57">
        <f t="shared" si="29"/>
        <v>0.55555555555555558</v>
      </c>
      <c r="CA5" s="78">
        <f t="shared" si="30"/>
        <v>0.14736842105263157</v>
      </c>
      <c r="CB5" s="75">
        <f t="shared" si="31"/>
        <v>0.25714285714285712</v>
      </c>
      <c r="CC5" s="119">
        <f>(CA5-CB5)*100</f>
        <v>-10.977443609022556</v>
      </c>
      <c r="CD5" s="118">
        <f t="shared" ref="CD5:CD18" si="58">AT5+BL5+BR5+BX5+BF5</f>
        <v>55</v>
      </c>
      <c r="CE5" s="77">
        <f t="shared" ref="CE5:CE18" si="59">AU5+BM5+BS5+BY5+BG5</f>
        <v>78</v>
      </c>
      <c r="CF5" s="57">
        <f t="shared" si="32"/>
        <v>-0.29487179487179482</v>
      </c>
      <c r="CG5" s="78">
        <f t="shared" ref="CG5" si="60">CD5/AL5</f>
        <v>0.14102564102564102</v>
      </c>
      <c r="CH5" s="75">
        <f t="shared" ref="CH5" si="61">CE5/AM5</f>
        <v>0.48749999999999999</v>
      </c>
      <c r="CI5" s="119">
        <f>(CG5-CH5)*100</f>
        <v>-34.647435897435898</v>
      </c>
      <c r="CJ5" s="85"/>
      <c r="CK5" s="110" t="s">
        <v>42</v>
      </c>
      <c r="CL5" s="99">
        <f>Serviceorderfile_Current!$J539*Serviceorderfile_Current!$U539</f>
        <v>40</v>
      </c>
      <c r="CM5" s="93">
        <f>Serviceorderfile_PREVIOUS!$J539*Serviceorderfile_PREVIOUS!$U539</f>
        <v>0</v>
      </c>
      <c r="CN5" s="57">
        <f t="shared" si="33"/>
        <v>1</v>
      </c>
      <c r="CO5" s="99">
        <f>Serviceorderfile_Current!$J541*Serviceorderfile_Current!$U541</f>
        <v>0</v>
      </c>
      <c r="CP5" s="93">
        <f>Serviceorderfile_PREVIOUS!$J541*Serviceorderfile_PREVIOUS!$U541</f>
        <v>0</v>
      </c>
      <c r="CQ5" s="57">
        <f t="shared" si="34"/>
        <v>1</v>
      </c>
      <c r="CR5" s="99">
        <f>Serviceorderfile_Current!$J540*Serviceorderfile_Current!$U540</f>
        <v>0</v>
      </c>
      <c r="CS5" s="93">
        <f>Serviceorderfile_PREVIOUS!$J540*Serviceorderfile_PREVIOUS!$U540</f>
        <v>0</v>
      </c>
      <c r="CT5" s="57">
        <f t="shared" si="35"/>
        <v>1</v>
      </c>
      <c r="CU5" s="99">
        <f>Serviceorderfile_Current!$J542*Serviceorderfile_Current!$U542</f>
        <v>26</v>
      </c>
      <c r="CV5" s="93">
        <f>Serviceorderfile_PREVIOUS!$J542*Serviceorderfile_PREVIOUS!$U542</f>
        <v>31</v>
      </c>
      <c r="CW5" s="57">
        <f t="shared" si="36"/>
        <v>-0.16129032258064513</v>
      </c>
      <c r="CX5" s="99">
        <f>Serviceorderfile_Current!$J543*Serviceorderfile_Current!$U543</f>
        <v>0</v>
      </c>
      <c r="CY5" s="93">
        <f>Serviceorderfile_PREVIOUS!$J543*Serviceorderfile_PREVIOUS!$U543</f>
        <v>0</v>
      </c>
      <c r="CZ5" s="57">
        <f t="shared" si="37"/>
        <v>1</v>
      </c>
      <c r="DA5" s="99">
        <f>Serviceorderfile_Current!$J537*Serviceorderfile_Current!$U537</f>
        <v>0</v>
      </c>
      <c r="DB5" s="93">
        <f>Serviceorderfile_PREVIOUS!$J537*Serviceorderfile_PREVIOUS!$U537</f>
        <v>26</v>
      </c>
      <c r="DC5" s="57">
        <f t="shared" si="38"/>
        <v>-1</v>
      </c>
      <c r="DD5" s="118">
        <f t="shared" ref="DD5:DD19" si="62">CL5+CO5+CR5+CU5+CX5+DA5</f>
        <v>66</v>
      </c>
      <c r="DE5" s="77">
        <f t="shared" ref="DE5:DE19" si="63">CM5+CP5+CS5+CV5+CY5+DB5</f>
        <v>57</v>
      </c>
      <c r="DF5" s="57">
        <f t="shared" si="39"/>
        <v>0.15789473684210531</v>
      </c>
      <c r="DG5" s="86"/>
      <c r="DH5" s="110" t="s">
        <v>42</v>
      </c>
      <c r="DI5" s="99">
        <f>Serviceorderfile_Current!$K539*Serviceorderfile_Current!$U539</f>
        <v>0</v>
      </c>
      <c r="DJ5" s="93">
        <f>Serviceorderfile_PREVIOUS!$K539*Serviceorderfile_PREVIOUS!$U539</f>
        <v>0</v>
      </c>
      <c r="DK5" s="57">
        <f t="shared" si="40"/>
        <v>1</v>
      </c>
      <c r="DL5" s="99">
        <f>Serviceorderfile_Current!$K541*Serviceorderfile_Current!$U541</f>
        <v>0</v>
      </c>
      <c r="DM5" s="93">
        <f>Serviceorderfile_PREVIOUS!$K541*Serviceorderfile_PREVIOUS!$U541</f>
        <v>0</v>
      </c>
      <c r="DN5" s="57">
        <f t="shared" si="41"/>
        <v>1</v>
      </c>
      <c r="DO5" s="99">
        <f>Serviceorderfile_Current!$K540*Serviceorderfile_Current!$U540</f>
        <v>0</v>
      </c>
      <c r="DP5" s="93">
        <f>Serviceorderfile_PREVIOUS!$K540*Serviceorderfile_PREVIOUS!$U540</f>
        <v>0</v>
      </c>
      <c r="DQ5" s="57">
        <f t="shared" si="42"/>
        <v>1</v>
      </c>
      <c r="DR5" s="99">
        <f>Serviceorderfile_Current!$K542*Serviceorderfile_Current!$U542</f>
        <v>26</v>
      </c>
      <c r="DS5" s="93">
        <f>Serviceorderfile_PREVIOUS!$K542*Serviceorderfile_PREVIOUS!$U542</f>
        <v>1</v>
      </c>
      <c r="DT5" s="57">
        <f t="shared" si="43"/>
        <v>25</v>
      </c>
      <c r="DU5" s="99">
        <f>Serviceorderfile_Current!$K543*Serviceorderfile_Current!$U543</f>
        <v>0</v>
      </c>
      <c r="DV5" s="93">
        <f>Serviceorderfile_PREVIOUS!$K543*Serviceorderfile_PREVIOUS!$U543</f>
        <v>0</v>
      </c>
      <c r="DW5" s="57">
        <f t="shared" si="44"/>
        <v>1</v>
      </c>
      <c r="DX5" s="99">
        <f>Serviceorderfile_Current!$K537*Serviceorderfile_Current!$U537</f>
        <v>1</v>
      </c>
      <c r="DY5" s="93">
        <f>Serviceorderfile_PREVIOUS!$K537*Serviceorderfile_PREVIOUS!$U537</f>
        <v>0</v>
      </c>
      <c r="DZ5" s="57">
        <f t="shared" si="45"/>
        <v>1</v>
      </c>
      <c r="EA5" s="118">
        <f t="shared" ref="EA5:EA10" si="64">DI5+DL5+DO5+DR5+DU5+DX5</f>
        <v>27</v>
      </c>
      <c r="EB5" s="77">
        <f t="shared" ref="EB5:EB10" si="65">DJ5+DM5+DP5+DS5+DV5+DY5</f>
        <v>1</v>
      </c>
      <c r="EC5" s="57">
        <f t="shared" si="46"/>
        <v>26</v>
      </c>
      <c r="ED5" s="94"/>
      <c r="EE5" s="110" t="s">
        <v>42</v>
      </c>
      <c r="EF5" s="76" t="e">
        <f>Serviceorderfile_Current!$V536</f>
        <v>#DIV/0!</v>
      </c>
      <c r="EG5" s="57">
        <f>Aged!E33</f>
        <v>0</v>
      </c>
      <c r="EH5" s="99">
        <f>Serviceorderfile_Current!$U531*Serviceorderfile_Current!$H531</f>
        <v>0</v>
      </c>
      <c r="EI5" s="93">
        <f>Serviceorderfile_PREVIOUS!$U531*Serviceorderfile_PREVIOUS!$H531</f>
        <v>103</v>
      </c>
      <c r="EJ5" s="57">
        <f t="shared" si="47"/>
        <v>-1</v>
      </c>
      <c r="EK5" s="99">
        <f>Serviceorderfile_Current!$U533*Serviceorderfile_Current!$H533</f>
        <v>0</v>
      </c>
      <c r="EL5" s="93">
        <f>Serviceorderfile_PREVIOUS!$U533*Serviceorderfile_PREVIOUS!$H533</f>
        <v>0</v>
      </c>
      <c r="EM5" s="57">
        <f t="shared" si="48"/>
        <v>1</v>
      </c>
      <c r="EN5" s="99">
        <f>Serviceorderfile_Current!$U532*Serviceorderfile_Current!$H532</f>
        <v>0</v>
      </c>
      <c r="EO5" s="93">
        <f>Serviceorderfile_PREVIOUS!$U532*Serviceorderfile_PREVIOUS!$H532</f>
        <v>0</v>
      </c>
      <c r="EP5" s="57">
        <f t="shared" si="49"/>
        <v>1</v>
      </c>
      <c r="EQ5" s="99">
        <f>Serviceorderfile_Current!$U534*Serviceorderfile_Current!$H534</f>
        <v>0</v>
      </c>
      <c r="ER5" s="93">
        <f>Serviceorderfile_PREVIOUS!$U534*Serviceorderfile_PREVIOUS!$H534</f>
        <v>0</v>
      </c>
      <c r="ES5" s="57">
        <f t="shared" si="50"/>
        <v>1</v>
      </c>
      <c r="ET5" s="99">
        <f>Serviceorderfile_Current!$U535*Serviceorderfile_Current!$H535</f>
        <v>0</v>
      </c>
      <c r="EU5" s="93">
        <f>Serviceorderfile_PREVIOUS!$U535*Serviceorderfile_PREVIOUS!$H535</f>
        <v>0</v>
      </c>
      <c r="EV5" s="57">
        <f t="shared" si="51"/>
        <v>1</v>
      </c>
      <c r="EW5" s="84"/>
      <c r="EX5" s="76" t="e">
        <f>Serviceorderfile_Current!$V529</f>
        <v>#DIV/0!</v>
      </c>
      <c r="EY5" s="47">
        <f>Aged!E86</f>
        <v>0</v>
      </c>
      <c r="EZ5" s="99">
        <f>Serviceorderfile_Current!$U533*Serviceorderfile_Current!$H533</f>
        <v>0</v>
      </c>
      <c r="FA5" s="93">
        <f>Serviceorderfile_PREVIOUS!$U533*Serviceorderfile_PREVIOUS!$H533</f>
        <v>0</v>
      </c>
      <c r="FB5" s="57">
        <f t="shared" si="52"/>
        <v>1</v>
      </c>
      <c r="FC5" s="84"/>
      <c r="FD5" s="118">
        <f t="shared" ref="FD5:FD56" si="66">EZ5+ET5+EQ5+EN5+EK5+EH5</f>
        <v>0</v>
      </c>
      <c r="FE5" s="77">
        <f t="shared" ref="FE5:FE56" si="67">FA5+EU5+ER5+EO5+EL5+EI5</f>
        <v>103</v>
      </c>
      <c r="FF5" s="57">
        <f t="shared" si="53"/>
        <v>-1</v>
      </c>
      <c r="FG5" s="94"/>
      <c r="FH5" s="84"/>
      <c r="FI5" s="84"/>
      <c r="FJ5" s="84"/>
      <c r="FK5" s="84"/>
      <c r="FL5" s="84"/>
      <c r="FM5" s="84"/>
      <c r="FN5" s="84"/>
      <c r="FO5" s="84"/>
      <c r="FP5" s="84"/>
      <c r="FQ5" s="84"/>
      <c r="FR5" s="84"/>
      <c r="FS5" s="84"/>
      <c r="FT5" s="84"/>
      <c r="FU5" s="84"/>
      <c r="FV5" s="84"/>
      <c r="FW5" s="84"/>
      <c r="FX5" s="84"/>
    </row>
    <row r="6" spans="1:180" s="63" customFormat="1" ht="12" customHeight="1" outlineLevel="1" x14ac:dyDescent="0.25">
      <c r="A6" s="110" t="s">
        <v>72</v>
      </c>
      <c r="B6" s="99">
        <f>Serviceorderfile_Current!$W556</f>
        <v>0</v>
      </c>
      <c r="C6" s="93">
        <f>Serviceorderfile_PREVIOUS!$W556</f>
        <v>0</v>
      </c>
      <c r="D6" s="57">
        <f t="shared" si="0"/>
        <v>1</v>
      </c>
      <c r="E6" s="93">
        <f>'YOY Orders'!$J37</f>
        <v>0</v>
      </c>
      <c r="F6" s="93">
        <f>'YOY Orders'!$B37</f>
        <v>0</v>
      </c>
      <c r="G6" s="57">
        <f t="shared" si="1"/>
        <v>1</v>
      </c>
      <c r="H6" s="99">
        <f>Serviceorderfile_Current!$W558</f>
        <v>0</v>
      </c>
      <c r="I6" s="93">
        <f>Serviceorderfile_PREVIOUS!$W558</f>
        <v>0</v>
      </c>
      <c r="J6" s="57">
        <f t="shared" si="2"/>
        <v>1</v>
      </c>
      <c r="K6" s="93">
        <f>'YOY Orders'!$K37</f>
        <v>0</v>
      </c>
      <c r="L6" s="93">
        <f>'YOY Orders'!$C38</f>
        <v>0</v>
      </c>
      <c r="M6" s="57">
        <f t="shared" si="3"/>
        <v>1</v>
      </c>
      <c r="N6" s="99">
        <f>Serviceorderfile_Current!$W557</f>
        <v>0</v>
      </c>
      <c r="O6" s="93">
        <f>Serviceorderfile_PREVIOUS!$W557</f>
        <v>0</v>
      </c>
      <c r="P6" s="57">
        <f t="shared" si="4"/>
        <v>1</v>
      </c>
      <c r="Q6" s="93">
        <f>'YOY Orders'!$O37</f>
        <v>0</v>
      </c>
      <c r="R6" s="93">
        <f>'YOY Orders'!$G37</f>
        <v>0</v>
      </c>
      <c r="S6" s="57">
        <f t="shared" si="5"/>
        <v>1</v>
      </c>
      <c r="T6" s="99">
        <f>Serviceorderfile_Current!$W559</f>
        <v>0</v>
      </c>
      <c r="U6" s="93">
        <f>Serviceorderfile_PREVIOUS!$W559</f>
        <v>0</v>
      </c>
      <c r="V6" s="57">
        <f t="shared" si="6"/>
        <v>1</v>
      </c>
      <c r="W6" s="93">
        <f>'YOY Orders'!$L37</f>
        <v>0</v>
      </c>
      <c r="X6" s="93">
        <f>'YOY Orders'!$D37</f>
        <v>0</v>
      </c>
      <c r="Y6" s="57">
        <f t="shared" si="7"/>
        <v>1</v>
      </c>
      <c r="Z6" s="99">
        <f>Serviceorderfile_Current!$W560</f>
        <v>0</v>
      </c>
      <c r="AA6" s="93">
        <f>Serviceorderfile_PREVIOUS!$W560</f>
        <v>0</v>
      </c>
      <c r="AB6" s="57">
        <f t="shared" si="8"/>
        <v>1</v>
      </c>
      <c r="AC6" s="93">
        <f>'YOY Orders'!$N37</f>
        <v>0</v>
      </c>
      <c r="AD6" s="93">
        <f>'YOY Orders'!$F37</f>
        <v>0</v>
      </c>
      <c r="AE6" s="57">
        <f t="shared" si="9"/>
        <v>1</v>
      </c>
      <c r="AF6" s="99">
        <f>Serviceorderfile_Current!$W554</f>
        <v>109.01537084099999</v>
      </c>
      <c r="AG6" s="93">
        <f>Serviceorderfile_PREVIOUS!$W554</f>
        <v>61.304487269999996</v>
      </c>
      <c r="AH6" s="57">
        <f t="shared" si="10"/>
        <v>0.77826086956521734</v>
      </c>
      <c r="AI6" s="93">
        <f>'YOY Orders'!$M37</f>
        <v>193.24240552499998</v>
      </c>
      <c r="AJ6" s="93">
        <f>'YOY Orders'!$E37</f>
        <v>191.64315803099998</v>
      </c>
      <c r="AK6" s="57">
        <f t="shared" si="11"/>
        <v>8.3449235048678183E-3</v>
      </c>
      <c r="AL6" s="116">
        <f t="shared" si="54"/>
        <v>109.01537084099999</v>
      </c>
      <c r="AM6" s="56">
        <f t="shared" si="55"/>
        <v>61.304487269999996</v>
      </c>
      <c r="AN6" s="57">
        <f t="shared" si="12"/>
        <v>0.77826086956521734</v>
      </c>
      <c r="AO6" s="116">
        <f t="shared" si="56"/>
        <v>193.24240552499998</v>
      </c>
      <c r="AP6" s="56">
        <f t="shared" si="57"/>
        <v>191.64315803099998</v>
      </c>
      <c r="AQ6" s="57">
        <f t="shared" si="13"/>
        <v>8.3449235048678183E-3</v>
      </c>
      <c r="AR6" s="72"/>
      <c r="AS6" s="110" t="s">
        <v>72</v>
      </c>
      <c r="AT6" s="99">
        <f>Serviceorderfile_Current!$I556*Serviceorderfile_Current!$U556</f>
        <v>0</v>
      </c>
      <c r="AU6" s="93">
        <f>Serviceorderfile_PREVIOUS!$I556*Serviceorderfile_PREVIOUS!$U556</f>
        <v>0</v>
      </c>
      <c r="AV6" s="57">
        <f t="shared" si="14"/>
        <v>1</v>
      </c>
      <c r="AW6" s="78" t="e">
        <f t="shared" ref="AW6" si="68">AT6/B6</f>
        <v>#DIV/0!</v>
      </c>
      <c r="AX6" s="75" t="e">
        <f t="shared" ref="AX6" si="69">AU6/C6</f>
        <v>#DIV/0!</v>
      </c>
      <c r="AY6" s="119" t="e">
        <f>(AW6-AX6)*100</f>
        <v>#DIV/0!</v>
      </c>
      <c r="AZ6" s="99">
        <f>Serviceorderfile_Current!$I558*Serviceorderfile_Current!$U558</f>
        <v>0</v>
      </c>
      <c r="BA6" s="93">
        <f>Serviceorderfile_PREVIOUS!$I558*Serviceorderfile_PREVIOUS!$U558</f>
        <v>0</v>
      </c>
      <c r="BB6" s="57">
        <f t="shared" si="17"/>
        <v>1</v>
      </c>
      <c r="BC6" s="78" t="e">
        <f t="shared" si="18"/>
        <v>#DIV/0!</v>
      </c>
      <c r="BD6" s="75" t="e">
        <f t="shared" si="19"/>
        <v>#DIV/0!</v>
      </c>
      <c r="BE6" s="119" t="e">
        <f>(BC6-BD6)*100</f>
        <v>#DIV/0!</v>
      </c>
      <c r="BF6" s="99">
        <f>Serviceorderfile_Current!$I557*Serviceorderfile_Current!$U557</f>
        <v>0</v>
      </c>
      <c r="BG6" s="93">
        <f>Serviceorderfile_PREVIOUS!$I557*Serviceorderfile_PREVIOUS!$U557</f>
        <v>0</v>
      </c>
      <c r="BH6" s="57">
        <f t="shared" si="20"/>
        <v>1</v>
      </c>
      <c r="BI6" s="78" t="e">
        <f t="shared" si="21"/>
        <v>#DIV/0!</v>
      </c>
      <c r="BJ6" s="75" t="e">
        <f t="shared" si="22"/>
        <v>#DIV/0!</v>
      </c>
      <c r="BK6" s="119" t="e">
        <f>(BI6-BJ6)*100</f>
        <v>#DIV/0!</v>
      </c>
      <c r="BL6" s="99">
        <f>Serviceorderfile_Current!$I559*Serviceorderfile_Current!$U559</f>
        <v>0</v>
      </c>
      <c r="BM6" s="93">
        <f>Serviceorderfile_PREVIOUS!$I559*Serviceorderfile_PREVIOUS!$U559</f>
        <v>0</v>
      </c>
      <c r="BN6" s="57">
        <f t="shared" si="23"/>
        <v>1</v>
      </c>
      <c r="BO6" s="78" t="e">
        <f t="shared" si="24"/>
        <v>#DIV/0!</v>
      </c>
      <c r="BP6" s="75" t="e">
        <f t="shared" si="25"/>
        <v>#DIV/0!</v>
      </c>
      <c r="BQ6" s="119" t="e">
        <f>(BO6-BP6)*100</f>
        <v>#DIV/0!</v>
      </c>
      <c r="BR6" s="99">
        <f>Serviceorderfile_Current!$I560*Serviceorderfile_Current!$U560</f>
        <v>0</v>
      </c>
      <c r="BS6" s="93">
        <f>Serviceorderfile_PREVIOUS!$I560*Serviceorderfile_PREVIOUS!$U560</f>
        <v>0</v>
      </c>
      <c r="BT6" s="57">
        <f t="shared" si="26"/>
        <v>1</v>
      </c>
      <c r="BU6" s="78" t="e">
        <f t="shared" si="27"/>
        <v>#DIV/0!</v>
      </c>
      <c r="BV6" s="75" t="e">
        <f t="shared" si="28"/>
        <v>#DIV/0!</v>
      </c>
      <c r="BW6" s="119" t="e">
        <f>(BU6-BV6)*100</f>
        <v>#DIV/0!</v>
      </c>
      <c r="BX6" s="99">
        <f>Serviceorderfile_Current!$I554*Serviceorderfile_Current!$U554</f>
        <v>51.175919807999996</v>
      </c>
      <c r="BY6" s="93">
        <f>Serviceorderfile_PREVIOUS!$I554*Serviceorderfile_PREVIOUS!$U554</f>
        <v>47.710883570999997</v>
      </c>
      <c r="BZ6" s="57">
        <f t="shared" si="29"/>
        <v>7.2625698324022325E-2</v>
      </c>
      <c r="CA6" s="78">
        <f t="shared" si="30"/>
        <v>0.46943765281173594</v>
      </c>
      <c r="CB6" s="75">
        <f t="shared" si="31"/>
        <v>0.77826086956521734</v>
      </c>
      <c r="CC6" s="119">
        <f>(CA6-CB6)*100</f>
        <v>-30.882321675348141</v>
      </c>
      <c r="CD6" s="118">
        <f t="shared" ref="CD6" si="70">AT6+BL6+BR6+BX6+BF6</f>
        <v>51.175919807999996</v>
      </c>
      <c r="CE6" s="77">
        <f t="shared" ref="CE6" si="71">AU6+BM6+BS6+BY6+BG6</f>
        <v>47.710883570999997</v>
      </c>
      <c r="CF6" s="57">
        <f t="shared" ref="CF6" si="72">IF(CE6&gt;0,CD6/CE6-1,1)</f>
        <v>7.2625698324022325E-2</v>
      </c>
      <c r="CG6" s="78">
        <f t="shared" ref="CG6" si="73">CD6/AL6</f>
        <v>0.46943765281173594</v>
      </c>
      <c r="CH6" s="75">
        <f t="shared" ref="CH6" si="74">CE6/AM6</f>
        <v>0.77826086956521734</v>
      </c>
      <c r="CI6" s="119">
        <f>(CG6-CH6)*100</f>
        <v>-30.882321675348141</v>
      </c>
      <c r="CJ6" s="85"/>
      <c r="CK6" s="110" t="s">
        <v>72</v>
      </c>
      <c r="CL6" s="99">
        <f>Serviceorderfile_Current!$J556*Serviceorderfile_Current!$U556</f>
        <v>0</v>
      </c>
      <c r="CM6" s="93">
        <f>Serviceorderfile_PREVIOUS!$J556*Serviceorderfile_PREVIOUS!$U556</f>
        <v>0</v>
      </c>
      <c r="CN6" s="57">
        <f t="shared" si="33"/>
        <v>1</v>
      </c>
      <c r="CO6" s="99">
        <f>Serviceorderfile_Current!$J558*Serviceorderfile_Current!$U558</f>
        <v>0</v>
      </c>
      <c r="CP6" s="93">
        <f>Serviceorderfile_PREVIOUS!$J558*Serviceorderfile_PREVIOUS!$U558</f>
        <v>0</v>
      </c>
      <c r="CQ6" s="57">
        <f t="shared" si="34"/>
        <v>1</v>
      </c>
      <c r="CR6" s="99">
        <f>Serviceorderfile_Current!$J557*Serviceorderfile_Current!$U557</f>
        <v>0</v>
      </c>
      <c r="CS6" s="93">
        <f>Serviceorderfile_PREVIOUS!$J557*Serviceorderfile_PREVIOUS!$U557</f>
        <v>0</v>
      </c>
      <c r="CT6" s="57">
        <f t="shared" si="35"/>
        <v>1</v>
      </c>
      <c r="CU6" s="99">
        <f>Serviceorderfile_Current!$J559*Serviceorderfile_Current!$U559</f>
        <v>0</v>
      </c>
      <c r="CV6" s="93">
        <f>Serviceorderfile_PREVIOUS!$J559*Serviceorderfile_PREVIOUS!$U559</f>
        <v>0</v>
      </c>
      <c r="CW6" s="57">
        <f t="shared" si="36"/>
        <v>1</v>
      </c>
      <c r="CX6" s="99">
        <f>Serviceorderfile_Current!$J560*Serviceorderfile_Current!$U560</f>
        <v>0</v>
      </c>
      <c r="CY6" s="93">
        <f>Serviceorderfile_PREVIOUS!$J560*Serviceorderfile_PREVIOUS!$U560</f>
        <v>0</v>
      </c>
      <c r="CZ6" s="57">
        <f t="shared" si="37"/>
        <v>1</v>
      </c>
      <c r="DA6" s="99">
        <f>Serviceorderfile_Current!$J554*Serviceorderfile_Current!$U554</f>
        <v>1.865788743</v>
      </c>
      <c r="DB6" s="93">
        <f>Serviceorderfile_PREVIOUS!$J554*Serviceorderfile_PREVIOUS!$U554</f>
        <v>4.2646599839999997</v>
      </c>
      <c r="DC6" s="57">
        <f t="shared" si="38"/>
        <v>-0.5625</v>
      </c>
      <c r="DD6" s="118">
        <f t="shared" si="62"/>
        <v>1.865788743</v>
      </c>
      <c r="DE6" s="77">
        <f t="shared" si="63"/>
        <v>4.2646599839999997</v>
      </c>
      <c r="DF6" s="57">
        <f t="shared" si="39"/>
        <v>-0.5625</v>
      </c>
      <c r="DG6" s="86"/>
      <c r="DH6" s="110" t="s">
        <v>72</v>
      </c>
      <c r="DI6" s="99">
        <f>Serviceorderfile_Current!$K556*Serviceorderfile_Current!$U556</f>
        <v>0</v>
      </c>
      <c r="DJ6" s="93">
        <f>Serviceorderfile_PREVIOUS!$K556*Serviceorderfile_PREVIOUS!$U556</f>
        <v>0</v>
      </c>
      <c r="DK6" s="57">
        <f t="shared" si="40"/>
        <v>1</v>
      </c>
      <c r="DL6" s="99">
        <f>Serviceorderfile_Current!$K558*Serviceorderfile_Current!$U558</f>
        <v>0</v>
      </c>
      <c r="DM6" s="93">
        <f>Serviceorderfile_PREVIOUS!$K558*Serviceorderfile_PREVIOUS!$U558</f>
        <v>0</v>
      </c>
      <c r="DN6" s="57">
        <f t="shared" si="41"/>
        <v>1</v>
      </c>
      <c r="DO6" s="99">
        <f>Serviceorderfile_Current!$K557*Serviceorderfile_Current!$U557</f>
        <v>0</v>
      </c>
      <c r="DP6" s="93">
        <f>Serviceorderfile_PREVIOUS!$K557*Serviceorderfile_PREVIOUS!$U557</f>
        <v>0</v>
      </c>
      <c r="DQ6" s="57">
        <f t="shared" si="42"/>
        <v>1</v>
      </c>
      <c r="DR6" s="99">
        <f>Serviceorderfile_Current!$K559*Serviceorderfile_Current!$U559</f>
        <v>0</v>
      </c>
      <c r="DS6" s="93">
        <f>Serviceorderfile_PREVIOUS!$K559*Serviceorderfile_PREVIOUS!$U559</f>
        <v>0</v>
      </c>
      <c r="DT6" s="57">
        <f t="shared" si="43"/>
        <v>1</v>
      </c>
      <c r="DU6" s="99">
        <f>Serviceorderfile_Current!$K560*Serviceorderfile_Current!$U560</f>
        <v>0</v>
      </c>
      <c r="DV6" s="93">
        <f>Serviceorderfile_PREVIOUS!$K560*Serviceorderfile_PREVIOUS!$U560</f>
        <v>0</v>
      </c>
      <c r="DW6" s="57">
        <f t="shared" si="44"/>
        <v>1</v>
      </c>
      <c r="DX6" s="99">
        <f>Serviceorderfile_Current!$K554*Serviceorderfile_Current!$U554</f>
        <v>7.4631549719999999</v>
      </c>
      <c r="DY6" s="93">
        <f>Serviceorderfile_PREVIOUS!$K554*Serviceorderfile_PREVIOUS!$U554</f>
        <v>9.3289437149999994</v>
      </c>
      <c r="DZ6" s="57">
        <f t="shared" si="45"/>
        <v>-0.19999999999999996</v>
      </c>
      <c r="EA6" s="118">
        <f t="shared" si="64"/>
        <v>7.4631549719999999</v>
      </c>
      <c r="EB6" s="77">
        <f t="shared" si="65"/>
        <v>9.3289437149999994</v>
      </c>
      <c r="EC6" s="57">
        <f t="shared" si="46"/>
        <v>-0.19999999999999996</v>
      </c>
      <c r="ED6" s="94"/>
      <c r="EE6" s="110" t="s">
        <v>72</v>
      </c>
      <c r="EF6" s="76" t="e">
        <f>Serviceorderfile_Current!$V553</f>
        <v>#DIV/0!</v>
      </c>
      <c r="EG6" s="57">
        <f>Aged!E34</f>
        <v>0</v>
      </c>
      <c r="EH6" s="99">
        <f>Serviceorderfile_Current!$U548*Serviceorderfile_Current!$H548</f>
        <v>0</v>
      </c>
      <c r="EI6" s="93">
        <f>Serviceorderfile_PREVIOUS!$U548*Serviceorderfile_PREVIOUS!$H548</f>
        <v>0</v>
      </c>
      <c r="EJ6" s="57">
        <f t="shared" si="47"/>
        <v>1</v>
      </c>
      <c r="EK6" s="99">
        <f>Serviceorderfile_Current!$U550*Serviceorderfile_Current!$H550</f>
        <v>0</v>
      </c>
      <c r="EL6" s="93">
        <f>Serviceorderfile_PREVIOUS!$U550*Serviceorderfile_PREVIOUS!$H550</f>
        <v>0</v>
      </c>
      <c r="EM6" s="57">
        <f t="shared" si="48"/>
        <v>1</v>
      </c>
      <c r="EN6" s="99">
        <f>Serviceorderfile_Current!$U549*Serviceorderfile_Current!$H549</f>
        <v>0</v>
      </c>
      <c r="EO6" s="93">
        <f>Serviceorderfile_PREVIOUS!$U549*Serviceorderfile_PREVIOUS!$H549</f>
        <v>0</v>
      </c>
      <c r="EP6" s="57">
        <f t="shared" si="49"/>
        <v>1</v>
      </c>
      <c r="EQ6" s="99">
        <f>Serviceorderfile_Current!$U551*Serviceorderfile_Current!$H551</f>
        <v>0</v>
      </c>
      <c r="ER6" s="93">
        <f>Serviceorderfile_PREVIOUS!$U551*Serviceorderfile_PREVIOUS!$H551</f>
        <v>0</v>
      </c>
      <c r="ES6" s="57">
        <f t="shared" si="50"/>
        <v>1</v>
      </c>
      <c r="ET6" s="99">
        <f>Serviceorderfile_Current!$U552*Serviceorderfile_Current!$H552</f>
        <v>0</v>
      </c>
      <c r="EU6" s="93">
        <f>Serviceorderfile_PREVIOUS!$U552*Serviceorderfile_PREVIOUS!$H552</f>
        <v>0</v>
      </c>
      <c r="EV6" s="57">
        <f t="shared" si="51"/>
        <v>1</v>
      </c>
      <c r="EW6" s="84"/>
      <c r="EX6" s="76" t="e">
        <f>Serviceorderfile_Current!$V546</f>
        <v>#DIV/0!</v>
      </c>
      <c r="EY6" s="47">
        <f>Aged!E87</f>
        <v>0</v>
      </c>
      <c r="EZ6" s="99">
        <f>Serviceorderfile_Current!$U550*Serviceorderfile_Current!$H550</f>
        <v>0</v>
      </c>
      <c r="FA6" s="93">
        <f>Serviceorderfile_PREVIOUS!$U550*Serviceorderfile_PREVIOUS!$H550</f>
        <v>0</v>
      </c>
      <c r="FB6" s="57">
        <f t="shared" si="52"/>
        <v>1</v>
      </c>
      <c r="FC6" s="84"/>
      <c r="FD6" s="118">
        <f t="shared" si="66"/>
        <v>0</v>
      </c>
      <c r="FE6" s="77">
        <f t="shared" si="67"/>
        <v>0</v>
      </c>
      <c r="FF6" s="57">
        <f t="shared" ref="FF6:FF18" si="75">IF(FE6&gt;0,FD6/FE6-1,1)</f>
        <v>1</v>
      </c>
      <c r="FG6" s="94"/>
      <c r="FH6" s="84"/>
      <c r="FI6" s="84"/>
      <c r="FJ6" s="84"/>
      <c r="FK6" s="84"/>
      <c r="FL6" s="84"/>
      <c r="FM6" s="84"/>
      <c r="FN6" s="84"/>
      <c r="FO6" s="84"/>
      <c r="FP6" s="84"/>
      <c r="FQ6" s="84"/>
      <c r="FR6" s="84"/>
      <c r="FS6" s="84"/>
      <c r="FT6" s="84"/>
      <c r="FU6" s="84"/>
      <c r="FV6" s="84"/>
      <c r="FW6" s="84"/>
      <c r="FX6" s="84"/>
    </row>
    <row r="7" spans="1:180" s="63" customFormat="1" ht="12" customHeight="1" outlineLevel="1" x14ac:dyDescent="0.25">
      <c r="A7" s="110" t="s">
        <v>34</v>
      </c>
      <c r="B7" s="99">
        <f>Serviceorderfile_Current!$W692</f>
        <v>340.90625747099995</v>
      </c>
      <c r="C7" s="93">
        <f>Serviceorderfile_PREVIOUS!$W692</f>
        <v>605.04863522999995</v>
      </c>
      <c r="D7" s="57">
        <f t="shared" si="0"/>
        <v>-0.43656387665198237</v>
      </c>
      <c r="E7" s="93">
        <f>'YOY Orders'!$J31</f>
        <v>715.39671231599993</v>
      </c>
      <c r="F7" s="93">
        <f>'YOY Orders'!$B31</f>
        <v>959.28195515099992</v>
      </c>
      <c r="G7" s="57">
        <f t="shared" si="1"/>
        <v>-0.25423728813559321</v>
      </c>
      <c r="H7" s="99">
        <f>Serviceorderfile_Current!$W694</f>
        <v>711.66513482999994</v>
      </c>
      <c r="I7" s="93">
        <f>Serviceorderfile_PREVIOUS!$W694</f>
        <v>425.66637465299999</v>
      </c>
      <c r="J7" s="57">
        <f t="shared" si="2"/>
        <v>0.67188478396994356</v>
      </c>
      <c r="K7" s="93">
        <f>'YOY Orders'!$K31</f>
        <v>872.12296672799994</v>
      </c>
      <c r="L7" s="93">
        <f>'YOY Orders'!$C31</f>
        <v>-15.459392441999999</v>
      </c>
      <c r="M7" s="57">
        <f t="shared" si="3"/>
        <v>1</v>
      </c>
      <c r="N7" s="99">
        <f>Serviceorderfile_Current!$W693</f>
        <v>1622.7031239119999</v>
      </c>
      <c r="O7" s="93">
        <f>Serviceorderfile_PREVIOUS!$W693</f>
        <v>1665.083182503</v>
      </c>
      <c r="P7" s="57">
        <f t="shared" si="4"/>
        <v>-2.5452217064190874E-2</v>
      </c>
      <c r="Q7" s="93">
        <f>'YOY Orders'!$O31</f>
        <v>2779.2256033229996</v>
      </c>
      <c r="R7" s="93">
        <f>'YOY Orders'!$G31</f>
        <v>2229.0844653869999</v>
      </c>
      <c r="S7" s="57">
        <f t="shared" si="5"/>
        <v>0.2468013870620589</v>
      </c>
      <c r="T7" s="99">
        <f>Serviceorderfile_Current!$W695</f>
        <v>557.07121040999994</v>
      </c>
      <c r="U7" s="93">
        <f>Serviceorderfile_PREVIOUS!$W695</f>
        <v>493.63439314799996</v>
      </c>
      <c r="V7" s="57">
        <f t="shared" si="6"/>
        <v>0.12850971922246224</v>
      </c>
      <c r="W7" s="93">
        <f>'YOY Orders'!$L31</f>
        <v>614.64412019399992</v>
      </c>
      <c r="X7" s="93">
        <f>'YOY Orders'!$D31</f>
        <v>391.01601228299995</v>
      </c>
      <c r="Y7" s="57">
        <f t="shared" si="7"/>
        <v>0.57191547375596463</v>
      </c>
      <c r="Z7" s="99">
        <f>Serviceorderfile_Current!$W696</f>
        <v>63.969899759999997</v>
      </c>
      <c r="AA7" s="93">
        <f>Serviceorderfile_PREVIOUS!$W696</f>
        <v>103.41800461199999</v>
      </c>
      <c r="AB7" s="57">
        <f t="shared" si="8"/>
        <v>-0.38144329896907214</v>
      </c>
      <c r="AC7" s="93">
        <f>'YOY Orders'!$N31</f>
        <v>93.822519647999997</v>
      </c>
      <c r="AD7" s="93">
        <f>'YOY Orders'!$F31</f>
        <v>124.47476328299999</v>
      </c>
      <c r="AE7" s="57">
        <f t="shared" si="9"/>
        <v>-0.24625267665952888</v>
      </c>
      <c r="AF7" s="99">
        <f>Serviceorderfile_Current!$W690</f>
        <v>0</v>
      </c>
      <c r="AG7" s="93">
        <f>Serviceorderfile_PREVIOUS!$W690</f>
        <v>0</v>
      </c>
      <c r="AH7" s="57">
        <f t="shared" si="10"/>
        <v>1</v>
      </c>
      <c r="AI7" s="93">
        <f>'YOY Orders'!$M31</f>
        <v>0</v>
      </c>
      <c r="AJ7" s="93">
        <f>'YOY Orders'!$E31</f>
        <v>0</v>
      </c>
      <c r="AK7" s="57">
        <f t="shared" si="11"/>
        <v>1</v>
      </c>
      <c r="AL7" s="116">
        <f t="shared" si="54"/>
        <v>3296.3156263829997</v>
      </c>
      <c r="AM7" s="56">
        <f t="shared" si="55"/>
        <v>3292.8505901459998</v>
      </c>
      <c r="AN7" s="57">
        <f t="shared" si="12"/>
        <v>1.0522907560304162E-3</v>
      </c>
      <c r="AO7" s="116">
        <f t="shared" si="56"/>
        <v>5075.2119222089987</v>
      </c>
      <c r="AP7" s="56">
        <f t="shared" si="57"/>
        <v>3688.3978036619997</v>
      </c>
      <c r="AQ7" s="57">
        <f t="shared" si="13"/>
        <v>0.37599364069952279</v>
      </c>
      <c r="AR7" s="72"/>
      <c r="AS7" s="110" t="s">
        <v>34</v>
      </c>
      <c r="AT7" s="99">
        <f>Serviceorderfile_Current!$I692*Serviceorderfile_Current!$U692</f>
        <v>139.13453197799998</v>
      </c>
      <c r="AU7" s="93">
        <f>Serviceorderfile_PREVIOUS!$I692*Serviceorderfile_PREVIOUS!$U692</f>
        <v>246.55065532499998</v>
      </c>
      <c r="AV7" s="57">
        <f t="shared" si="14"/>
        <v>-0.43567567567567567</v>
      </c>
      <c r="AW7" s="78">
        <f t="shared" si="15"/>
        <v>0.40813135261923378</v>
      </c>
      <c r="AX7" s="75">
        <f t="shared" si="16"/>
        <v>0.40748898678414097</v>
      </c>
      <c r="AY7" s="119">
        <f t="shared" ref="AY7:AY45" si="76">(AW7-AX7)*100</f>
        <v>6.4236583509280631E-2</v>
      </c>
      <c r="AZ7" s="99">
        <f>Serviceorderfile_Current!$I694*Serviceorderfile_Current!$U694</f>
        <v>142.59956821499998</v>
      </c>
      <c r="BA7" s="93">
        <f>Serviceorderfile_PREVIOUS!$I694*Serviceorderfile_PREVIOUS!$U694</f>
        <v>269.47320273899999</v>
      </c>
      <c r="BB7" s="57">
        <f t="shared" si="17"/>
        <v>-0.4708209693372899</v>
      </c>
      <c r="BC7" s="78">
        <f t="shared" si="18"/>
        <v>0.20037453183520598</v>
      </c>
      <c r="BD7" s="75">
        <f t="shared" si="19"/>
        <v>0.63306199123356288</v>
      </c>
      <c r="BE7" s="119">
        <f t="shared" ref="BE7:BE10" si="77">(BC7-BD7)*100</f>
        <v>-43.268745939835689</v>
      </c>
      <c r="BF7" s="99">
        <f>Serviceorderfile_Current!$I693*Serviceorderfile_Current!$U693</f>
        <v>526.152425526</v>
      </c>
      <c r="BG7" s="93">
        <f>Serviceorderfile_PREVIOUS!$I693*Serviceorderfile_PREVIOUS!$U693</f>
        <v>621.04111016999991</v>
      </c>
      <c r="BH7" s="57">
        <f t="shared" si="20"/>
        <v>-0.15278969957081534</v>
      </c>
      <c r="BI7" s="78">
        <f t="shared" si="21"/>
        <v>0.32424441524310121</v>
      </c>
      <c r="BJ7" s="75">
        <f t="shared" si="22"/>
        <v>0.37297902993436843</v>
      </c>
      <c r="BK7" s="119">
        <f t="shared" ref="BK7:BK18" si="78">(BI7-BJ7)*100</f>
        <v>-4.8734614691267222</v>
      </c>
      <c r="BL7" s="99">
        <f>Serviceorderfile_Current!$I695*Serviceorderfile_Current!$U695</f>
        <v>78.896209704</v>
      </c>
      <c r="BM7" s="93">
        <f>Serviceorderfile_PREVIOUS!$I695*Serviceorderfile_PREVIOUS!$U695</f>
        <v>73.032302225999999</v>
      </c>
      <c r="BN7" s="57">
        <f t="shared" si="23"/>
        <v>8.0291970802919721E-2</v>
      </c>
      <c r="BO7" s="78">
        <f t="shared" si="24"/>
        <v>0.14162679425837321</v>
      </c>
      <c r="BP7" s="75">
        <f t="shared" si="25"/>
        <v>0.14794816414686826</v>
      </c>
      <c r="BQ7" s="119">
        <f t="shared" ref="BQ7:BQ18" si="79">(BO7-BP7)*100</f>
        <v>-0.63213698884950487</v>
      </c>
      <c r="BR7" s="99">
        <f>Serviceorderfile_Current!$I696*Serviceorderfile_Current!$U696</f>
        <v>3.7315774859999999</v>
      </c>
      <c r="BS7" s="93">
        <f>Serviceorderfile_PREVIOUS!$I696*Serviceorderfile_PREVIOUS!$U696</f>
        <v>37.049233610999998</v>
      </c>
      <c r="BT7" s="57">
        <f t="shared" si="26"/>
        <v>-0.89928057553956831</v>
      </c>
      <c r="BU7" s="78">
        <f t="shared" si="27"/>
        <v>5.8333333333333334E-2</v>
      </c>
      <c r="BV7" s="75">
        <f t="shared" si="28"/>
        <v>0.35824742268041238</v>
      </c>
      <c r="BW7" s="119">
        <f t="shared" ref="BW7:BW18" si="80">(BU7-BV7)*100</f>
        <v>-29.991408934707902</v>
      </c>
      <c r="BX7" s="99">
        <f>Serviceorderfile_Current!$I690*Serviceorderfile_Current!$U690</f>
        <v>0</v>
      </c>
      <c r="BY7" s="93">
        <f>Serviceorderfile_PREVIOUS!$I690*Serviceorderfile_PREVIOUS!$U690</f>
        <v>0</v>
      </c>
      <c r="BZ7" s="57">
        <f t="shared" si="29"/>
        <v>1</v>
      </c>
      <c r="CA7" s="78" t="e">
        <f t="shared" si="30"/>
        <v>#DIV/0!</v>
      </c>
      <c r="CB7" s="75" t="e">
        <f t="shared" si="31"/>
        <v>#DIV/0!</v>
      </c>
      <c r="CC7" s="119" t="e">
        <f t="shared" ref="CC7:CC18" si="81">(CA7-CB7)*100</f>
        <v>#DIV/0!</v>
      </c>
      <c r="CD7" s="118">
        <f t="shared" si="58"/>
        <v>747.91474469399998</v>
      </c>
      <c r="CE7" s="77">
        <f>AU7+BM7+BS7+BY7+BG7</f>
        <v>977.67330133199994</v>
      </c>
      <c r="CF7" s="57">
        <f t="shared" si="32"/>
        <v>-0.23500545256270444</v>
      </c>
      <c r="CG7" s="78">
        <f t="shared" ref="CG7:CH7" si="82">CD7/AL7</f>
        <v>0.22689415379639363</v>
      </c>
      <c r="CH7" s="75">
        <f t="shared" si="82"/>
        <v>0.29690788408612595</v>
      </c>
      <c r="CI7" s="119">
        <f t="shared" ref="CI7:CI50" si="83">(CG7-CH7)*100</f>
        <v>-7.0013730289732319</v>
      </c>
      <c r="CJ7" s="85"/>
      <c r="CK7" s="110" t="s">
        <v>34</v>
      </c>
      <c r="CL7" s="99">
        <f>Serviceorderfile_Current!$J692*Serviceorderfile_Current!$U692</f>
        <v>77.03042096099999</v>
      </c>
      <c r="CM7" s="93">
        <f>Serviceorderfile_PREVIOUS!$J692*Serviceorderfile_PREVIOUS!$U692</f>
        <v>55.973662289999993</v>
      </c>
      <c r="CN7" s="57">
        <f t="shared" si="33"/>
        <v>0.37619047619047619</v>
      </c>
      <c r="CO7" s="99">
        <f>Serviceorderfile_Current!$J694*Serviceorderfile_Current!$U694</f>
        <v>84.227034683999989</v>
      </c>
      <c r="CP7" s="93">
        <f>Serviceorderfile_PREVIOUS!$J694*Serviceorderfile_PREVIOUS!$U694</f>
        <v>156.19317191399998</v>
      </c>
      <c r="CQ7" s="57">
        <f t="shared" si="34"/>
        <v>-0.46075085324232079</v>
      </c>
      <c r="CR7" s="99">
        <f>Serviceorderfile_Current!$J693*Serviceorderfile_Current!$U693</f>
        <v>289.996878912</v>
      </c>
      <c r="CS7" s="93">
        <f>Serviceorderfile_PREVIOUS!$J693*Serviceorderfile_PREVIOUS!$U693</f>
        <v>347.30324744699999</v>
      </c>
      <c r="CT7" s="57">
        <f t="shared" si="35"/>
        <v>-0.16500383729854184</v>
      </c>
      <c r="CU7" s="99">
        <f>Serviceorderfile_Current!$J695*Serviceorderfile_Current!$U695</f>
        <v>70.63343098499999</v>
      </c>
      <c r="CV7" s="93">
        <f>Serviceorderfile_PREVIOUS!$J695*Serviceorderfile_PREVIOUS!$U695</f>
        <v>67.701477245999996</v>
      </c>
      <c r="CW7" s="57">
        <f t="shared" si="36"/>
        <v>4.3307086614173151E-2</v>
      </c>
      <c r="CX7" s="99">
        <f>Serviceorderfile_Current!$J696*Serviceorderfile_Current!$U696</f>
        <v>22.122923666999998</v>
      </c>
      <c r="CY7" s="93">
        <f>Serviceorderfile_PREVIOUS!$J696*Serviceorderfile_PREVIOUS!$U696</f>
        <v>28.786454891999998</v>
      </c>
      <c r="CZ7" s="57">
        <f t="shared" si="37"/>
        <v>-0.23148148148148151</v>
      </c>
      <c r="DA7" s="99">
        <f>Serviceorderfile_Current!$J690*Serviceorderfile_Current!$U690</f>
        <v>0</v>
      </c>
      <c r="DB7" s="93">
        <f>Serviceorderfile_PREVIOUS!$J690*Serviceorderfile_PREVIOUS!$U690</f>
        <v>0</v>
      </c>
      <c r="DC7" s="57">
        <f t="shared" si="38"/>
        <v>1</v>
      </c>
      <c r="DD7" s="118">
        <f t="shared" si="62"/>
        <v>544.01068920900002</v>
      </c>
      <c r="DE7" s="77">
        <f t="shared" si="63"/>
        <v>655.95801378900001</v>
      </c>
      <c r="DF7" s="57">
        <f t="shared" si="39"/>
        <v>-0.17066233238520923</v>
      </c>
      <c r="DG7" s="86"/>
      <c r="DH7" s="110" t="s">
        <v>34</v>
      </c>
      <c r="DI7" s="99">
        <f>Serviceorderfile_Current!$K692*Serviceorderfile_Current!$U692</f>
        <v>11.194732457999999</v>
      </c>
      <c r="DJ7" s="93">
        <f>Serviceorderfile_PREVIOUS!$K692*Serviceorderfile_PREVIOUS!$U692</f>
        <v>73.032302225999999</v>
      </c>
      <c r="DK7" s="57">
        <f t="shared" si="40"/>
        <v>-0.84671532846715336</v>
      </c>
      <c r="DL7" s="99">
        <f>Serviceorderfile_Current!$K694*Serviceorderfile_Current!$U694</f>
        <v>264.942001506</v>
      </c>
      <c r="DM7" s="93">
        <f>Serviceorderfile_PREVIOUS!$K694*Serviceorderfile_PREVIOUS!$U694</f>
        <v>0</v>
      </c>
      <c r="DN7" s="57">
        <f t="shared" si="41"/>
        <v>1</v>
      </c>
      <c r="DO7" s="99">
        <f>Serviceorderfile_Current!$K693*Serviceorderfile_Current!$U693</f>
        <v>180.18188432399998</v>
      </c>
      <c r="DP7" s="93">
        <f>Serviceorderfile_PREVIOUS!$K693*Serviceorderfile_PREVIOUS!$U693</f>
        <v>94.355602145999995</v>
      </c>
      <c r="DQ7" s="57">
        <f t="shared" si="42"/>
        <v>0.90960451977401124</v>
      </c>
      <c r="DR7" s="99">
        <f>Serviceorderfile_Current!$K695*Serviceorderfile_Current!$U695</f>
        <v>64.502982257999989</v>
      </c>
      <c r="DS7" s="93">
        <f>Serviceorderfile_PREVIOUS!$K695*Serviceorderfile_PREVIOUS!$U695</f>
        <v>70.899972233999989</v>
      </c>
      <c r="DT7" s="57">
        <f t="shared" si="43"/>
        <v>-9.0225563909774431E-2</v>
      </c>
      <c r="DU7" s="99">
        <f>Serviceorderfile_Current!$K696*Serviceorderfile_Current!$U696</f>
        <v>5.8639074779999998</v>
      </c>
      <c r="DV7" s="93">
        <f>Serviceorderfile_PREVIOUS!$K696*Serviceorderfile_PREVIOUS!$U696</f>
        <v>9.3289437149999994</v>
      </c>
      <c r="DW7" s="57">
        <f t="shared" si="44"/>
        <v>-0.37142857142857144</v>
      </c>
      <c r="DX7" s="99">
        <f>Serviceorderfile_Current!$K690*Serviceorderfile_Current!$U690</f>
        <v>0</v>
      </c>
      <c r="DY7" s="93">
        <f>Serviceorderfile_PREVIOUS!$K690*Serviceorderfile_PREVIOUS!$U690</f>
        <v>0</v>
      </c>
      <c r="DZ7" s="57">
        <f t="shared" si="45"/>
        <v>1</v>
      </c>
      <c r="EA7" s="118">
        <f t="shared" si="64"/>
        <v>526.68550802399989</v>
      </c>
      <c r="EB7" s="77">
        <f t="shared" si="65"/>
        <v>247.61682032099998</v>
      </c>
      <c r="EC7" s="57">
        <f t="shared" si="46"/>
        <v>1.1270182992465014</v>
      </c>
      <c r="ED7" s="94"/>
      <c r="EE7" s="110" t="s">
        <v>34</v>
      </c>
      <c r="EF7" s="76">
        <f>Serviceorderfile_Current!$V689</f>
        <v>0.98257667192770715</v>
      </c>
      <c r="EG7" s="57">
        <f>Aged!E42</f>
        <v>0.97</v>
      </c>
      <c r="EH7" s="99">
        <f>Serviceorderfile_Current!$U684*Serviceorderfile_Current!$H684</f>
        <v>308.92130759099996</v>
      </c>
      <c r="EI7" s="93">
        <f>Serviceorderfile_PREVIOUS!$U684*Serviceorderfile_PREVIOUS!$H684</f>
        <v>630.103512636</v>
      </c>
      <c r="EJ7" s="57">
        <f t="shared" si="47"/>
        <v>-0.50972927241962784</v>
      </c>
      <c r="EK7" s="99">
        <f>Serviceorderfile_Current!$U686*Serviceorderfile_Current!$H686</f>
        <v>1401.4738872419998</v>
      </c>
      <c r="EL7" s="93">
        <f>Serviceorderfile_PREVIOUS!$U686*Serviceorderfile_PREVIOUS!$H686</f>
        <v>868.39138924199995</v>
      </c>
      <c r="EM7" s="57">
        <f t="shared" si="48"/>
        <v>0.61387354205033762</v>
      </c>
      <c r="EN7" s="99">
        <f>Serviceorderfile_Current!$U685*Serviceorderfile_Current!$H685</f>
        <v>6838.3822843439993</v>
      </c>
      <c r="EO7" s="93">
        <f>Serviceorderfile_PREVIOUS!$U685*Serviceorderfile_PREVIOUS!$H685</f>
        <v>2955.6759101609996</v>
      </c>
      <c r="EP7" s="57">
        <f t="shared" si="49"/>
        <v>1.313644151862206</v>
      </c>
      <c r="EQ7" s="99">
        <f>Serviceorderfile_Current!$U687*Serviceorderfile_Current!$H687</f>
        <v>63.969899759999997</v>
      </c>
      <c r="ER7" s="93">
        <f>Serviceorderfile_PREVIOUS!$U687*Serviceorderfile_PREVIOUS!$H687</f>
        <v>410.20698221099997</v>
      </c>
      <c r="ES7" s="57">
        <f t="shared" si="50"/>
        <v>-0.84405458089668617</v>
      </c>
      <c r="ET7" s="99">
        <f>Serviceorderfile_Current!$U688*Serviceorderfile_Current!$H688</f>
        <v>391.81563602999995</v>
      </c>
      <c r="EU7" s="93">
        <f>Serviceorderfile_PREVIOUS!$U688*Serviceorderfile_PREVIOUS!$H688</f>
        <v>0</v>
      </c>
      <c r="EV7" s="57">
        <f t="shared" si="51"/>
        <v>1</v>
      </c>
      <c r="EW7" s="84"/>
      <c r="EX7" s="76" t="e">
        <f>Serviceorderfile_Current!$V682</f>
        <v>#DIV/0!</v>
      </c>
      <c r="EY7" s="47">
        <f>Aged!E95</f>
        <v>0</v>
      </c>
      <c r="EZ7" s="99">
        <f>Serviceorderfile_Current!$U686*Serviceorderfile_Current!$H686</f>
        <v>1401.4738872419998</v>
      </c>
      <c r="FA7" s="93">
        <f>Serviceorderfile_PREVIOUS!$U686*Serviceorderfile_PREVIOUS!$H686</f>
        <v>868.39138924199995</v>
      </c>
      <c r="FB7" s="57">
        <f t="shared" si="52"/>
        <v>0.61387354205033762</v>
      </c>
      <c r="FC7" s="84"/>
      <c r="FD7" s="118">
        <f t="shared" si="66"/>
        <v>10406.036902208998</v>
      </c>
      <c r="FE7" s="77">
        <f t="shared" si="67"/>
        <v>5732.7691834919997</v>
      </c>
      <c r="FF7" s="57">
        <f t="shared" si="75"/>
        <v>0.81518504742421394</v>
      </c>
      <c r="FG7" s="94"/>
      <c r="FH7" s="84"/>
      <c r="FI7" s="84"/>
      <c r="FJ7" s="84"/>
      <c r="FK7" s="84"/>
      <c r="FL7" s="84"/>
      <c r="FM7" s="84"/>
      <c r="FN7" s="84"/>
      <c r="FO7" s="84"/>
      <c r="FP7" s="84"/>
      <c r="FQ7" s="84"/>
      <c r="FR7" s="84"/>
      <c r="FS7" s="84"/>
      <c r="FT7" s="84"/>
      <c r="FU7" s="84"/>
      <c r="FV7" s="84"/>
      <c r="FW7" s="84"/>
      <c r="FX7" s="84"/>
    </row>
    <row r="8" spans="1:180" s="63" customFormat="1" ht="12" customHeight="1" outlineLevel="1" x14ac:dyDescent="0.25">
      <c r="A8" s="110" t="s">
        <v>83</v>
      </c>
      <c r="B8" s="99">
        <f>Serviceorderfile_Current!$W573</f>
        <v>5</v>
      </c>
      <c r="C8" s="93">
        <f>Serviceorderfile_PREVIOUS!$W573</f>
        <v>19</v>
      </c>
      <c r="D8" s="57">
        <f t="shared" si="0"/>
        <v>-0.73684210526315796</v>
      </c>
      <c r="E8" s="93">
        <f>'YOY Orders'!$J40</f>
        <v>-12</v>
      </c>
      <c r="F8" s="93">
        <f>'YOY Orders'!$B40</f>
        <v>60</v>
      </c>
      <c r="G8" s="57">
        <f t="shared" si="1"/>
        <v>-1.2</v>
      </c>
      <c r="H8" s="99">
        <f>Serviceorderfile_Current!$W575</f>
        <v>65</v>
      </c>
      <c r="I8" s="93">
        <f>Serviceorderfile_PREVIOUS!$W575</f>
        <v>34</v>
      </c>
      <c r="J8" s="57">
        <f t="shared" si="2"/>
        <v>0.91176470588235303</v>
      </c>
      <c r="K8" s="93">
        <f>'YOY Orders'!$K40</f>
        <v>92</v>
      </c>
      <c r="L8" s="93">
        <f>'YOY Orders'!$C40</f>
        <v>78</v>
      </c>
      <c r="M8" s="57">
        <f t="shared" si="3"/>
        <v>0.17948717948717952</v>
      </c>
      <c r="N8" s="99">
        <f>Serviceorderfile_Current!$W574</f>
        <v>76</v>
      </c>
      <c r="O8" s="93">
        <f>Serviceorderfile_PREVIOUS!$W574</f>
        <v>151</v>
      </c>
      <c r="P8" s="57">
        <f t="shared" si="4"/>
        <v>-0.49668874172185429</v>
      </c>
      <c r="Q8" s="93">
        <f>'YOY Orders'!$O40</f>
        <v>38</v>
      </c>
      <c r="R8" s="93">
        <f>'YOY Orders'!$G40</f>
        <v>249</v>
      </c>
      <c r="S8" s="57">
        <f t="shared" si="5"/>
        <v>-0.84738955823293172</v>
      </c>
      <c r="T8" s="99">
        <f>Serviceorderfile_Current!$W576</f>
        <v>12</v>
      </c>
      <c r="U8" s="93">
        <f>Serviceorderfile_PREVIOUS!$W576</f>
        <v>49</v>
      </c>
      <c r="V8" s="57">
        <f t="shared" si="6"/>
        <v>-0.75510204081632648</v>
      </c>
      <c r="W8" s="93">
        <f>'YOY Orders'!$L40</f>
        <v>5</v>
      </c>
      <c r="X8" s="93">
        <f>'YOY Orders'!$D40</f>
        <v>46</v>
      </c>
      <c r="Y8" s="57">
        <f t="shared" si="7"/>
        <v>-0.89130434782608692</v>
      </c>
      <c r="Z8" s="99">
        <f>Serviceorderfile_Current!$W577</f>
        <v>47</v>
      </c>
      <c r="AA8" s="93">
        <f>Serviceorderfile_PREVIOUS!$W577</f>
        <v>36</v>
      </c>
      <c r="AB8" s="57">
        <f t="shared" si="8"/>
        <v>0.30555555555555558</v>
      </c>
      <c r="AC8" s="93">
        <f>'YOY Orders'!$N40</f>
        <v>17</v>
      </c>
      <c r="AD8" s="93">
        <f>'YOY Orders'!$F40</f>
        <v>0</v>
      </c>
      <c r="AE8" s="57">
        <f t="shared" si="9"/>
        <v>1</v>
      </c>
      <c r="AF8" s="99">
        <f>Serviceorderfile_Current!$W571</f>
        <v>220</v>
      </c>
      <c r="AG8" s="93">
        <f>Serviceorderfile_PREVIOUS!$W571</f>
        <v>315</v>
      </c>
      <c r="AH8" s="57">
        <f t="shared" si="10"/>
        <v>-0.30158730158730163</v>
      </c>
      <c r="AI8" s="93">
        <f>'YOY Orders'!$M40</f>
        <v>269</v>
      </c>
      <c r="AJ8" s="93">
        <f>'YOY Orders'!$E40</f>
        <v>244</v>
      </c>
      <c r="AK8" s="57">
        <f t="shared" si="11"/>
        <v>0.10245901639344268</v>
      </c>
      <c r="AL8" s="116">
        <f t="shared" si="54"/>
        <v>425</v>
      </c>
      <c r="AM8" s="56">
        <f t="shared" si="55"/>
        <v>604</v>
      </c>
      <c r="AN8" s="57">
        <f t="shared" si="12"/>
        <v>-0.29635761589403975</v>
      </c>
      <c r="AO8" s="116">
        <f t="shared" si="56"/>
        <v>409</v>
      </c>
      <c r="AP8" s="56">
        <f t="shared" si="57"/>
        <v>677</v>
      </c>
      <c r="AQ8" s="57">
        <f t="shared" si="13"/>
        <v>-0.395864106351551</v>
      </c>
      <c r="AR8" s="72"/>
      <c r="AS8" s="110" t="s">
        <v>83</v>
      </c>
      <c r="AT8" s="99">
        <f>Serviceorderfile_Current!$I573*Serviceorderfile_Current!$U573</f>
        <v>0</v>
      </c>
      <c r="AU8" s="93">
        <f>Serviceorderfile_PREVIOUS!$I573*Serviceorderfile_PREVIOUS!$U573</f>
        <v>19</v>
      </c>
      <c r="AV8" s="57">
        <f t="shared" si="14"/>
        <v>-1</v>
      </c>
      <c r="AW8" s="78">
        <f t="shared" ref="AW8:AW18" si="84">AT8/B8</f>
        <v>0</v>
      </c>
      <c r="AX8" s="75">
        <f t="shared" ref="AX8:AX18" si="85">AU8/C8</f>
        <v>1</v>
      </c>
      <c r="AY8" s="119">
        <f t="shared" ref="AY8:AY18" si="86">(AW8-AX8)*100</f>
        <v>-100</v>
      </c>
      <c r="AZ8" s="99">
        <f>Serviceorderfile_Current!$I575*Serviceorderfile_Current!$U575</f>
        <v>3</v>
      </c>
      <c r="BA8" s="93">
        <f>Serviceorderfile_PREVIOUS!$I575*Serviceorderfile_PREVIOUS!$U575</f>
        <v>16</v>
      </c>
      <c r="BB8" s="57">
        <f t="shared" si="17"/>
        <v>-0.8125</v>
      </c>
      <c r="BC8" s="78">
        <f t="shared" si="18"/>
        <v>4.6153846153846156E-2</v>
      </c>
      <c r="BD8" s="75">
        <f t="shared" si="19"/>
        <v>0.47058823529411764</v>
      </c>
      <c r="BE8" s="119">
        <f t="shared" si="77"/>
        <v>-42.443438914027148</v>
      </c>
      <c r="BF8" s="99">
        <f>Serviceorderfile_Current!$I574*Serviceorderfile_Current!$U574</f>
        <v>7</v>
      </c>
      <c r="BG8" s="93">
        <f>Serviceorderfile_PREVIOUS!$I574*Serviceorderfile_PREVIOUS!$U574</f>
        <v>41</v>
      </c>
      <c r="BH8" s="57">
        <f t="shared" si="20"/>
        <v>-0.82926829268292679</v>
      </c>
      <c r="BI8" s="78">
        <f t="shared" si="21"/>
        <v>9.2105263157894732E-2</v>
      </c>
      <c r="BJ8" s="75">
        <f t="shared" si="22"/>
        <v>0.27152317880794702</v>
      </c>
      <c r="BK8" s="119">
        <f t="shared" si="78"/>
        <v>-17.941791565005229</v>
      </c>
      <c r="BL8" s="99">
        <f>Serviceorderfile_Current!$I576*Serviceorderfile_Current!$U576</f>
        <v>1</v>
      </c>
      <c r="BM8" s="93">
        <f>Serviceorderfile_PREVIOUS!$I576*Serviceorderfile_PREVIOUS!$U576</f>
        <v>5</v>
      </c>
      <c r="BN8" s="57">
        <f t="shared" si="23"/>
        <v>-0.8</v>
      </c>
      <c r="BO8" s="78">
        <f t="shared" si="24"/>
        <v>8.3333333333333329E-2</v>
      </c>
      <c r="BP8" s="75">
        <f t="shared" si="25"/>
        <v>0.10204081632653061</v>
      </c>
      <c r="BQ8" s="119">
        <f t="shared" si="79"/>
        <v>-1.8707482993197286</v>
      </c>
      <c r="BR8" s="99">
        <f>Serviceorderfile_Current!$I577*Serviceorderfile_Current!$U577</f>
        <v>5</v>
      </c>
      <c r="BS8" s="93">
        <f>Serviceorderfile_PREVIOUS!$I577*Serviceorderfile_PREVIOUS!$U577</f>
        <v>0</v>
      </c>
      <c r="BT8" s="57">
        <f t="shared" si="26"/>
        <v>1</v>
      </c>
      <c r="BU8" s="78">
        <f t="shared" si="27"/>
        <v>0.10638297872340426</v>
      </c>
      <c r="BV8" s="75">
        <f t="shared" si="28"/>
        <v>0</v>
      </c>
      <c r="BW8" s="119">
        <f t="shared" si="80"/>
        <v>10.638297872340425</v>
      </c>
      <c r="BX8" s="99">
        <f>Serviceorderfile_Current!$I571*Serviceorderfile_Current!$U571</f>
        <v>44</v>
      </c>
      <c r="BY8" s="93">
        <f>Serviceorderfile_PREVIOUS!$I571*Serviceorderfile_PREVIOUS!$U571</f>
        <v>45</v>
      </c>
      <c r="BZ8" s="57">
        <f t="shared" si="29"/>
        <v>-2.2222222222222254E-2</v>
      </c>
      <c r="CA8" s="78">
        <f t="shared" si="30"/>
        <v>0.2</v>
      </c>
      <c r="CB8" s="75">
        <f t="shared" si="31"/>
        <v>0.14285714285714285</v>
      </c>
      <c r="CC8" s="119">
        <f t="shared" si="81"/>
        <v>5.7142857142857162</v>
      </c>
      <c r="CD8" s="118">
        <f t="shared" ref="CD8:CD17" si="87">AT8+BL8+BR8+BX8+BF8</f>
        <v>57</v>
      </c>
      <c r="CE8" s="77">
        <f t="shared" ref="CE8:CE17" si="88">AU8+BM8+BS8+BY8+BG8</f>
        <v>110</v>
      </c>
      <c r="CF8" s="57">
        <f t="shared" ref="CF8:CF17" si="89">IF(CE8&gt;0,CD8/CE8-1,1)</f>
        <v>-0.48181818181818181</v>
      </c>
      <c r="CG8" s="78">
        <f t="shared" ref="CG8:CG17" si="90">CD8/AL8</f>
        <v>0.13411764705882354</v>
      </c>
      <c r="CH8" s="75">
        <f t="shared" ref="CH8:CH17" si="91">CE8/AM8</f>
        <v>0.18211920529801323</v>
      </c>
      <c r="CI8" s="119">
        <f t="shared" ref="CI8:CI17" si="92">(CG8-CH8)*100</f>
        <v>-4.8001558239189697</v>
      </c>
      <c r="CJ8" s="85"/>
      <c r="CK8" s="110" t="s">
        <v>83</v>
      </c>
      <c r="CL8" s="99">
        <f>Serviceorderfile_Current!$J573*Serviceorderfile_Current!$U573</f>
        <v>4</v>
      </c>
      <c r="CM8" s="93">
        <f>Serviceorderfile_PREVIOUS!$J573*Serviceorderfile_PREVIOUS!$U573</f>
        <v>0</v>
      </c>
      <c r="CN8" s="57">
        <f t="shared" si="33"/>
        <v>1</v>
      </c>
      <c r="CO8" s="99">
        <f>Serviceorderfile_Current!$J575*Serviceorderfile_Current!$U575</f>
        <v>15</v>
      </c>
      <c r="CP8" s="93">
        <f>Serviceorderfile_PREVIOUS!$J575*Serviceorderfile_PREVIOUS!$U575</f>
        <v>0</v>
      </c>
      <c r="CQ8" s="57">
        <f t="shared" si="34"/>
        <v>1</v>
      </c>
      <c r="CR8" s="99">
        <f>Serviceorderfile_Current!$J574*Serviceorderfile_Current!$U574</f>
        <v>7</v>
      </c>
      <c r="CS8" s="93">
        <f>Serviceorderfile_PREVIOUS!$J574*Serviceorderfile_PREVIOUS!$U574</f>
        <v>16</v>
      </c>
      <c r="CT8" s="57">
        <f t="shared" si="35"/>
        <v>-0.5625</v>
      </c>
      <c r="CU8" s="99">
        <f>Serviceorderfile_Current!$J576*Serviceorderfile_Current!$U576</f>
        <v>1</v>
      </c>
      <c r="CV8" s="93">
        <f>Serviceorderfile_PREVIOUS!$J576*Serviceorderfile_PREVIOUS!$U576</f>
        <v>5</v>
      </c>
      <c r="CW8" s="57">
        <f t="shared" si="36"/>
        <v>-0.8</v>
      </c>
      <c r="CX8" s="99">
        <f>Serviceorderfile_Current!$J577*Serviceorderfile_Current!$U577</f>
        <v>6</v>
      </c>
      <c r="CY8" s="93">
        <f>Serviceorderfile_PREVIOUS!$J577*Serviceorderfile_PREVIOUS!$U577</f>
        <v>0</v>
      </c>
      <c r="CZ8" s="57">
        <f t="shared" si="37"/>
        <v>1</v>
      </c>
      <c r="DA8" s="99">
        <f>Serviceorderfile_Current!$J571*Serviceorderfile_Current!$U571</f>
        <v>72</v>
      </c>
      <c r="DB8" s="93">
        <f>Serviceorderfile_PREVIOUS!$J571*Serviceorderfile_PREVIOUS!$U571</f>
        <v>200</v>
      </c>
      <c r="DC8" s="57">
        <f t="shared" si="38"/>
        <v>-0.64</v>
      </c>
      <c r="DD8" s="118">
        <f t="shared" si="62"/>
        <v>105</v>
      </c>
      <c r="DE8" s="77">
        <f t="shared" si="63"/>
        <v>221</v>
      </c>
      <c r="DF8" s="57">
        <f t="shared" si="39"/>
        <v>-0.52488687782805432</v>
      </c>
      <c r="DG8" s="86"/>
      <c r="DH8" s="110" t="s">
        <v>83</v>
      </c>
      <c r="DI8" s="99">
        <f>Serviceorderfile_Current!$K573*Serviceorderfile_Current!$U573</f>
        <v>0</v>
      </c>
      <c r="DJ8" s="93">
        <f>Serviceorderfile_PREVIOUS!$K573*Serviceorderfile_PREVIOUS!$U573</f>
        <v>0</v>
      </c>
      <c r="DK8" s="57">
        <f t="shared" si="40"/>
        <v>1</v>
      </c>
      <c r="DL8" s="99">
        <f>Serviceorderfile_Current!$K575*Serviceorderfile_Current!$U575</f>
        <v>5</v>
      </c>
      <c r="DM8" s="93">
        <f>Serviceorderfile_PREVIOUS!$K575*Serviceorderfile_PREVIOUS!$U575</f>
        <v>0</v>
      </c>
      <c r="DN8" s="57">
        <f t="shared" si="41"/>
        <v>1</v>
      </c>
      <c r="DO8" s="99">
        <f>Serviceorderfile_Current!$K574*Serviceorderfile_Current!$U574</f>
        <v>7</v>
      </c>
      <c r="DP8" s="93">
        <f>Serviceorderfile_PREVIOUS!$K574*Serviceorderfile_PREVIOUS!$U574</f>
        <v>16</v>
      </c>
      <c r="DQ8" s="57">
        <f t="shared" si="42"/>
        <v>-0.5625</v>
      </c>
      <c r="DR8" s="99">
        <f>Serviceorderfile_Current!$K576*Serviceorderfile_Current!$U576</f>
        <v>1</v>
      </c>
      <c r="DS8" s="93">
        <f>Serviceorderfile_PREVIOUS!$K576*Serviceorderfile_PREVIOUS!$U576</f>
        <v>5</v>
      </c>
      <c r="DT8" s="57">
        <f t="shared" si="43"/>
        <v>-0.8</v>
      </c>
      <c r="DU8" s="99">
        <f>Serviceorderfile_Current!$K577*Serviceorderfile_Current!$U577</f>
        <v>0</v>
      </c>
      <c r="DV8" s="93">
        <f>Serviceorderfile_PREVIOUS!$K577*Serviceorderfile_PREVIOUS!$U577</f>
        <v>0</v>
      </c>
      <c r="DW8" s="57">
        <f t="shared" si="44"/>
        <v>1</v>
      </c>
      <c r="DX8" s="99">
        <f>Serviceorderfile_Current!$K571*Serviceorderfile_Current!$U571</f>
        <v>15</v>
      </c>
      <c r="DY8" s="93">
        <f>Serviceorderfile_PREVIOUS!$K571*Serviceorderfile_PREVIOUS!$U571</f>
        <v>60</v>
      </c>
      <c r="DZ8" s="57">
        <f t="shared" si="45"/>
        <v>-0.75</v>
      </c>
      <c r="EA8" s="118">
        <f t="shared" si="64"/>
        <v>28</v>
      </c>
      <c r="EB8" s="77">
        <f t="shared" si="65"/>
        <v>81</v>
      </c>
      <c r="EC8" s="57">
        <f t="shared" si="46"/>
        <v>-0.65432098765432101</v>
      </c>
      <c r="ED8" s="94"/>
      <c r="EE8" s="110" t="s">
        <v>83</v>
      </c>
      <c r="EF8" s="76">
        <f>Serviceorderfile_Current!$V570</f>
        <v>1</v>
      </c>
      <c r="EG8" s="57">
        <f>Aged!E35</f>
        <v>1</v>
      </c>
      <c r="EH8" s="99">
        <f>Serviceorderfile_Current!$U565*Serviceorderfile_Current!$H565</f>
        <v>735</v>
      </c>
      <c r="EI8" s="93">
        <f>Serviceorderfile_PREVIOUS!$U565*Serviceorderfile_PREVIOUS!$H565</f>
        <v>800</v>
      </c>
      <c r="EJ8" s="57">
        <f t="shared" si="47"/>
        <v>-8.1250000000000044E-2</v>
      </c>
      <c r="EK8" s="99">
        <f>Serviceorderfile_Current!$U567*Serviceorderfile_Current!$H567</f>
        <v>297</v>
      </c>
      <c r="EL8" s="93">
        <f>Serviceorderfile_PREVIOUS!$U567*Serviceorderfile_PREVIOUS!$H567</f>
        <v>267</v>
      </c>
      <c r="EM8" s="57">
        <f t="shared" si="48"/>
        <v>0.11235955056179781</v>
      </c>
      <c r="EN8" s="99">
        <f>Serviceorderfile_Current!$U566*Serviceorderfile_Current!$H566</f>
        <v>301</v>
      </c>
      <c r="EO8" s="93">
        <f>Serviceorderfile_PREVIOUS!$U566*Serviceorderfile_PREVIOUS!$H566</f>
        <v>289</v>
      </c>
      <c r="EP8" s="57">
        <f t="shared" si="49"/>
        <v>4.1522491349480939E-2</v>
      </c>
      <c r="EQ8" s="99">
        <f>Serviceorderfile_Current!$U568*Serviceorderfile_Current!$H568</f>
        <v>182</v>
      </c>
      <c r="ER8" s="93">
        <f>Serviceorderfile_PREVIOUS!$U568*Serviceorderfile_PREVIOUS!$H568</f>
        <v>67</v>
      </c>
      <c r="ES8" s="57">
        <f t="shared" si="50"/>
        <v>1.716417910447761</v>
      </c>
      <c r="ET8" s="99">
        <f>Serviceorderfile_Current!$U569*Serviceorderfile_Current!$H569</f>
        <v>0</v>
      </c>
      <c r="EU8" s="93">
        <f>Serviceorderfile_PREVIOUS!$U569*Serviceorderfile_PREVIOUS!$H569</f>
        <v>0</v>
      </c>
      <c r="EV8" s="57">
        <f t="shared" si="51"/>
        <v>1</v>
      </c>
      <c r="EW8" s="84"/>
      <c r="EX8" s="76">
        <f>Serviceorderfile_Current!$V563</f>
        <v>1</v>
      </c>
      <c r="EY8" s="47">
        <f>Aged!E88</f>
        <v>0.61</v>
      </c>
      <c r="EZ8" s="99">
        <f>Serviceorderfile_Current!$U567*Serviceorderfile_Current!$H567</f>
        <v>297</v>
      </c>
      <c r="FA8" s="93">
        <f>Serviceorderfile_PREVIOUS!$U567*Serviceorderfile_PREVIOUS!$H567</f>
        <v>267</v>
      </c>
      <c r="FB8" s="57">
        <f t="shared" si="52"/>
        <v>0.11235955056179781</v>
      </c>
      <c r="FC8" s="84"/>
      <c r="FD8" s="118">
        <f t="shared" si="66"/>
        <v>1812</v>
      </c>
      <c r="FE8" s="77">
        <f t="shared" si="67"/>
        <v>1690</v>
      </c>
      <c r="FF8" s="57">
        <f t="shared" si="75"/>
        <v>7.2189349112426138E-2</v>
      </c>
      <c r="FG8" s="94"/>
      <c r="FH8" s="84"/>
      <c r="FI8" s="84"/>
      <c r="FJ8" s="84"/>
      <c r="FK8" s="84"/>
      <c r="FL8" s="84"/>
      <c r="FM8" s="84"/>
      <c r="FN8" s="84"/>
      <c r="FO8" s="84"/>
      <c r="FP8" s="84"/>
      <c r="FQ8" s="84"/>
      <c r="FR8" s="84"/>
      <c r="FS8" s="84"/>
      <c r="FT8" s="84"/>
      <c r="FU8" s="84"/>
      <c r="FV8" s="84"/>
      <c r="FW8" s="84"/>
      <c r="FX8" s="84"/>
    </row>
    <row r="9" spans="1:180" s="63" customFormat="1" ht="12" customHeight="1" outlineLevel="1" x14ac:dyDescent="0.25">
      <c r="A9" s="110" t="s">
        <v>86</v>
      </c>
      <c r="B9" s="99">
        <f>Serviceorderfile_Current!$W641</f>
        <v>4</v>
      </c>
      <c r="C9" s="93">
        <f>Serviceorderfile_PREVIOUS!$W641</f>
        <v>2</v>
      </c>
      <c r="D9" s="57">
        <f t="shared" si="0"/>
        <v>1</v>
      </c>
      <c r="E9" s="93">
        <f>'YOY Orders'!$J41</f>
        <v>20</v>
      </c>
      <c r="F9" s="93">
        <f>'YOY Orders'!$B41</f>
        <v>43</v>
      </c>
      <c r="G9" s="57">
        <f t="shared" si="1"/>
        <v>-0.53488372093023262</v>
      </c>
      <c r="H9" s="99">
        <f>Serviceorderfile_Current!$W643</f>
        <v>46</v>
      </c>
      <c r="I9" s="93">
        <f>Serviceorderfile_PREVIOUS!$W643</f>
        <v>45</v>
      </c>
      <c r="J9" s="57">
        <f t="shared" si="2"/>
        <v>2.2222222222222143E-2</v>
      </c>
      <c r="K9" s="93">
        <f>'YOY Orders'!$K41</f>
        <v>3</v>
      </c>
      <c r="L9" s="93">
        <f>'YOY Orders'!$C41</f>
        <v>1</v>
      </c>
      <c r="M9" s="57">
        <f t="shared" si="3"/>
        <v>2</v>
      </c>
      <c r="N9" s="99">
        <f>Serviceorderfile_Current!$W642</f>
        <v>0</v>
      </c>
      <c r="O9" s="93">
        <f>Serviceorderfile_PREVIOUS!$W642</f>
        <v>0</v>
      </c>
      <c r="P9" s="57">
        <f t="shared" si="4"/>
        <v>1</v>
      </c>
      <c r="Q9" s="93">
        <f>'YOY Orders'!$O41</f>
        <v>0</v>
      </c>
      <c r="R9" s="93">
        <f>'YOY Orders'!$G41</f>
        <v>0</v>
      </c>
      <c r="S9" s="57">
        <f t="shared" si="5"/>
        <v>1</v>
      </c>
      <c r="T9" s="99">
        <f>Serviceorderfile_Current!$W644</f>
        <v>161</v>
      </c>
      <c r="U9" s="93">
        <f>Serviceorderfile_PREVIOUS!$W644</f>
        <v>115</v>
      </c>
      <c r="V9" s="57">
        <f t="shared" si="6"/>
        <v>0.39999999999999991</v>
      </c>
      <c r="W9" s="93">
        <f>'YOY Orders'!$L41</f>
        <v>148</v>
      </c>
      <c r="X9" s="93">
        <f>'YOY Orders'!$D41</f>
        <v>120</v>
      </c>
      <c r="Y9" s="57">
        <f t="shared" si="7"/>
        <v>0.23333333333333339</v>
      </c>
      <c r="Z9" s="99">
        <f>Serviceorderfile_Current!$W645</f>
        <v>0</v>
      </c>
      <c r="AA9" s="93">
        <f>Serviceorderfile_PREVIOUS!$W645</f>
        <v>2</v>
      </c>
      <c r="AB9" s="57">
        <f t="shared" si="8"/>
        <v>-1</v>
      </c>
      <c r="AC9" s="93">
        <f>'YOY Orders'!$N41</f>
        <v>8</v>
      </c>
      <c r="AD9" s="93">
        <f>'YOY Orders'!$F41</f>
        <v>12</v>
      </c>
      <c r="AE9" s="57">
        <f t="shared" si="9"/>
        <v>-0.33333333333333337</v>
      </c>
      <c r="AF9" s="99">
        <f>Serviceorderfile_Current!$W639</f>
        <v>395</v>
      </c>
      <c r="AG9" s="93">
        <f>Serviceorderfile_PREVIOUS!$W639</f>
        <v>23</v>
      </c>
      <c r="AH9" s="57">
        <f t="shared" si="10"/>
        <v>16.173913043478262</v>
      </c>
      <c r="AI9" s="93">
        <f>'YOY Orders'!$M41</f>
        <v>598</v>
      </c>
      <c r="AJ9" s="93">
        <f>'YOY Orders'!$E41</f>
        <v>266</v>
      </c>
      <c r="AK9" s="57">
        <f t="shared" si="11"/>
        <v>1.2481203007518795</v>
      </c>
      <c r="AL9" s="116">
        <f t="shared" si="54"/>
        <v>606</v>
      </c>
      <c r="AM9" s="56">
        <f t="shared" si="55"/>
        <v>187</v>
      </c>
      <c r="AN9" s="57">
        <f t="shared" si="12"/>
        <v>2.2406417112299466</v>
      </c>
      <c r="AO9" s="116">
        <f t="shared" si="56"/>
        <v>777</v>
      </c>
      <c r="AP9" s="56">
        <f t="shared" si="57"/>
        <v>442</v>
      </c>
      <c r="AQ9" s="57">
        <f t="shared" si="13"/>
        <v>0.75791855203619907</v>
      </c>
      <c r="AR9" s="72"/>
      <c r="AS9" s="110" t="s">
        <v>86</v>
      </c>
      <c r="AT9" s="99">
        <f>Serviceorderfile_Current!$I641*Serviceorderfile_Current!$U641</f>
        <v>4</v>
      </c>
      <c r="AU9" s="93">
        <f>Serviceorderfile_PREVIOUS!$I641*Serviceorderfile_PREVIOUS!$U641</f>
        <v>2</v>
      </c>
      <c r="AV9" s="57">
        <f t="shared" si="14"/>
        <v>1</v>
      </c>
      <c r="AW9" s="78">
        <f t="shared" si="84"/>
        <v>1</v>
      </c>
      <c r="AX9" s="75">
        <f t="shared" si="85"/>
        <v>1</v>
      </c>
      <c r="AY9" s="119">
        <f t="shared" si="86"/>
        <v>0</v>
      </c>
      <c r="AZ9" s="99">
        <f>Serviceorderfile_Current!$I643*Serviceorderfile_Current!$U643</f>
        <v>0</v>
      </c>
      <c r="BA9" s="93">
        <f>Serviceorderfile_PREVIOUS!$I643*Serviceorderfile_PREVIOUS!$U643</f>
        <v>0</v>
      </c>
      <c r="BB9" s="57">
        <f t="shared" si="17"/>
        <v>1</v>
      </c>
      <c r="BC9" s="78">
        <f t="shared" si="18"/>
        <v>0</v>
      </c>
      <c r="BD9" s="75">
        <f t="shared" si="19"/>
        <v>0</v>
      </c>
      <c r="BE9" s="119">
        <f t="shared" si="77"/>
        <v>0</v>
      </c>
      <c r="BF9" s="99">
        <f>Serviceorderfile_Current!$I642*Serviceorderfile_Current!$U642</f>
        <v>0</v>
      </c>
      <c r="BG9" s="93">
        <f>Serviceorderfile_PREVIOUS!$I642*Serviceorderfile_PREVIOUS!$U642</f>
        <v>0</v>
      </c>
      <c r="BH9" s="57">
        <f t="shared" si="20"/>
        <v>1</v>
      </c>
      <c r="BI9" s="78" t="e">
        <f t="shared" si="21"/>
        <v>#DIV/0!</v>
      </c>
      <c r="BJ9" s="75" t="e">
        <f t="shared" si="22"/>
        <v>#DIV/0!</v>
      </c>
      <c r="BK9" s="119" t="e">
        <f t="shared" si="78"/>
        <v>#DIV/0!</v>
      </c>
      <c r="BL9" s="99">
        <f>Serviceorderfile_Current!$I644*Serviceorderfile_Current!$U644</f>
        <v>14</v>
      </c>
      <c r="BM9" s="93">
        <f>Serviceorderfile_PREVIOUS!$I644*Serviceorderfile_PREVIOUS!$U644</f>
        <v>12</v>
      </c>
      <c r="BN9" s="57">
        <f t="shared" si="23"/>
        <v>0.16666666666666674</v>
      </c>
      <c r="BO9" s="78">
        <f t="shared" si="24"/>
        <v>8.6956521739130432E-2</v>
      </c>
      <c r="BP9" s="75">
        <f t="shared" si="25"/>
        <v>0.10434782608695652</v>
      </c>
      <c r="BQ9" s="119">
        <f t="shared" si="79"/>
        <v>-1.7391304347826084</v>
      </c>
      <c r="BR9" s="99">
        <f>Serviceorderfile_Current!$I645*Serviceorderfile_Current!$U645</f>
        <v>0</v>
      </c>
      <c r="BS9" s="93">
        <f>Serviceorderfile_PREVIOUS!$I645*Serviceorderfile_PREVIOUS!$U645</f>
        <v>0</v>
      </c>
      <c r="BT9" s="57">
        <f t="shared" si="26"/>
        <v>1</v>
      </c>
      <c r="BU9" s="78" t="e">
        <f t="shared" si="27"/>
        <v>#DIV/0!</v>
      </c>
      <c r="BV9" s="75">
        <f t="shared" si="28"/>
        <v>0</v>
      </c>
      <c r="BW9" s="119" t="e">
        <f t="shared" si="80"/>
        <v>#DIV/0!</v>
      </c>
      <c r="BX9" s="99">
        <f>Serviceorderfile_Current!$I639*Serviceorderfile_Current!$U639</f>
        <v>43</v>
      </c>
      <c r="BY9" s="93">
        <f>Serviceorderfile_PREVIOUS!$I639*Serviceorderfile_PREVIOUS!$U639</f>
        <v>18</v>
      </c>
      <c r="BZ9" s="57">
        <f t="shared" si="29"/>
        <v>1.3888888888888888</v>
      </c>
      <c r="CA9" s="78">
        <f t="shared" si="30"/>
        <v>0.10886075949367088</v>
      </c>
      <c r="CB9" s="75">
        <f t="shared" si="31"/>
        <v>0.78260869565217395</v>
      </c>
      <c r="CC9" s="119">
        <f t="shared" si="81"/>
        <v>-67.374793615850308</v>
      </c>
      <c r="CD9" s="118">
        <f t="shared" si="87"/>
        <v>61</v>
      </c>
      <c r="CE9" s="77">
        <f t="shared" si="88"/>
        <v>32</v>
      </c>
      <c r="CF9" s="57">
        <f t="shared" si="89"/>
        <v>0.90625</v>
      </c>
      <c r="CG9" s="78">
        <f t="shared" si="90"/>
        <v>0.10066006600660066</v>
      </c>
      <c r="CH9" s="75">
        <f t="shared" si="91"/>
        <v>0.17112299465240641</v>
      </c>
      <c r="CI9" s="119">
        <f t="shared" si="92"/>
        <v>-7.0462928645805754</v>
      </c>
      <c r="CJ9" s="85"/>
      <c r="CK9" s="110" t="s">
        <v>86</v>
      </c>
      <c r="CL9" s="99">
        <f>Serviceorderfile_Current!$J641*Serviceorderfile_Current!$U641</f>
        <v>0</v>
      </c>
      <c r="CM9" s="93">
        <f>Serviceorderfile_PREVIOUS!$J641*Serviceorderfile_PREVIOUS!$U641</f>
        <v>0</v>
      </c>
      <c r="CN9" s="57">
        <f t="shared" si="33"/>
        <v>1</v>
      </c>
      <c r="CO9" s="99">
        <f>Serviceorderfile_Current!$J643*Serviceorderfile_Current!$U643</f>
        <v>3</v>
      </c>
      <c r="CP9" s="93">
        <f>Serviceorderfile_PREVIOUS!$J643*Serviceorderfile_PREVIOUS!$U643</f>
        <v>45</v>
      </c>
      <c r="CQ9" s="57">
        <f t="shared" si="34"/>
        <v>-0.93333333333333335</v>
      </c>
      <c r="CR9" s="99">
        <f>Serviceorderfile_Current!$J642*Serviceorderfile_Current!$U642</f>
        <v>0</v>
      </c>
      <c r="CS9" s="93">
        <f>Serviceorderfile_PREVIOUS!$J642*Serviceorderfile_PREVIOUS!$U642</f>
        <v>0</v>
      </c>
      <c r="CT9" s="57">
        <f t="shared" si="35"/>
        <v>1</v>
      </c>
      <c r="CU9" s="99">
        <f>Serviceorderfile_Current!$J644*Serviceorderfile_Current!$U644</f>
        <v>34</v>
      </c>
      <c r="CV9" s="93">
        <f>Serviceorderfile_PREVIOUS!$J644*Serviceorderfile_PREVIOUS!$U644</f>
        <v>16</v>
      </c>
      <c r="CW9" s="57">
        <f t="shared" si="36"/>
        <v>1.125</v>
      </c>
      <c r="CX9" s="99">
        <f>Serviceorderfile_Current!$J645*Serviceorderfile_Current!$U645</f>
        <v>0</v>
      </c>
      <c r="CY9" s="93">
        <f>Serviceorderfile_PREVIOUS!$J645*Serviceorderfile_PREVIOUS!$U645</f>
        <v>0</v>
      </c>
      <c r="CZ9" s="57">
        <f t="shared" si="37"/>
        <v>1</v>
      </c>
      <c r="DA9" s="99">
        <f>Serviceorderfile_Current!$J639*Serviceorderfile_Current!$U639</f>
        <v>286</v>
      </c>
      <c r="DB9" s="93">
        <f>Serviceorderfile_PREVIOUS!$J639*Serviceorderfile_PREVIOUS!$U639</f>
        <v>5</v>
      </c>
      <c r="DC9" s="57">
        <f t="shared" si="38"/>
        <v>56.2</v>
      </c>
      <c r="DD9" s="118">
        <f t="shared" si="62"/>
        <v>323</v>
      </c>
      <c r="DE9" s="77">
        <f t="shared" si="63"/>
        <v>66</v>
      </c>
      <c r="DF9" s="57">
        <f t="shared" si="39"/>
        <v>3.8939393939393936</v>
      </c>
      <c r="DG9" s="86"/>
      <c r="DH9" s="110" t="s">
        <v>86</v>
      </c>
      <c r="DI9" s="99">
        <f>Serviceorderfile_Current!$K641*Serviceorderfile_Current!$U641</f>
        <v>0</v>
      </c>
      <c r="DJ9" s="93">
        <f>Serviceorderfile_PREVIOUS!$K641*Serviceorderfile_PREVIOUS!$U641</f>
        <v>0</v>
      </c>
      <c r="DK9" s="57">
        <f t="shared" si="40"/>
        <v>1</v>
      </c>
      <c r="DL9" s="99">
        <f>Serviceorderfile_Current!$K643*Serviceorderfile_Current!$U643</f>
        <v>43</v>
      </c>
      <c r="DM9" s="93">
        <f>Serviceorderfile_PREVIOUS!$K643*Serviceorderfile_PREVIOUS!$U643</f>
        <v>0</v>
      </c>
      <c r="DN9" s="57">
        <f t="shared" si="41"/>
        <v>1</v>
      </c>
      <c r="DO9" s="99">
        <f>Serviceorderfile_Current!$K642*Serviceorderfile_Current!$U642</f>
        <v>0</v>
      </c>
      <c r="DP9" s="93">
        <f>Serviceorderfile_PREVIOUS!$K642*Serviceorderfile_PREVIOUS!$U642</f>
        <v>0</v>
      </c>
      <c r="DQ9" s="57">
        <f t="shared" si="42"/>
        <v>1</v>
      </c>
      <c r="DR9" s="99">
        <f>Serviceorderfile_Current!$K644*Serviceorderfile_Current!$U644</f>
        <v>13</v>
      </c>
      <c r="DS9" s="93">
        <f>Serviceorderfile_PREVIOUS!$K644*Serviceorderfile_PREVIOUS!$U644</f>
        <v>12</v>
      </c>
      <c r="DT9" s="57">
        <f t="shared" si="43"/>
        <v>8.3333333333333259E-2</v>
      </c>
      <c r="DU9" s="99">
        <f>Serviceorderfile_Current!$K645*Serviceorderfile_Current!$U645</f>
        <v>0</v>
      </c>
      <c r="DV9" s="93">
        <f>Serviceorderfile_PREVIOUS!$K645*Serviceorderfile_PREVIOUS!$U645</f>
        <v>0</v>
      </c>
      <c r="DW9" s="57">
        <f t="shared" si="44"/>
        <v>1</v>
      </c>
      <c r="DX9" s="99">
        <f>Serviceorderfile_Current!$K639*Serviceorderfile_Current!$U639</f>
        <v>66</v>
      </c>
      <c r="DY9" s="93">
        <f>Serviceorderfile_PREVIOUS!$K639*Serviceorderfile_PREVIOUS!$U639</f>
        <v>0</v>
      </c>
      <c r="DZ9" s="57">
        <f t="shared" si="45"/>
        <v>1</v>
      </c>
      <c r="EA9" s="118">
        <f t="shared" si="64"/>
        <v>122</v>
      </c>
      <c r="EB9" s="77">
        <f t="shared" si="65"/>
        <v>12</v>
      </c>
      <c r="EC9" s="57">
        <f t="shared" si="46"/>
        <v>9.1666666666666661</v>
      </c>
      <c r="ED9" s="94"/>
      <c r="EE9" s="110" t="s">
        <v>86</v>
      </c>
      <c r="EF9" s="76">
        <f>Serviceorderfile_Current!$V638</f>
        <v>1</v>
      </c>
      <c r="EG9" s="57">
        <f>Aged!E39</f>
        <v>1</v>
      </c>
      <c r="EH9" s="99">
        <f>Serviceorderfile_Current!$U633*Serviceorderfile_Current!$H633</f>
        <v>28</v>
      </c>
      <c r="EI9" s="93">
        <f>Serviceorderfile_PREVIOUS!$U633*Serviceorderfile_PREVIOUS!$H633</f>
        <v>51</v>
      </c>
      <c r="EJ9" s="57">
        <f t="shared" si="47"/>
        <v>-0.4509803921568627</v>
      </c>
      <c r="EK9" s="99">
        <f>Serviceorderfile_Current!$U635*Serviceorderfile_Current!$H635</f>
        <v>560</v>
      </c>
      <c r="EL9" s="93">
        <f>Serviceorderfile_PREVIOUS!$U635*Serviceorderfile_PREVIOUS!$H635</f>
        <v>339</v>
      </c>
      <c r="EM9" s="57">
        <f t="shared" si="48"/>
        <v>0.65191740412979349</v>
      </c>
      <c r="EN9" s="99">
        <f>Serviceorderfile_Current!$U634*Serviceorderfile_Current!$H634</f>
        <v>0</v>
      </c>
      <c r="EO9" s="93">
        <f>Serviceorderfile_PREVIOUS!$U634*Serviceorderfile_PREVIOUS!$H634</f>
        <v>0</v>
      </c>
      <c r="EP9" s="57">
        <f t="shared" si="49"/>
        <v>1</v>
      </c>
      <c r="EQ9" s="99">
        <f>Serviceorderfile_Current!$U636*Serviceorderfile_Current!$H636</f>
        <v>232</v>
      </c>
      <c r="ER9" s="93">
        <f>Serviceorderfile_PREVIOUS!$U636*Serviceorderfile_PREVIOUS!$H636</f>
        <v>93</v>
      </c>
      <c r="ES9" s="57">
        <f t="shared" si="50"/>
        <v>1.4946236559139785</v>
      </c>
      <c r="ET9" s="99">
        <f>Serviceorderfile_Current!$U637*Serviceorderfile_Current!$H637</f>
        <v>6</v>
      </c>
      <c r="EU9" s="93">
        <f>Serviceorderfile_PREVIOUS!$U637*Serviceorderfile_PREVIOUS!$H637</f>
        <v>0</v>
      </c>
      <c r="EV9" s="57">
        <f t="shared" si="51"/>
        <v>1</v>
      </c>
      <c r="EW9" s="84"/>
      <c r="EX9" s="76">
        <f>Serviceorderfile_Current!$V631</f>
        <v>1</v>
      </c>
      <c r="EY9" s="47">
        <f>Aged!E92</f>
        <v>0.89</v>
      </c>
      <c r="EZ9" s="99">
        <f>Serviceorderfile_Current!$U635*Serviceorderfile_Current!$H635</f>
        <v>560</v>
      </c>
      <c r="FA9" s="93">
        <f>Serviceorderfile_PREVIOUS!$U635*Serviceorderfile_PREVIOUS!$H635</f>
        <v>339</v>
      </c>
      <c r="FB9" s="57">
        <f t="shared" si="52"/>
        <v>0.65191740412979349</v>
      </c>
      <c r="FC9" s="84"/>
      <c r="FD9" s="118">
        <f t="shared" si="66"/>
        <v>1386</v>
      </c>
      <c r="FE9" s="77">
        <f t="shared" si="67"/>
        <v>822</v>
      </c>
      <c r="FF9" s="57">
        <f t="shared" si="75"/>
        <v>0.68613138686131392</v>
      </c>
      <c r="FG9" s="94"/>
      <c r="FH9" s="84"/>
      <c r="FI9" s="84"/>
      <c r="FJ9" s="84"/>
      <c r="FK9" s="84"/>
      <c r="FL9" s="84"/>
      <c r="FM9" s="84"/>
      <c r="FN9" s="84"/>
      <c r="FO9" s="84"/>
      <c r="FP9" s="84"/>
      <c r="FQ9" s="84"/>
      <c r="FR9" s="84"/>
      <c r="FS9" s="84"/>
      <c r="FT9" s="84"/>
      <c r="FU9" s="84"/>
      <c r="FV9" s="84"/>
      <c r="FW9" s="84"/>
      <c r="FX9" s="84"/>
    </row>
    <row r="10" spans="1:180" s="63" customFormat="1" ht="12" customHeight="1" outlineLevel="1" x14ac:dyDescent="0.25">
      <c r="A10" s="110" t="s">
        <v>87</v>
      </c>
      <c r="B10" s="99">
        <f>Serviceorderfile_Current!$W658</f>
        <v>0</v>
      </c>
      <c r="C10" s="93">
        <f>Serviceorderfile_PREVIOUS!$W658</f>
        <v>0</v>
      </c>
      <c r="D10" s="57">
        <f t="shared" si="0"/>
        <v>1</v>
      </c>
      <c r="E10" s="93">
        <f>'YOY Orders'!$J42</f>
        <v>2.6943000000000001</v>
      </c>
      <c r="F10" s="93">
        <f>'YOY Orders'!$B42</f>
        <v>1.1547000000000001</v>
      </c>
      <c r="G10" s="57">
        <f t="shared" si="1"/>
        <v>1.3333333333333335</v>
      </c>
      <c r="H10" s="99">
        <f>Serviceorderfile_Current!$W660</f>
        <v>5.0037000000000003</v>
      </c>
      <c r="I10" s="93">
        <f>Serviceorderfile_PREVIOUS!$W660</f>
        <v>0</v>
      </c>
      <c r="J10" s="57">
        <f t="shared" si="2"/>
        <v>1</v>
      </c>
      <c r="K10" s="93">
        <f>'YOY Orders'!$K42</f>
        <v>26.173200000000001</v>
      </c>
      <c r="L10" s="93">
        <f>'YOY Orders'!$C42</f>
        <v>13.086600000000001</v>
      </c>
      <c r="M10" s="57">
        <f t="shared" si="3"/>
        <v>1</v>
      </c>
      <c r="N10" s="99">
        <f>Serviceorderfile_Current!$W659</f>
        <v>34.641000000000005</v>
      </c>
      <c r="O10" s="93">
        <f>Serviceorderfile_PREVIOUS!$W659</f>
        <v>33.871200000000002</v>
      </c>
      <c r="P10" s="57">
        <f t="shared" si="4"/>
        <v>2.2727272727272929E-2</v>
      </c>
      <c r="Q10" s="93">
        <f>'YOY Orders'!$O42</f>
        <v>13.856400000000001</v>
      </c>
      <c r="R10" s="93">
        <f>'YOY Orders'!$G42</f>
        <v>53.116200000000006</v>
      </c>
      <c r="S10" s="57">
        <f t="shared" si="5"/>
        <v>-0.73913043478260865</v>
      </c>
      <c r="T10" s="99">
        <f>Serviceorderfile_Current!$W661</f>
        <v>1.1547000000000001</v>
      </c>
      <c r="U10" s="93">
        <f>Serviceorderfile_PREVIOUS!$W661</f>
        <v>0</v>
      </c>
      <c r="V10" s="57">
        <f t="shared" si="6"/>
        <v>1</v>
      </c>
      <c r="W10" s="93">
        <f>'YOY Orders'!$L42</f>
        <v>1.1547000000000001</v>
      </c>
      <c r="X10" s="93">
        <f>'YOY Orders'!$D42</f>
        <v>-0.38490000000000002</v>
      </c>
      <c r="Y10" s="57">
        <f t="shared" si="7"/>
        <v>1</v>
      </c>
      <c r="Z10" s="99">
        <f>Serviceorderfile_Current!$W662</f>
        <v>0.76980000000000004</v>
      </c>
      <c r="AA10" s="93">
        <f>Serviceorderfile_PREVIOUS!$W662</f>
        <v>0</v>
      </c>
      <c r="AB10" s="57">
        <f t="shared" si="8"/>
        <v>1</v>
      </c>
      <c r="AC10" s="93">
        <f>'YOY Orders'!$N42</f>
        <v>0.76980000000000004</v>
      </c>
      <c r="AD10" s="93">
        <f>'YOY Orders'!$F42</f>
        <v>0</v>
      </c>
      <c r="AE10" s="57">
        <f t="shared" si="9"/>
        <v>1</v>
      </c>
      <c r="AF10" s="99">
        <f>Serviceorderfile_Current!$W656</f>
        <v>35.0259</v>
      </c>
      <c r="AG10" s="93">
        <f>Serviceorderfile_PREVIOUS!$W656</f>
        <v>2.3094000000000001</v>
      </c>
      <c r="AH10" s="57">
        <f t="shared" si="10"/>
        <v>14.166666666666666</v>
      </c>
      <c r="AI10" s="93">
        <f>'YOY Orders'!$M42</f>
        <v>36.950400000000002</v>
      </c>
      <c r="AJ10" s="93">
        <f>'YOY Orders'!$E42</f>
        <v>7.3131000000000004</v>
      </c>
      <c r="AK10" s="57">
        <f t="shared" si="11"/>
        <v>4.0526315789473681</v>
      </c>
      <c r="AL10" s="116">
        <f t="shared" si="54"/>
        <v>76.595100000000002</v>
      </c>
      <c r="AM10" s="56">
        <f t="shared" si="55"/>
        <v>36.180599999999998</v>
      </c>
      <c r="AN10" s="57">
        <f t="shared" si="12"/>
        <v>1.1170212765957448</v>
      </c>
      <c r="AO10" s="116">
        <f t="shared" si="56"/>
        <v>81.598800000000011</v>
      </c>
      <c r="AP10" s="56">
        <f t="shared" si="57"/>
        <v>74.285700000000006</v>
      </c>
      <c r="AQ10" s="57">
        <f t="shared" si="13"/>
        <v>9.8445595854922407E-2</v>
      </c>
      <c r="AR10" s="72"/>
      <c r="AS10" s="110" t="s">
        <v>87</v>
      </c>
      <c r="AT10" s="99">
        <f>Serviceorderfile_Current!$I658*Serviceorderfile_Current!$U658</f>
        <v>0</v>
      </c>
      <c r="AU10" s="93">
        <f>Serviceorderfile_PREVIOUS!$I658*Serviceorderfile_PREVIOUS!$U658</f>
        <v>0</v>
      </c>
      <c r="AV10" s="57">
        <f t="shared" si="14"/>
        <v>1</v>
      </c>
      <c r="AW10" s="78" t="e">
        <f t="shared" si="84"/>
        <v>#DIV/0!</v>
      </c>
      <c r="AX10" s="75" t="e">
        <f t="shared" si="85"/>
        <v>#DIV/0!</v>
      </c>
      <c r="AY10" s="119" t="e">
        <f t="shared" si="86"/>
        <v>#DIV/0!</v>
      </c>
      <c r="AZ10" s="99">
        <f>Serviceorderfile_Current!$I660*Serviceorderfile_Current!$U660</f>
        <v>0.76980000000000004</v>
      </c>
      <c r="BA10" s="93">
        <f>Serviceorderfile_PREVIOUS!$I660*Serviceorderfile_PREVIOUS!$U660</f>
        <v>0</v>
      </c>
      <c r="BB10" s="57">
        <f t="shared" si="17"/>
        <v>1</v>
      </c>
      <c r="BC10" s="78">
        <f t="shared" si="18"/>
        <v>0.15384615384615385</v>
      </c>
      <c r="BD10" s="75" t="e">
        <f t="shared" si="19"/>
        <v>#DIV/0!</v>
      </c>
      <c r="BE10" s="119" t="e">
        <f t="shared" si="77"/>
        <v>#DIV/0!</v>
      </c>
      <c r="BF10" s="99">
        <f>Serviceorderfile_Current!$I659*Serviceorderfile_Current!$U659</f>
        <v>5.0037000000000003</v>
      </c>
      <c r="BG10" s="93">
        <f>Serviceorderfile_PREVIOUS!$I659*Serviceorderfile_PREVIOUS!$U659</f>
        <v>13.086600000000001</v>
      </c>
      <c r="BH10" s="57">
        <f t="shared" si="20"/>
        <v>-0.61764705882352944</v>
      </c>
      <c r="BI10" s="78">
        <f t="shared" si="21"/>
        <v>0.14444444444444443</v>
      </c>
      <c r="BJ10" s="75">
        <f t="shared" si="22"/>
        <v>0.38636363636363635</v>
      </c>
      <c r="BK10" s="119">
        <f t="shared" si="78"/>
        <v>-24.191919191919194</v>
      </c>
      <c r="BL10" s="99">
        <f>Serviceorderfile_Current!$I661*Serviceorderfile_Current!$U661</f>
        <v>1.1547000000000001</v>
      </c>
      <c r="BM10" s="93">
        <f>Serviceorderfile_PREVIOUS!$I661*Serviceorderfile_PREVIOUS!$U661</f>
        <v>0</v>
      </c>
      <c r="BN10" s="57">
        <f t="shared" si="23"/>
        <v>1</v>
      </c>
      <c r="BO10" s="78">
        <f t="shared" si="24"/>
        <v>1</v>
      </c>
      <c r="BP10" s="75" t="e">
        <f t="shared" si="25"/>
        <v>#DIV/0!</v>
      </c>
      <c r="BQ10" s="119" t="e">
        <f t="shared" si="79"/>
        <v>#DIV/0!</v>
      </c>
      <c r="BR10" s="99">
        <f>Serviceorderfile_Current!$I662*Serviceorderfile_Current!$U662</f>
        <v>0</v>
      </c>
      <c r="BS10" s="93">
        <f>Serviceorderfile_PREVIOUS!$I662*Serviceorderfile_PREVIOUS!$U662</f>
        <v>0</v>
      </c>
      <c r="BT10" s="57">
        <f t="shared" si="26"/>
        <v>1</v>
      </c>
      <c r="BU10" s="78">
        <f t="shared" si="27"/>
        <v>0</v>
      </c>
      <c r="BV10" s="75" t="e">
        <f t="shared" si="28"/>
        <v>#DIV/0!</v>
      </c>
      <c r="BW10" s="119" t="e">
        <f t="shared" si="80"/>
        <v>#DIV/0!</v>
      </c>
      <c r="BX10" s="99">
        <f>Serviceorderfile_Current!$I656*Serviceorderfile_Current!$U656</f>
        <v>11.547000000000001</v>
      </c>
      <c r="BY10" s="93">
        <f>Serviceorderfile_PREVIOUS!$I656*Serviceorderfile_PREVIOUS!$U656</f>
        <v>2.3094000000000001</v>
      </c>
      <c r="BZ10" s="57">
        <f t="shared" si="29"/>
        <v>4</v>
      </c>
      <c r="CA10" s="78">
        <f t="shared" si="30"/>
        <v>0.32967032967032966</v>
      </c>
      <c r="CB10" s="75">
        <f t="shared" si="31"/>
        <v>1</v>
      </c>
      <c r="CC10" s="119">
        <f t="shared" si="81"/>
        <v>-67.032967032967036</v>
      </c>
      <c r="CD10" s="118">
        <f t="shared" si="87"/>
        <v>17.705400000000001</v>
      </c>
      <c r="CE10" s="77">
        <f t="shared" si="88"/>
        <v>15.396000000000001</v>
      </c>
      <c r="CF10" s="57">
        <f t="shared" si="89"/>
        <v>0.14999999999999991</v>
      </c>
      <c r="CG10" s="78">
        <f t="shared" si="90"/>
        <v>0.23115577889447236</v>
      </c>
      <c r="CH10" s="75">
        <f t="shared" si="91"/>
        <v>0.42553191489361708</v>
      </c>
      <c r="CI10" s="119">
        <f t="shared" si="92"/>
        <v>-19.437613599914471</v>
      </c>
      <c r="CJ10" s="85"/>
      <c r="CK10" s="110" t="s">
        <v>87</v>
      </c>
      <c r="CL10" s="99">
        <f>Serviceorderfile_Current!$J658*Serviceorderfile_Current!$U658</f>
        <v>0</v>
      </c>
      <c r="CM10" s="93">
        <f>Serviceorderfile_PREVIOUS!$J658*Serviceorderfile_PREVIOUS!$U658</f>
        <v>0</v>
      </c>
      <c r="CN10" s="57">
        <f t="shared" si="33"/>
        <v>1</v>
      </c>
      <c r="CO10" s="99">
        <f>Serviceorderfile_Current!$J660*Serviceorderfile_Current!$U660</f>
        <v>0</v>
      </c>
      <c r="CP10" s="93">
        <f>Serviceorderfile_PREVIOUS!$J660*Serviceorderfile_PREVIOUS!$U660</f>
        <v>0</v>
      </c>
      <c r="CQ10" s="57">
        <f t="shared" si="34"/>
        <v>1</v>
      </c>
      <c r="CR10" s="99">
        <f>Serviceorderfile_Current!$J659*Serviceorderfile_Current!$U659</f>
        <v>3.8490000000000002</v>
      </c>
      <c r="CS10" s="93">
        <f>Serviceorderfile_PREVIOUS!$J659*Serviceorderfile_PREVIOUS!$U659</f>
        <v>6.5433000000000003</v>
      </c>
      <c r="CT10" s="57">
        <f t="shared" si="35"/>
        <v>-0.41176470588235292</v>
      </c>
      <c r="CU10" s="99">
        <f>Serviceorderfile_Current!$J661*Serviceorderfile_Current!$U661</f>
        <v>0</v>
      </c>
      <c r="CV10" s="93">
        <f>Serviceorderfile_PREVIOUS!$J661*Serviceorderfile_PREVIOUS!$U661</f>
        <v>0</v>
      </c>
      <c r="CW10" s="57">
        <f t="shared" si="36"/>
        <v>1</v>
      </c>
      <c r="CX10" s="99">
        <f>Serviceorderfile_Current!$J662*Serviceorderfile_Current!$U662</f>
        <v>0</v>
      </c>
      <c r="CY10" s="93">
        <f>Serviceorderfile_PREVIOUS!$J662*Serviceorderfile_PREVIOUS!$U662</f>
        <v>0</v>
      </c>
      <c r="CZ10" s="57">
        <f t="shared" si="37"/>
        <v>1</v>
      </c>
      <c r="DA10" s="99">
        <f>Serviceorderfile_Current!$J656*Serviceorderfile_Current!$U656</f>
        <v>11.547000000000001</v>
      </c>
      <c r="DB10" s="93">
        <f>Serviceorderfile_PREVIOUS!$J656*Serviceorderfile_PREVIOUS!$U656</f>
        <v>0</v>
      </c>
      <c r="DC10" s="57">
        <f t="shared" si="38"/>
        <v>1</v>
      </c>
      <c r="DD10" s="118">
        <f t="shared" si="62"/>
        <v>15.396000000000001</v>
      </c>
      <c r="DE10" s="77">
        <f t="shared" si="63"/>
        <v>6.5433000000000003</v>
      </c>
      <c r="DF10" s="57">
        <f t="shared" si="39"/>
        <v>1.3529411764705883</v>
      </c>
      <c r="DG10" s="86"/>
      <c r="DH10" s="110" t="s">
        <v>87</v>
      </c>
      <c r="DI10" s="99">
        <f>Serviceorderfile_Current!$K658*Serviceorderfile_Current!$U658</f>
        <v>0</v>
      </c>
      <c r="DJ10" s="93">
        <f>Serviceorderfile_PREVIOUS!$K658*Serviceorderfile_PREVIOUS!$U658</f>
        <v>0</v>
      </c>
      <c r="DK10" s="57">
        <f t="shared" si="40"/>
        <v>1</v>
      </c>
      <c r="DL10" s="99">
        <f>Serviceorderfile_Current!$K660*Serviceorderfile_Current!$U660</f>
        <v>3.8490000000000002</v>
      </c>
      <c r="DM10" s="93">
        <f>Serviceorderfile_PREVIOUS!$K660*Serviceorderfile_PREVIOUS!$U660</f>
        <v>0</v>
      </c>
      <c r="DN10" s="57">
        <f t="shared" si="41"/>
        <v>1</v>
      </c>
      <c r="DO10" s="99">
        <f>Serviceorderfile_Current!$K659*Serviceorderfile_Current!$U659</f>
        <v>2.6943000000000001</v>
      </c>
      <c r="DP10" s="93">
        <f>Serviceorderfile_PREVIOUS!$K659*Serviceorderfile_PREVIOUS!$U659</f>
        <v>3.0792000000000002</v>
      </c>
      <c r="DQ10" s="57">
        <f t="shared" si="42"/>
        <v>-0.125</v>
      </c>
      <c r="DR10" s="99">
        <f>Serviceorderfile_Current!$K661*Serviceorderfile_Current!$U661</f>
        <v>0</v>
      </c>
      <c r="DS10" s="93">
        <f>Serviceorderfile_PREVIOUS!$K661*Serviceorderfile_PREVIOUS!$U661</f>
        <v>0</v>
      </c>
      <c r="DT10" s="57">
        <f t="shared" si="43"/>
        <v>1</v>
      </c>
      <c r="DU10" s="99">
        <f>Serviceorderfile_Current!$K662*Serviceorderfile_Current!$U662</f>
        <v>0</v>
      </c>
      <c r="DV10" s="93">
        <f>Serviceorderfile_PREVIOUS!$K662*Serviceorderfile_PREVIOUS!$U662</f>
        <v>0</v>
      </c>
      <c r="DW10" s="57">
        <f t="shared" si="44"/>
        <v>1</v>
      </c>
      <c r="DX10" s="99">
        <f>Serviceorderfile_Current!$K656*Serviceorderfile_Current!$U656</f>
        <v>0</v>
      </c>
      <c r="DY10" s="93">
        <f>Serviceorderfile_PREVIOUS!$K656*Serviceorderfile_PREVIOUS!$U656</f>
        <v>0</v>
      </c>
      <c r="DZ10" s="57">
        <f t="shared" si="45"/>
        <v>1</v>
      </c>
      <c r="EA10" s="118">
        <f t="shared" si="64"/>
        <v>6.5433000000000003</v>
      </c>
      <c r="EB10" s="77">
        <f t="shared" si="65"/>
        <v>3.0792000000000002</v>
      </c>
      <c r="EC10" s="57">
        <f t="shared" si="46"/>
        <v>1.125</v>
      </c>
      <c r="ED10" s="94"/>
      <c r="EE10" s="110" t="s">
        <v>87</v>
      </c>
      <c r="EF10" s="76">
        <f>Serviceorderfile_Current!$V655</f>
        <v>0.97965116279069764</v>
      </c>
      <c r="EG10" s="57">
        <f>Aged!E40</f>
        <v>0.99</v>
      </c>
      <c r="EH10" s="99">
        <f>Serviceorderfile_Current!$U650*Serviceorderfile_Current!$H650</f>
        <v>20.399700000000003</v>
      </c>
      <c r="EI10" s="93">
        <f>Serviceorderfile_PREVIOUS!$U616*Serviceorderfile_PREVIOUS!$H616</f>
        <v>203</v>
      </c>
      <c r="EJ10" s="57">
        <f t="shared" si="47"/>
        <v>-0.89950886699507393</v>
      </c>
      <c r="EK10" s="99">
        <f>Serviceorderfile_Current!$U652*Serviceorderfile_Current!$H652</f>
        <v>27.712800000000001</v>
      </c>
      <c r="EL10" s="93">
        <f>Serviceorderfile_PREVIOUS!$U618*Serviceorderfile_PREVIOUS!$H618</f>
        <v>2348</v>
      </c>
      <c r="EM10" s="57">
        <f t="shared" si="48"/>
        <v>-0.98819727427597959</v>
      </c>
      <c r="EN10" s="99">
        <f>Serviceorderfile_Current!$U651*Serviceorderfile_Current!$H651</f>
        <v>84.29310000000001</v>
      </c>
      <c r="EO10" s="93">
        <f>Serviceorderfile_PREVIOUS!$U651*Serviceorderfile_PREVIOUS!$H651</f>
        <v>0</v>
      </c>
      <c r="EP10" s="57">
        <f t="shared" si="49"/>
        <v>1</v>
      </c>
      <c r="EQ10" s="99">
        <f>Serviceorderfile_Current!$U653*Serviceorderfile_Current!$H653</f>
        <v>0</v>
      </c>
      <c r="ER10" s="93">
        <f>Serviceorderfile_PREVIOUS!$U653*Serviceorderfile_PREVIOUS!$H653</f>
        <v>4.6188000000000002</v>
      </c>
      <c r="ES10" s="57">
        <f t="shared" si="50"/>
        <v>-1</v>
      </c>
      <c r="ET10" s="99">
        <f>Serviceorderfile_Current!$U654*Serviceorderfile_Current!$H654</f>
        <v>0</v>
      </c>
      <c r="EU10" s="93">
        <f>Serviceorderfile_PREVIOUS!$U654*Serviceorderfile_PREVIOUS!$H654</f>
        <v>0</v>
      </c>
      <c r="EV10" s="57">
        <f t="shared" si="51"/>
        <v>1</v>
      </c>
      <c r="EW10" s="84"/>
      <c r="EX10" s="76">
        <f>Serviceorderfile_Current!$V648</f>
        <v>0</v>
      </c>
      <c r="EY10" s="47">
        <f>Aged!E93</f>
        <v>0</v>
      </c>
      <c r="EZ10" s="99">
        <f>Serviceorderfile_Current!$U652*Serviceorderfile_Current!$H652</f>
        <v>27.712800000000001</v>
      </c>
      <c r="FA10" s="93">
        <f>Serviceorderfile_PREVIOUS!$U652*Serviceorderfile_PREVIOUS!$H652</f>
        <v>40.029600000000002</v>
      </c>
      <c r="FB10" s="57">
        <f t="shared" si="52"/>
        <v>-0.30769230769230771</v>
      </c>
      <c r="FC10" s="84"/>
      <c r="FD10" s="118">
        <f t="shared" si="66"/>
        <v>160.11840000000001</v>
      </c>
      <c r="FE10" s="77">
        <f t="shared" si="67"/>
        <v>2595.6484</v>
      </c>
      <c r="FF10" s="57">
        <f t="shared" si="75"/>
        <v>-0.93831275453177709</v>
      </c>
      <c r="FG10" s="94"/>
      <c r="FH10" s="84"/>
      <c r="FI10" s="84"/>
      <c r="FJ10" s="84"/>
      <c r="FK10" s="84"/>
      <c r="FL10" s="84"/>
      <c r="FM10" s="84"/>
      <c r="FN10" s="84"/>
      <c r="FO10" s="84"/>
      <c r="FP10" s="84"/>
      <c r="FQ10" s="84"/>
      <c r="FR10" s="84"/>
      <c r="FS10" s="84"/>
      <c r="FT10" s="84"/>
      <c r="FU10" s="84"/>
      <c r="FV10" s="84"/>
      <c r="FW10" s="84"/>
      <c r="FX10" s="84"/>
    </row>
    <row r="11" spans="1:180" s="63" customFormat="1" ht="12" customHeight="1" outlineLevel="1" x14ac:dyDescent="0.25">
      <c r="A11" s="110" t="s">
        <v>93</v>
      </c>
      <c r="B11" s="99">
        <f>Serviceorderfile_Current!$W624</f>
        <v>333</v>
      </c>
      <c r="C11" s="93">
        <f>Serviceorderfile_PREVIOUS!$W624</f>
        <v>70</v>
      </c>
      <c r="D11" s="57">
        <f t="shared" si="0"/>
        <v>3.7571428571428571</v>
      </c>
      <c r="E11" s="93">
        <f>'YOY Orders'!$J45</f>
        <v>679</v>
      </c>
      <c r="F11" s="93">
        <f>'YOY Orders'!$B45</f>
        <v>412</v>
      </c>
      <c r="G11" s="57">
        <f t="shared" si="1"/>
        <v>0.64805825242718451</v>
      </c>
      <c r="H11" s="99">
        <f>Serviceorderfile_Current!$W626</f>
        <v>902</v>
      </c>
      <c r="I11" s="93">
        <f>Serviceorderfile_PREVIOUS!$W626</f>
        <v>279</v>
      </c>
      <c r="J11" s="57">
        <f t="shared" si="2"/>
        <v>2.2329749103942653</v>
      </c>
      <c r="K11" s="93">
        <f>'YOY Orders'!$K45</f>
        <v>1804</v>
      </c>
      <c r="L11" s="93">
        <f>'YOY Orders'!$C45</f>
        <v>533</v>
      </c>
      <c r="M11" s="57">
        <f t="shared" si="3"/>
        <v>2.3846153846153846</v>
      </c>
      <c r="N11" s="99">
        <f>Serviceorderfile_Current!$W625</f>
        <v>283</v>
      </c>
      <c r="O11" s="93">
        <f>Serviceorderfile_PREVIOUS!$W625</f>
        <v>155</v>
      </c>
      <c r="P11" s="57">
        <f t="shared" si="4"/>
        <v>0.82580645161290334</v>
      </c>
      <c r="Q11" s="93">
        <f>'YOY Orders'!$O45</f>
        <v>1141</v>
      </c>
      <c r="R11" s="93">
        <f>'YOY Orders'!$G45</f>
        <v>155</v>
      </c>
      <c r="S11" s="57">
        <f t="shared" si="5"/>
        <v>6.3612903225806452</v>
      </c>
      <c r="T11" s="99">
        <f>Serviceorderfile_Current!$W627</f>
        <v>780</v>
      </c>
      <c r="U11" s="93">
        <f>Serviceorderfile_PREVIOUS!$W627</f>
        <v>278</v>
      </c>
      <c r="V11" s="57">
        <f t="shared" si="6"/>
        <v>1.8057553956834531</v>
      </c>
      <c r="W11" s="93">
        <f>'YOY Orders'!$L45</f>
        <v>549</v>
      </c>
      <c r="X11" s="93">
        <f>'YOY Orders'!$D45</f>
        <v>125</v>
      </c>
      <c r="Y11" s="57">
        <f t="shared" si="7"/>
        <v>3.3920000000000003</v>
      </c>
      <c r="Z11" s="99">
        <f>Serviceorderfile_Current!$W628</f>
        <v>297</v>
      </c>
      <c r="AA11" s="93">
        <f>Serviceorderfile_PREVIOUS!$W628</f>
        <v>217</v>
      </c>
      <c r="AB11" s="57">
        <f t="shared" si="8"/>
        <v>0.36866359447004604</v>
      </c>
      <c r="AC11" s="93">
        <f>'YOY Orders'!$N45</f>
        <v>811</v>
      </c>
      <c r="AD11" s="93">
        <f>'YOY Orders'!$F45</f>
        <v>1683</v>
      </c>
      <c r="AE11" s="57">
        <f t="shared" si="9"/>
        <v>-0.51812240047534164</v>
      </c>
      <c r="AF11" s="99">
        <f>Serviceorderfile_Current!$W622</f>
        <v>109</v>
      </c>
      <c r="AG11" s="93">
        <f>Serviceorderfile_PREVIOUS!$W622</f>
        <v>303</v>
      </c>
      <c r="AH11" s="57">
        <f t="shared" si="10"/>
        <v>-0.64026402640264024</v>
      </c>
      <c r="AI11" s="93">
        <f>'YOY Orders'!$M45</f>
        <v>1711</v>
      </c>
      <c r="AJ11" s="93">
        <f>'YOY Orders'!$E45</f>
        <v>1907</v>
      </c>
      <c r="AK11" s="57">
        <f t="shared" si="11"/>
        <v>-0.10277923439958048</v>
      </c>
      <c r="AL11" s="116">
        <f t="shared" si="54"/>
        <v>2704</v>
      </c>
      <c r="AM11" s="56">
        <f t="shared" si="55"/>
        <v>1302</v>
      </c>
      <c r="AN11" s="57">
        <f t="shared" si="12"/>
        <v>1.0768049155145931</v>
      </c>
      <c r="AO11" s="116">
        <f t="shared" ref="AO11" si="93">E11+W11+AC11+AI11+Q11+K11</f>
        <v>6695</v>
      </c>
      <c r="AP11" s="56">
        <f t="shared" ref="AP11" si="94">F11+X11+AD11+AJ11+R11+L11</f>
        <v>4815</v>
      </c>
      <c r="AQ11" s="57">
        <f t="shared" si="13"/>
        <v>0.39044652128764268</v>
      </c>
      <c r="AR11" s="72"/>
      <c r="AS11" s="110" t="s">
        <v>93</v>
      </c>
      <c r="AT11" s="99">
        <f>Serviceorderfile_Current!$I624*Serviceorderfile_Current!$U624</f>
        <v>213</v>
      </c>
      <c r="AU11" s="93">
        <f>Serviceorderfile_PREVIOUS!$I624*Serviceorderfile_PREVIOUS!$U624</f>
        <v>70</v>
      </c>
      <c r="AV11" s="57">
        <f t="shared" si="14"/>
        <v>2.0428571428571427</v>
      </c>
      <c r="AW11" s="78">
        <f t="shared" ref="AW11" si="95">AT11/B11</f>
        <v>0.63963963963963966</v>
      </c>
      <c r="AX11" s="75">
        <f t="shared" ref="AX11" si="96">AU11/C11</f>
        <v>1</v>
      </c>
      <c r="AY11" s="119">
        <f t="shared" ref="AY11" si="97">(AW11-AX11)*100</f>
        <v>-36.036036036036037</v>
      </c>
      <c r="AZ11" s="99">
        <f>Serviceorderfile_Current!$I626*Serviceorderfile_Current!$U626</f>
        <v>902</v>
      </c>
      <c r="BA11" s="93">
        <f>Serviceorderfile_PREVIOUS!$I626*Serviceorderfile_PREVIOUS!$U626</f>
        <v>279</v>
      </c>
      <c r="BB11" s="57">
        <f t="shared" si="17"/>
        <v>2.2329749103942653</v>
      </c>
      <c r="BC11" s="78">
        <f t="shared" ref="BC11" si="98">AZ11/H11</f>
        <v>1</v>
      </c>
      <c r="BD11" s="75">
        <f t="shared" ref="BD11" si="99">BA11/I11</f>
        <v>1</v>
      </c>
      <c r="BE11" s="119">
        <f t="shared" ref="BE11" si="100">(BC11-BD11)*100</f>
        <v>0</v>
      </c>
      <c r="BF11" s="99">
        <f>Serviceorderfile_Current!$I625*Serviceorderfile_Current!$U625</f>
        <v>83</v>
      </c>
      <c r="BG11" s="93">
        <f>Serviceorderfile_PREVIOUS!$I625*Serviceorderfile_PREVIOUS!$U625</f>
        <v>55</v>
      </c>
      <c r="BH11" s="57">
        <f t="shared" si="20"/>
        <v>0.50909090909090904</v>
      </c>
      <c r="BI11" s="78">
        <f t="shared" si="21"/>
        <v>0.29328621908127206</v>
      </c>
      <c r="BJ11" s="75">
        <f t="shared" si="22"/>
        <v>0.35483870967741937</v>
      </c>
      <c r="BK11" s="119">
        <f t="shared" si="78"/>
        <v>-6.1552490596147313</v>
      </c>
      <c r="BL11" s="99">
        <f>Serviceorderfile_Current!$I627*Serviceorderfile_Current!$U627</f>
        <v>288</v>
      </c>
      <c r="BM11" s="93">
        <f>Serviceorderfile_PREVIOUS!$I627*Serviceorderfile_PREVIOUS!$U627</f>
        <v>45</v>
      </c>
      <c r="BN11" s="57">
        <f t="shared" si="23"/>
        <v>5.4</v>
      </c>
      <c r="BO11" s="78">
        <f t="shared" si="24"/>
        <v>0.36923076923076925</v>
      </c>
      <c r="BP11" s="75">
        <f t="shared" si="25"/>
        <v>0.16187050359712229</v>
      </c>
      <c r="BQ11" s="119">
        <f t="shared" si="79"/>
        <v>20.736026563364696</v>
      </c>
      <c r="BR11" s="99">
        <f>Serviceorderfile_Current!$I628*Serviceorderfile_Current!$U628</f>
        <v>297</v>
      </c>
      <c r="BS11" s="93">
        <f>Serviceorderfile_PREVIOUS!$I628*Serviceorderfile_PREVIOUS!$U628</f>
        <v>217</v>
      </c>
      <c r="BT11" s="57">
        <f t="shared" si="26"/>
        <v>0.36866359447004604</v>
      </c>
      <c r="BU11" s="78">
        <f t="shared" si="27"/>
        <v>1</v>
      </c>
      <c r="BV11" s="75">
        <f t="shared" si="28"/>
        <v>1</v>
      </c>
      <c r="BW11" s="119">
        <f t="shared" si="80"/>
        <v>0</v>
      </c>
      <c r="BX11" s="99">
        <f>Serviceorderfile_Current!$I622*Serviceorderfile_Current!$U622</f>
        <v>109</v>
      </c>
      <c r="BY11" s="93">
        <f>Serviceorderfile_PREVIOUS!$I622*Serviceorderfile_PREVIOUS!$U622</f>
        <v>303</v>
      </c>
      <c r="BZ11" s="57">
        <f t="shared" si="29"/>
        <v>-0.64026402640264024</v>
      </c>
      <c r="CA11" s="78">
        <f t="shared" si="30"/>
        <v>1</v>
      </c>
      <c r="CB11" s="75">
        <f t="shared" si="31"/>
        <v>1</v>
      </c>
      <c r="CC11" s="119">
        <f t="shared" si="81"/>
        <v>0</v>
      </c>
      <c r="CD11" s="118">
        <f t="shared" ref="CD11" si="101">AT11+BL11+BR11+BX11+BF11</f>
        <v>990</v>
      </c>
      <c r="CE11" s="77">
        <f t="shared" ref="CE11" si="102">AU11+BM11+BS11+BY11+BG11</f>
        <v>690</v>
      </c>
      <c r="CF11" s="57">
        <f t="shared" ref="CF11" si="103">IF(CE11&gt;0,CD11/CE11-1,1)</f>
        <v>0.43478260869565211</v>
      </c>
      <c r="CG11" s="78">
        <f t="shared" ref="CG11" si="104">CD11/AL11</f>
        <v>0.3661242603550296</v>
      </c>
      <c r="CH11" s="75">
        <f t="shared" ref="CH11" si="105">CE11/AM11</f>
        <v>0.52995391705069128</v>
      </c>
      <c r="CI11" s="119">
        <f t="shared" ref="CI11" si="106">(CG11-CH11)*100</f>
        <v>-16.382965669566168</v>
      </c>
      <c r="CJ11" s="85"/>
      <c r="CK11" s="110" t="s">
        <v>93</v>
      </c>
      <c r="CL11" s="99">
        <f>Serviceorderfile_Current!$J624*Serviceorderfile_Current!$U624</f>
        <v>120</v>
      </c>
      <c r="CM11" s="93">
        <f>Serviceorderfile_PREVIOUS!$J624*Serviceorderfile_PREVIOUS!$U624</f>
        <v>0</v>
      </c>
      <c r="CN11" s="57">
        <f t="shared" si="33"/>
        <v>1</v>
      </c>
      <c r="CO11" s="99">
        <f>Serviceorderfile_Current!$J626*Serviceorderfile_Current!$U626</f>
        <v>0</v>
      </c>
      <c r="CP11" s="93">
        <f>Serviceorderfile_PREVIOUS!$J626*Serviceorderfile_PREVIOUS!$U626</f>
        <v>0</v>
      </c>
      <c r="CQ11" s="57">
        <f t="shared" si="34"/>
        <v>1</v>
      </c>
      <c r="CR11" s="99">
        <f>Serviceorderfile_Current!$J625*Serviceorderfile_Current!$U625</f>
        <v>20</v>
      </c>
      <c r="CS11" s="93">
        <f>Serviceorderfile_PREVIOUS!$J625*Serviceorderfile_PREVIOUS!$U625</f>
        <v>50</v>
      </c>
      <c r="CT11" s="57">
        <f t="shared" si="35"/>
        <v>-0.6</v>
      </c>
      <c r="CU11" s="99">
        <f>Serviceorderfile_Current!$J627*Serviceorderfile_Current!$U627</f>
        <v>148</v>
      </c>
      <c r="CV11" s="93">
        <f>Serviceorderfile_PREVIOUS!$J627*Serviceorderfile_PREVIOUS!$U627</f>
        <v>45</v>
      </c>
      <c r="CW11" s="57">
        <f t="shared" si="36"/>
        <v>2.2888888888888888</v>
      </c>
      <c r="CX11" s="99">
        <f>Serviceorderfile_Current!$J628*Serviceorderfile_Current!$U628</f>
        <v>0</v>
      </c>
      <c r="CY11" s="93">
        <f>Serviceorderfile_PREVIOUS!$J628*Serviceorderfile_PREVIOUS!$U628</f>
        <v>0</v>
      </c>
      <c r="CZ11" s="57">
        <f t="shared" si="37"/>
        <v>1</v>
      </c>
      <c r="DA11" s="99">
        <f>Serviceorderfile_Current!$J622*Serviceorderfile_Current!$U622</f>
        <v>0</v>
      </c>
      <c r="DB11" s="93">
        <f>Serviceorderfile_PREVIOUS!$J622*Serviceorderfile_PREVIOUS!$U622</f>
        <v>0</v>
      </c>
      <c r="DC11" s="57">
        <f t="shared" ref="DC11" si="107">IF(DB11&gt;0,DA11/DB11-1,1)</f>
        <v>1</v>
      </c>
      <c r="DD11" s="118">
        <f t="shared" ref="DD11" si="108">CL11+CO11+CR11+CU11+CX11+DA11</f>
        <v>288</v>
      </c>
      <c r="DE11" s="77">
        <f t="shared" ref="DE11" si="109">CM11+CP11+CS11+CV11+CY11+DB11</f>
        <v>95</v>
      </c>
      <c r="DF11" s="57">
        <f t="shared" ref="DF11" si="110">IF(DE11&gt;0,DD11/DE11-1,1)</f>
        <v>2.0315789473684212</v>
      </c>
      <c r="DG11" s="86"/>
      <c r="DH11" s="110" t="s">
        <v>93</v>
      </c>
      <c r="DI11" s="99">
        <f>Serviceorderfile_Current!$K624*Serviceorderfile_Current!$U624</f>
        <v>0</v>
      </c>
      <c r="DJ11" s="93">
        <f>Serviceorderfile_PREVIOUS!$K624*Serviceorderfile_PREVIOUS!$U624</f>
        <v>0</v>
      </c>
      <c r="DK11" s="57">
        <f t="shared" ref="DK11" si="111">IF(DJ11&gt;0,DI11/DJ11-1,1)</f>
        <v>1</v>
      </c>
      <c r="DL11" s="99">
        <f>Serviceorderfile_Current!$K626*Serviceorderfile_Current!$U626</f>
        <v>0</v>
      </c>
      <c r="DM11" s="93">
        <f>Serviceorderfile_PREVIOUS!$K626*Serviceorderfile_PREVIOUS!$U626</f>
        <v>0</v>
      </c>
      <c r="DN11" s="57">
        <f t="shared" ref="DN11" si="112">IF(DM11&gt;0,DL11/DM11-1,1)</f>
        <v>1</v>
      </c>
      <c r="DO11" s="99">
        <f>Serviceorderfile_Current!$K625*Serviceorderfile_Current!$U625</f>
        <v>20</v>
      </c>
      <c r="DP11" s="93">
        <f>Serviceorderfile_PREVIOUS!$K625*Serviceorderfile_PREVIOUS!$U625</f>
        <v>50</v>
      </c>
      <c r="DQ11" s="57">
        <f t="shared" ref="DQ11" si="113">IF(DP11&gt;0,DO11/DP11-1,1)</f>
        <v>-0.6</v>
      </c>
      <c r="DR11" s="99">
        <f>Serviceorderfile_Current!$K627*Serviceorderfile_Current!$U627</f>
        <v>106</v>
      </c>
      <c r="DS11" s="93">
        <f>Serviceorderfile_PREVIOUS!$K627*Serviceorderfile_PREVIOUS!$U627</f>
        <v>45</v>
      </c>
      <c r="DT11" s="57">
        <f t="shared" ref="DT11" si="114">IF(DS11&gt;0,DR11/DS11-1,1)</f>
        <v>1.3555555555555556</v>
      </c>
      <c r="DU11" s="99">
        <f>Serviceorderfile_Current!$K628*Serviceorderfile_Current!$U628</f>
        <v>0</v>
      </c>
      <c r="DV11" s="93">
        <f>Serviceorderfile_PREVIOUS!$K628*Serviceorderfile_PREVIOUS!$U628</f>
        <v>0</v>
      </c>
      <c r="DW11" s="57">
        <f t="shared" ref="DW11" si="115">IF(DV11&gt;0,DU11/DV11-1,1)</f>
        <v>1</v>
      </c>
      <c r="DX11" s="99">
        <f>Serviceorderfile_Current!$K622*Serviceorderfile_Current!$U622</f>
        <v>0</v>
      </c>
      <c r="DY11" s="93">
        <f>Serviceorderfile_PREVIOUS!$K622*Serviceorderfile_PREVIOUS!$U622</f>
        <v>0</v>
      </c>
      <c r="DZ11" s="57">
        <f t="shared" ref="DZ11" si="116">IF(DY11&gt;0,DX11/DY11-1,1)</f>
        <v>1</v>
      </c>
      <c r="EA11" s="118">
        <f t="shared" ref="EA11" si="117">DI11+DL11+DO11+DR11+DU11+DX11</f>
        <v>126</v>
      </c>
      <c r="EB11" s="77">
        <f t="shared" ref="EB11" si="118">DJ11+DM11+DP11+DS11+DV11+DY11</f>
        <v>95</v>
      </c>
      <c r="EC11" s="57">
        <f t="shared" ref="EC11" si="119">IF(EB11&gt;0,EA11/EB11-1,1)</f>
        <v>0.32631578947368411</v>
      </c>
      <c r="ED11" s="94"/>
      <c r="EE11" s="110" t="s">
        <v>93</v>
      </c>
      <c r="EF11" s="76">
        <f>Serviceorderfile_Current!V621</f>
        <v>1</v>
      </c>
      <c r="EG11" s="57">
        <f>Aged!E38</f>
        <v>0.98</v>
      </c>
      <c r="EH11" s="99">
        <f>Serviceorderfile_Current!$U616*Serviceorderfile_Current!$H616</f>
        <v>1280</v>
      </c>
      <c r="EI11" s="93">
        <f>Serviceorderfile_PREVIOUS!$U651*Serviceorderfile_PREVIOUS!$H651</f>
        <v>0</v>
      </c>
      <c r="EJ11" s="57">
        <f t="shared" ref="EJ11" si="120">IF(EI11&gt;0,EH11/EI11-1,1)</f>
        <v>1</v>
      </c>
      <c r="EK11" s="99">
        <f>Serviceorderfile_Current!$U618*Serviceorderfile_Current!$H618</f>
        <v>2517</v>
      </c>
      <c r="EL11" s="93">
        <f>Serviceorderfile_PREVIOUS!$U653*Serviceorderfile_PREVIOUS!$H653</f>
        <v>4.6188000000000002</v>
      </c>
      <c r="EM11" s="57">
        <f t="shared" si="48"/>
        <v>543.94673941283452</v>
      </c>
      <c r="EN11" s="99">
        <f>Serviceorderfile_Current!$U617*Serviceorderfile_Current!$H617</f>
        <v>4307</v>
      </c>
      <c r="EO11" s="93">
        <f>Serviceorderfile_PREVIOUS!$U617*Serviceorderfile_PREVIOUS!$H617</f>
        <v>1452</v>
      </c>
      <c r="EP11" s="57">
        <f t="shared" si="49"/>
        <v>1.9662534435261709</v>
      </c>
      <c r="EQ11" s="99">
        <f>Serviceorderfile_Current!$U619*Serviceorderfile_Current!$H619</f>
        <v>970</v>
      </c>
      <c r="ER11" s="93">
        <f>Serviceorderfile_PREVIOUS!$U619*Serviceorderfile_PREVIOUS!$H619</f>
        <v>1939</v>
      </c>
      <c r="ES11" s="57">
        <f t="shared" si="50"/>
        <v>-0.49974213512119647</v>
      </c>
      <c r="ET11" s="99">
        <f>Serviceorderfile_Current!$U620*Serviceorderfile_Current!$H620</f>
        <v>24</v>
      </c>
      <c r="EU11" s="93">
        <v>0</v>
      </c>
      <c r="EV11" s="57">
        <f t="shared" si="51"/>
        <v>1</v>
      </c>
      <c r="EW11" s="84"/>
      <c r="EX11" s="186">
        <f>Serviceorderfile_Current!$V649</f>
        <v>0</v>
      </c>
      <c r="EY11" s="86">
        <f>Aged!E91</f>
        <v>0.63</v>
      </c>
      <c r="EZ11" s="99">
        <f>Serviceorderfile_Current!$U618*Serviceorderfile_Current!$H618</f>
        <v>2517</v>
      </c>
      <c r="FA11" s="93">
        <f>Serviceorderfile_PREVIOUS!$U618*Serviceorderfile_PREVIOUS!$H618</f>
        <v>2348</v>
      </c>
      <c r="FB11" s="185">
        <f t="shared" ref="FB11" si="121">IF(FA11&gt;0,EZ11/FA11-1,1)</f>
        <v>7.1976149914821042E-2</v>
      </c>
      <c r="FC11" s="84"/>
      <c r="FD11" s="187">
        <f t="shared" ref="FD11" si="122">EZ11+ET11+EQ11+EN11+EK11+EH11</f>
        <v>11615</v>
      </c>
      <c r="FE11" s="79">
        <f t="shared" ref="FE11" si="123">FA11+EU11+ER11+EO11+EL11+EI11</f>
        <v>5743.6188000000002</v>
      </c>
      <c r="FF11" s="185">
        <f t="shared" ref="FF11" si="124">IF(FE11&gt;0,FD11/FE11-1,1)</f>
        <v>1.0222442338965809</v>
      </c>
      <c r="FG11" s="94"/>
      <c r="FH11" s="84"/>
      <c r="FI11" s="84"/>
      <c r="FJ11" s="84"/>
      <c r="FK11" s="84"/>
      <c r="FL11" s="84"/>
      <c r="FM11" s="84"/>
      <c r="FN11" s="84"/>
      <c r="FO11" s="84"/>
      <c r="FP11" s="84"/>
      <c r="FQ11" s="84"/>
      <c r="FR11" s="84"/>
      <c r="FS11" s="84"/>
      <c r="FT11" s="84"/>
      <c r="FU11" s="84"/>
      <c r="FV11" s="84"/>
      <c r="FW11" s="84"/>
      <c r="FX11" s="84"/>
    </row>
    <row r="12" spans="1:180" s="63" customFormat="1" ht="12" customHeight="1" outlineLevel="1" x14ac:dyDescent="0.25">
      <c r="A12" s="110" t="s">
        <v>89</v>
      </c>
      <c r="B12" s="99">
        <f>Serviceorderfile_Current!$W488</f>
        <v>134.274</v>
      </c>
      <c r="C12" s="93">
        <f>Serviceorderfile_PREVIOUS!$W488</f>
        <v>129.381</v>
      </c>
      <c r="D12" s="57">
        <f t="shared" si="0"/>
        <v>3.7818535951955834E-2</v>
      </c>
      <c r="E12" s="93">
        <f>'YOY Orders'!$J8</f>
        <v>49.707000000000001</v>
      </c>
      <c r="F12" s="93">
        <f>'YOY Orders'!$B8</f>
        <v>182.07000000000002</v>
      </c>
      <c r="G12" s="57">
        <f>IF(F12&gt;0,E12/F12-1,1)</f>
        <v>-0.72698961937716267</v>
      </c>
      <c r="H12" s="99">
        <f>Serviceorderfile_Current!$W490</f>
        <v>76.082999999999998</v>
      </c>
      <c r="I12" s="93">
        <f>Serviceorderfile_PREVIOUS!$W490</f>
        <v>77.195999999999998</v>
      </c>
      <c r="J12" s="57">
        <f t="shared" si="2"/>
        <v>-1.4417845484221981E-2</v>
      </c>
      <c r="K12" s="93">
        <f>'YOY Orders'!$K8</f>
        <v>73.332000000000008</v>
      </c>
      <c r="L12" s="93">
        <f>'YOY Orders'!$C8</f>
        <v>40.152000000000001</v>
      </c>
      <c r="M12" s="57">
        <f>IF(L12&gt;0,K12/L12-1,1)</f>
        <v>0.82635983263598334</v>
      </c>
      <c r="N12" s="99">
        <f>Serviceorderfile_Current!$W489</f>
        <v>0</v>
      </c>
      <c r="O12" s="93">
        <f>Serviceorderfile_PREVIOUS!$W489</f>
        <v>0</v>
      </c>
      <c r="P12" s="57">
        <f t="shared" si="4"/>
        <v>1</v>
      </c>
      <c r="Q12" s="93">
        <f>'YOY Orders'!$O8</f>
        <v>0</v>
      </c>
      <c r="R12" s="93">
        <f>'YOY Orders'!$G8</f>
        <v>0</v>
      </c>
      <c r="S12" s="57">
        <f>IF(R12&gt;0,Q12/R12-1,1)</f>
        <v>1</v>
      </c>
      <c r="T12" s="99">
        <f>Serviceorderfile_Current!$W491</f>
        <v>28.329000000000001</v>
      </c>
      <c r="U12" s="93">
        <f>Serviceorderfile_PREVIOUS!$W491</f>
        <v>33.327000000000005</v>
      </c>
      <c r="V12" s="57">
        <f t="shared" si="6"/>
        <v>-0.1499684940138627</v>
      </c>
      <c r="W12" s="93">
        <f>'YOY Orders'!$L8</f>
        <v>13.566000000000001</v>
      </c>
      <c r="X12" s="93">
        <f>'YOY Orders'!$D8</f>
        <v>16.359000000000002</v>
      </c>
      <c r="Y12" s="57">
        <f t="shared" si="7"/>
        <v>-0.17073170731707321</v>
      </c>
      <c r="Z12" s="99">
        <f>Serviceorderfile_Current!$W492</f>
        <v>0</v>
      </c>
      <c r="AA12" s="93">
        <f>Serviceorderfile_PREVIOUS!$W492</f>
        <v>0</v>
      </c>
      <c r="AB12" s="57">
        <f t="shared" si="8"/>
        <v>1</v>
      </c>
      <c r="AC12" s="93">
        <f>'YOY Orders'!$N8</f>
        <v>0</v>
      </c>
      <c r="AD12" s="93">
        <f>'YOY Orders'!$F8</f>
        <v>0</v>
      </c>
      <c r="AE12" s="57">
        <f>IF(AD12&gt;0,AC12/AD12-1,1)</f>
        <v>1</v>
      </c>
      <c r="AF12" s="99">
        <f>Serviceorderfile_Current!$W486</f>
        <v>0</v>
      </c>
      <c r="AG12" s="93">
        <f>Serviceorderfile_PREVIOUS!$W486</f>
        <v>0</v>
      </c>
      <c r="AH12" s="57">
        <f t="shared" si="10"/>
        <v>1</v>
      </c>
      <c r="AI12" s="93">
        <f>'YOY Orders'!$M8</f>
        <v>0</v>
      </c>
      <c r="AJ12" s="93">
        <f>'YOY Orders'!$E8</f>
        <v>0</v>
      </c>
      <c r="AK12" s="57">
        <f>IF(AJ12&gt;0,AI12/AJ12-1,1)</f>
        <v>1</v>
      </c>
      <c r="AL12" s="116">
        <f t="shared" si="54"/>
        <v>238.68600000000001</v>
      </c>
      <c r="AM12" s="56">
        <f t="shared" si="55"/>
        <v>239.904</v>
      </c>
      <c r="AN12" s="57">
        <f t="shared" si="12"/>
        <v>-5.0770308123249119E-3</v>
      </c>
      <c r="AO12" s="116">
        <f t="shared" si="56"/>
        <v>136.60500000000002</v>
      </c>
      <c r="AP12" s="56">
        <f t="shared" si="57"/>
        <v>238.58100000000002</v>
      </c>
      <c r="AQ12" s="57">
        <f t="shared" si="13"/>
        <v>-0.42742716310183959</v>
      </c>
      <c r="AR12" s="72"/>
      <c r="AS12" s="110" t="s">
        <v>89</v>
      </c>
      <c r="AT12" s="99">
        <f>Serviceorderfile_Current!$I488*Serviceorderfile_Current!$U488</f>
        <v>8.9459999999999997</v>
      </c>
      <c r="AU12" s="93">
        <f>Serviceorderfile_PREVIOUS!$I488*Serviceorderfile_PREVIOUS!$U488</f>
        <v>88.494</v>
      </c>
      <c r="AV12" s="57">
        <f t="shared" si="14"/>
        <v>-0.89890840056953014</v>
      </c>
      <c r="AW12" s="78">
        <f t="shared" si="84"/>
        <v>6.6624960900844535E-2</v>
      </c>
      <c r="AX12" s="75">
        <f t="shared" si="85"/>
        <v>0.68397987339717581</v>
      </c>
      <c r="AY12" s="119">
        <f t="shared" si="86"/>
        <v>-61.735491249633121</v>
      </c>
      <c r="AZ12" s="99">
        <f>Serviceorderfile_Current!$I490*Serviceorderfile_Current!$U490</f>
        <v>0</v>
      </c>
      <c r="BA12" s="93">
        <f>Serviceorderfile_PREVIOUS!$I490*Serviceorderfile_PREVIOUS!$U490</f>
        <v>63.945000000000007</v>
      </c>
      <c r="BB12" s="57">
        <f t="shared" ref="BB12:BB18" si="125">IF(BA12&gt;0,AZ12/BA12-1,1)</f>
        <v>-1</v>
      </c>
      <c r="BC12" s="78">
        <f t="shared" ref="BC12:BC19" si="126">AZ12/H12</f>
        <v>0</v>
      </c>
      <c r="BD12" s="75">
        <f t="shared" ref="BD12:BD19" si="127">BA12/I12</f>
        <v>0.82834602829162141</v>
      </c>
      <c r="BE12" s="119">
        <f t="shared" ref="BE12:BE18" si="128">(BC12-BD12)*100</f>
        <v>-82.834602829162137</v>
      </c>
      <c r="BF12" s="99">
        <f>Serviceorderfile_Current!$I489*Serviceorderfile_Current!$U489</f>
        <v>0</v>
      </c>
      <c r="BG12" s="93">
        <f>Serviceorderfile_PREVIOUS!$I489*Serviceorderfile_PREVIOUS!$U489</f>
        <v>0</v>
      </c>
      <c r="BH12" s="57">
        <f t="shared" ref="BH12:BH18" si="129">IF(BG12&gt;0,BF12/BG12-1,1)</f>
        <v>1</v>
      </c>
      <c r="BI12" s="78" t="e">
        <f t="shared" si="21"/>
        <v>#DIV/0!</v>
      </c>
      <c r="BJ12" s="75" t="e">
        <f t="shared" si="22"/>
        <v>#DIV/0!</v>
      </c>
      <c r="BK12" s="119" t="e">
        <f t="shared" si="78"/>
        <v>#DIV/0!</v>
      </c>
      <c r="BL12" s="99">
        <f>Serviceorderfile_Current!$I491*Serviceorderfile_Current!$U491</f>
        <v>7.2240000000000002</v>
      </c>
      <c r="BM12" s="93">
        <f>Serviceorderfile_PREVIOUS!$I491*Serviceorderfile_PREVIOUS!$U491</f>
        <v>5.3550000000000004</v>
      </c>
      <c r="BN12" s="57">
        <f t="shared" ref="BN12:BN18" si="130">IF(BM12&gt;0,BL12/BM12-1,1)</f>
        <v>0.34901960784313713</v>
      </c>
      <c r="BO12" s="78">
        <f t="shared" si="24"/>
        <v>0.25500370644922166</v>
      </c>
      <c r="BP12" s="75">
        <f t="shared" si="25"/>
        <v>0.16068052930056709</v>
      </c>
      <c r="BQ12" s="119">
        <f t="shared" si="79"/>
        <v>9.4323177148654569</v>
      </c>
      <c r="BR12" s="99">
        <f>Serviceorderfile_Current!$I492*Serviceorderfile_Current!$U492</f>
        <v>0</v>
      </c>
      <c r="BS12" s="93">
        <f>Serviceorderfile_PREVIOUS!$I492*Serviceorderfile_PREVIOUS!$U492</f>
        <v>0</v>
      </c>
      <c r="BT12" s="57">
        <f t="shared" ref="BT12:BT18" si="131">IF(BS12&gt;0,BR12/BS12-1,1)</f>
        <v>1</v>
      </c>
      <c r="BU12" s="78" t="e">
        <f t="shared" si="27"/>
        <v>#DIV/0!</v>
      </c>
      <c r="BV12" s="75" t="e">
        <f t="shared" si="28"/>
        <v>#DIV/0!</v>
      </c>
      <c r="BW12" s="119" t="e">
        <f t="shared" si="80"/>
        <v>#DIV/0!</v>
      </c>
      <c r="BX12" s="99">
        <f>Serviceorderfile_Current!$I486*Serviceorderfile_Current!$U486</f>
        <v>0</v>
      </c>
      <c r="BY12" s="93">
        <f>Serviceorderfile_PREVIOUS!$I486*Serviceorderfile_PREVIOUS!$U486</f>
        <v>0</v>
      </c>
      <c r="BZ12" s="57">
        <f t="shared" ref="BZ12:BZ18" si="132">IF(BY12&gt;0,BX12/BY12-1,1)</f>
        <v>1</v>
      </c>
      <c r="CA12" s="78" t="e">
        <f t="shared" si="30"/>
        <v>#DIV/0!</v>
      </c>
      <c r="CB12" s="75" t="e">
        <f t="shared" si="31"/>
        <v>#DIV/0!</v>
      </c>
      <c r="CC12" s="119" t="e">
        <f t="shared" si="81"/>
        <v>#DIV/0!</v>
      </c>
      <c r="CD12" s="118">
        <f t="shared" si="87"/>
        <v>16.170000000000002</v>
      </c>
      <c r="CE12" s="77">
        <f t="shared" si="88"/>
        <v>93.849000000000004</v>
      </c>
      <c r="CF12" s="57">
        <f t="shared" si="89"/>
        <v>-0.82770194674423814</v>
      </c>
      <c r="CG12" s="78">
        <f t="shared" si="90"/>
        <v>6.7745908850959005E-2</v>
      </c>
      <c r="CH12" s="75">
        <f t="shared" si="91"/>
        <v>0.39119397759103641</v>
      </c>
      <c r="CI12" s="119">
        <f t="shared" si="92"/>
        <v>-32.344806874007745</v>
      </c>
      <c r="CJ12" s="85"/>
      <c r="CK12" s="110" t="s">
        <v>89</v>
      </c>
      <c r="CL12" s="99">
        <f>Serviceorderfile_Current!$J488*Serviceorderfile_Current!$U488</f>
        <v>0</v>
      </c>
      <c r="CM12" s="93">
        <f>Serviceorderfile_PREVIOUS!$J488*Serviceorderfile_PREVIOUS!$U488</f>
        <v>40.278000000000006</v>
      </c>
      <c r="CN12" s="57">
        <f t="shared" ref="CN12:CN18" si="133">IF(CM12&gt;0,CL12/CM12-1,1)</f>
        <v>-1</v>
      </c>
      <c r="CO12" s="99">
        <f>Serviceorderfile_Current!$J490*Serviceorderfile_Current!$U490</f>
        <v>0</v>
      </c>
      <c r="CP12" s="93">
        <f>Serviceorderfile_PREVIOUS!$J490*Serviceorderfile_PREVIOUS!$U490</f>
        <v>0</v>
      </c>
      <c r="CQ12" s="57">
        <f t="shared" si="34"/>
        <v>1</v>
      </c>
      <c r="CR12" s="99">
        <f>Serviceorderfile_Current!$J489*Serviceorderfile_Current!$U489</f>
        <v>0</v>
      </c>
      <c r="CS12" s="93">
        <f>Serviceorderfile_PREVIOUS!$J489*Serviceorderfile_PREVIOUS!$U489</f>
        <v>0</v>
      </c>
      <c r="CT12" s="57">
        <f t="shared" ref="CT12:CT18" si="134">IF(CS12&gt;0,CR12/CS12-1,1)</f>
        <v>1</v>
      </c>
      <c r="CU12" s="99">
        <f>Serviceorderfile_Current!$J491*Serviceorderfile_Current!$U491</f>
        <v>0</v>
      </c>
      <c r="CV12" s="93">
        <f>Serviceorderfile_PREVIOUS!$J491*Serviceorderfile_PREVIOUS!$U491</f>
        <v>5.7540000000000004</v>
      </c>
      <c r="CW12" s="57">
        <f t="shared" ref="CW12:CW18" si="135">IF(CV12&gt;0,CU12/CV12-1,1)</f>
        <v>-1</v>
      </c>
      <c r="CX12" s="99">
        <f>Serviceorderfile_Current!$J492*Serviceorderfile_Current!$U492</f>
        <v>0</v>
      </c>
      <c r="CY12" s="93">
        <f>Serviceorderfile_PREVIOUS!$J492*Serviceorderfile_PREVIOUS!$U492</f>
        <v>0</v>
      </c>
      <c r="CZ12" s="57">
        <f t="shared" ref="CZ12:CZ18" si="136">IF(CY12&gt;0,CX12/CY12-1,1)</f>
        <v>1</v>
      </c>
      <c r="DA12" s="99">
        <f>Serviceorderfile_Current!$J486*Serviceorderfile_Current!$U486</f>
        <v>0</v>
      </c>
      <c r="DB12" s="93">
        <f>Serviceorderfile_PREVIOUS!$J486*Serviceorderfile_PREVIOUS!$U486</f>
        <v>0</v>
      </c>
      <c r="DC12" s="57">
        <f t="shared" ref="DC12:DC18" si="137">IF(DB12&gt;0,DA12/DB12-1,1)</f>
        <v>1</v>
      </c>
      <c r="DD12" s="118">
        <f t="shared" si="62"/>
        <v>0</v>
      </c>
      <c r="DE12" s="77">
        <f t="shared" si="63"/>
        <v>46.032000000000004</v>
      </c>
      <c r="DF12" s="57">
        <f t="shared" si="39"/>
        <v>-1</v>
      </c>
      <c r="DG12" s="86"/>
      <c r="DH12" s="110" t="s">
        <v>89</v>
      </c>
      <c r="DI12" s="99">
        <f>Serviceorderfile_Current!$K488*Serviceorderfile_Current!$U488</f>
        <v>0</v>
      </c>
      <c r="DJ12" s="93">
        <f>Serviceorderfile_PREVIOUS!$K488*Serviceorderfile_PREVIOUS!$U488</f>
        <v>0</v>
      </c>
      <c r="DK12" s="57">
        <f t="shared" ref="DK12:DK18" si="138">IF(DJ12&gt;0,DI12/DJ12-1,1)</f>
        <v>1</v>
      </c>
      <c r="DL12" s="99">
        <f>Serviceorderfile_Current!$K490*Serviceorderfile_Current!$U490</f>
        <v>0</v>
      </c>
      <c r="DM12" s="93">
        <f>Serviceorderfile_PREVIOUS!$K490*Serviceorderfile_PREVIOUS!$U490</f>
        <v>13.251000000000001</v>
      </c>
      <c r="DN12" s="57">
        <f t="shared" ref="DN12:DN18" si="139">IF(DM12&gt;0,DL12/DM12-1,1)</f>
        <v>-1</v>
      </c>
      <c r="DO12" s="99">
        <f>Serviceorderfile_Current!$K489*Serviceorderfile_Current!$U489</f>
        <v>0</v>
      </c>
      <c r="DP12" s="93">
        <f>Serviceorderfile_PREVIOUS!$K489*Serviceorderfile_PREVIOUS!$U489</f>
        <v>0</v>
      </c>
      <c r="DQ12" s="57">
        <f t="shared" ref="DQ12:DQ18" si="140">IF(DP12&gt;0,DO12/DP12-1,1)</f>
        <v>1</v>
      </c>
      <c r="DR12" s="99">
        <f>Serviceorderfile_Current!$K491*Serviceorderfile_Current!$U491</f>
        <v>0.21000000000000002</v>
      </c>
      <c r="DS12" s="93">
        <f>Serviceorderfile_PREVIOUS!$K491*Serviceorderfile_PREVIOUS!$U491</f>
        <v>1.2810000000000001</v>
      </c>
      <c r="DT12" s="57">
        <f t="shared" ref="DT12:DT18" si="141">IF(DS12&gt;0,DR12/DS12-1,1)</f>
        <v>-0.83606557377049184</v>
      </c>
      <c r="DU12" s="99">
        <f>Serviceorderfile_Current!$K492*Serviceorderfile_Current!$U492</f>
        <v>0</v>
      </c>
      <c r="DV12" s="93">
        <f>Serviceorderfile_PREVIOUS!$K492*Serviceorderfile_PREVIOUS!$U492</f>
        <v>0</v>
      </c>
      <c r="DW12" s="57">
        <f t="shared" ref="DW12:DW18" si="142">IF(DV12&gt;0,DU12/DV12-1,1)</f>
        <v>1</v>
      </c>
      <c r="DX12" s="99">
        <f>Serviceorderfile_Current!$K486*Serviceorderfile_Current!$U486</f>
        <v>0</v>
      </c>
      <c r="DY12" s="93">
        <f>Serviceorderfile_PREVIOUS!$K486*Serviceorderfile_PREVIOUS!$U486</f>
        <v>0</v>
      </c>
      <c r="DZ12" s="57">
        <f t="shared" ref="DZ12:DZ18" si="143">IF(DY12&gt;0,DX12/DY12-1,1)</f>
        <v>1</v>
      </c>
      <c r="EA12" s="118">
        <f t="shared" ref="EA12:EA19" si="144">DI12+DL12+DO12+DR12+DU12+DX12</f>
        <v>0.21000000000000002</v>
      </c>
      <c r="EB12" s="77">
        <f t="shared" ref="EB12:EB19" si="145">DJ12+DM12+DP12+DS12+DV12+DY12</f>
        <v>14.532000000000002</v>
      </c>
      <c r="EC12" s="57">
        <f t="shared" ref="EC12:EC18" si="146">IF(EB12&gt;0,EA12/EB12-1,1)</f>
        <v>-0.98554913294797686</v>
      </c>
      <c r="ED12" s="94"/>
      <c r="EE12" s="110" t="s">
        <v>89</v>
      </c>
      <c r="EF12" s="76">
        <f>Serviceorderfile_Current!$V485</f>
        <v>1</v>
      </c>
      <c r="EG12" s="57">
        <f>Aged!E30</f>
        <v>0.99</v>
      </c>
      <c r="EH12" s="99">
        <f>Serviceorderfile_Current!$U480*Serviceorderfile_Current!$H480</f>
        <v>66.25500000000001</v>
      </c>
      <c r="EI12" s="93">
        <f>Serviceorderfile_PREVIOUS!$U480*Serviceorderfile_PREVIOUS!$H480</f>
        <v>238.56</v>
      </c>
      <c r="EJ12" s="57">
        <f t="shared" si="47"/>
        <v>-0.72227112676056326</v>
      </c>
      <c r="EK12" s="99">
        <f>Serviceorderfile_Current!$U482*Serviceorderfile_Current!$H482</f>
        <v>0</v>
      </c>
      <c r="EL12" s="93">
        <f>Serviceorderfile_PREVIOUS!$U482*Serviceorderfile_PREVIOUS!$H482</f>
        <v>291.73200000000003</v>
      </c>
      <c r="EM12" s="57">
        <f t="shared" si="48"/>
        <v>-1</v>
      </c>
      <c r="EN12" s="99">
        <f>Serviceorderfile_Current!$U481*Serviceorderfile_Current!$H481</f>
        <v>0</v>
      </c>
      <c r="EO12" s="93">
        <f>Serviceorderfile_PREVIOUS!$U481*Serviceorderfile_PREVIOUS!$H481</f>
        <v>0</v>
      </c>
      <c r="EP12" s="57">
        <f t="shared" si="49"/>
        <v>1</v>
      </c>
      <c r="EQ12" s="99">
        <f>Serviceorderfile_Current!$U483*Serviceorderfile_Current!$H483</f>
        <v>83.475000000000009</v>
      </c>
      <c r="ER12" s="93">
        <f>Serviceorderfile_PREVIOUS!$U483*Serviceorderfile_PREVIOUS!$H483</f>
        <v>0</v>
      </c>
      <c r="ES12" s="57">
        <f t="shared" si="50"/>
        <v>1</v>
      </c>
      <c r="ET12" s="99">
        <f>Serviceorderfile_Current!$U484*Serviceorderfile_Current!$H484</f>
        <v>0</v>
      </c>
      <c r="EU12" s="93">
        <f>Serviceorderfile_PREVIOUS!$U484*Serviceorderfile_PREVIOUS!$H484</f>
        <v>0</v>
      </c>
      <c r="EV12" s="57">
        <f t="shared" si="51"/>
        <v>1</v>
      </c>
      <c r="EW12" s="84"/>
      <c r="EX12" s="76">
        <f>Serviceorderfile_Current!$V478</f>
        <v>1</v>
      </c>
      <c r="EY12" s="47">
        <f>Aged!E83</f>
        <v>0</v>
      </c>
      <c r="EZ12" s="99">
        <f>Serviceorderfile_Current!$U482*Serviceorderfile_Current!$H482</f>
        <v>0</v>
      </c>
      <c r="FA12" s="93">
        <f>Serviceorderfile_PREVIOUS!$U482*Serviceorderfile_PREVIOUS!$H482</f>
        <v>291.73200000000003</v>
      </c>
      <c r="FB12" s="57">
        <f t="shared" si="52"/>
        <v>-1</v>
      </c>
      <c r="FC12" s="84"/>
      <c r="FD12" s="118">
        <f t="shared" si="66"/>
        <v>149.73000000000002</v>
      </c>
      <c r="FE12" s="77">
        <f t="shared" si="67"/>
        <v>822.02400000000011</v>
      </c>
      <c r="FF12" s="57">
        <f t="shared" si="75"/>
        <v>-0.81785203351726954</v>
      </c>
      <c r="FG12" s="94"/>
      <c r="FH12" s="84"/>
      <c r="FI12" s="84"/>
      <c r="FJ12" s="84"/>
      <c r="FK12" s="84"/>
      <c r="FL12" s="84"/>
      <c r="FM12" s="84"/>
      <c r="FN12" s="84"/>
      <c r="FO12" s="84"/>
      <c r="FP12" s="84"/>
      <c r="FQ12" s="84"/>
      <c r="FR12" s="84"/>
      <c r="FS12" s="84"/>
      <c r="FT12" s="84"/>
      <c r="FU12" s="84"/>
      <c r="FV12" s="84"/>
      <c r="FW12" s="84"/>
      <c r="FX12" s="84"/>
    </row>
    <row r="13" spans="1:180" s="63" customFormat="1" ht="12" customHeight="1" outlineLevel="1" x14ac:dyDescent="0.25">
      <c r="A13" s="110" t="s">
        <v>88</v>
      </c>
      <c r="B13" s="99">
        <f>Serviceorderfile_Current!$W505</f>
        <v>1301.0340000000001</v>
      </c>
      <c r="C13" s="93">
        <f>Serviceorderfile_PREVIOUS!$W505</f>
        <v>1078.434</v>
      </c>
      <c r="D13" s="57">
        <f t="shared" si="0"/>
        <v>0.20641040620010132</v>
      </c>
      <c r="E13" s="93">
        <f>'YOY Orders'!$J39</f>
        <v>408.84900000000005</v>
      </c>
      <c r="F13" s="93">
        <f>'YOY Orders'!$B39</f>
        <v>559.125</v>
      </c>
      <c r="G13" s="57">
        <f>IF(F13&gt;0,E13/F13-1,1)</f>
        <v>-0.26876995305164308</v>
      </c>
      <c r="H13" s="99">
        <f>Serviceorderfile_Current!$W507</f>
        <v>1597.4280000000001</v>
      </c>
      <c r="I13" s="93">
        <f>Serviceorderfile_PREVIOUS!$W507</f>
        <v>1703.7510000000002</v>
      </c>
      <c r="J13" s="57">
        <f t="shared" si="2"/>
        <v>-6.2405245836979706E-2</v>
      </c>
      <c r="K13" s="93">
        <f>'YOY Orders'!$K39</f>
        <v>-871.9620000000001</v>
      </c>
      <c r="L13" s="93">
        <f>'YOY Orders'!$C39</f>
        <v>613.99800000000005</v>
      </c>
      <c r="M13" s="57">
        <f>IF(L13&gt;0,K13/L13-1,1)</f>
        <v>-2.4201381763458514</v>
      </c>
      <c r="N13" s="99">
        <f>Serviceorderfile_Current!$W506</f>
        <v>212.41500000000002</v>
      </c>
      <c r="O13" s="93">
        <f>Serviceorderfile_PREVIOUS!$W506</f>
        <v>322.14000000000004</v>
      </c>
      <c r="P13" s="57">
        <f t="shared" si="4"/>
        <v>-0.34061277705345505</v>
      </c>
      <c r="Q13" s="93">
        <f>'YOY Orders'!$O39</f>
        <v>251.81100000000001</v>
      </c>
      <c r="R13" s="93">
        <f>'YOY Orders'!$G39</f>
        <v>595.09800000000007</v>
      </c>
      <c r="S13" s="57">
        <f>IF(R13&gt;0,Q13/R13-1,1)</f>
        <v>-0.57685792928223589</v>
      </c>
      <c r="T13" s="99">
        <f>Serviceorderfile_Current!$W508</f>
        <v>91.959000000000003</v>
      </c>
      <c r="U13" s="93">
        <f>Serviceorderfile_PREVIOUS!$W508</f>
        <v>156.828</v>
      </c>
      <c r="V13" s="57">
        <f t="shared" si="6"/>
        <v>-0.41363149437600433</v>
      </c>
      <c r="W13" s="93">
        <f>'YOY Orders'!$L39</f>
        <v>132.99299999999999</v>
      </c>
      <c r="X13" s="93">
        <f>'YOY Orders'!$D39</f>
        <v>196.476</v>
      </c>
      <c r="Y13" s="57">
        <f>IF(X13&gt;0,W13/X13-1,1)</f>
        <v>-0.32310816588285596</v>
      </c>
      <c r="Z13" s="99">
        <f>Serviceorderfile_Current!$W509</f>
        <v>0</v>
      </c>
      <c r="AA13" s="93">
        <f>Serviceorderfile_PREVIOUS!$W509</f>
        <v>0</v>
      </c>
      <c r="AB13" s="57">
        <f t="shared" si="8"/>
        <v>1</v>
      </c>
      <c r="AC13" s="93">
        <f>'YOY Orders'!$N39</f>
        <v>0</v>
      </c>
      <c r="AD13" s="93">
        <f>'YOY Orders'!$F39</f>
        <v>0</v>
      </c>
      <c r="AE13" s="57">
        <f>IF(AD13&gt;0,AC13/AD13-1,1)</f>
        <v>1</v>
      </c>
      <c r="AF13" s="99">
        <f>Serviceorderfile_Current!$W503</f>
        <v>42.777000000000001</v>
      </c>
      <c r="AG13" s="93">
        <f>Serviceorderfile_PREVIOUS!$W503</f>
        <v>64.805999999999997</v>
      </c>
      <c r="AH13" s="57">
        <f t="shared" si="10"/>
        <v>-0.33992222942320149</v>
      </c>
      <c r="AI13" s="93">
        <f>'YOY Orders'!$M39</f>
        <v>45.486000000000004</v>
      </c>
      <c r="AJ13" s="93">
        <f>'YOY Orders'!$E39</f>
        <v>55.608000000000004</v>
      </c>
      <c r="AK13" s="57">
        <f>IF(AJ13&gt;0,AI13/AJ13-1,1)</f>
        <v>-0.18202416918428999</v>
      </c>
      <c r="AL13" s="116">
        <f t="shared" si="54"/>
        <v>3245.6130000000003</v>
      </c>
      <c r="AM13" s="56">
        <f t="shared" si="55"/>
        <v>3325.9590000000003</v>
      </c>
      <c r="AN13" s="57">
        <f t="shared" si="12"/>
        <v>-2.415724306884115E-2</v>
      </c>
      <c r="AO13" s="116">
        <f t="shared" si="56"/>
        <v>-32.822999999999979</v>
      </c>
      <c r="AP13" s="56">
        <f t="shared" si="57"/>
        <v>2020.3050000000003</v>
      </c>
      <c r="AQ13" s="57">
        <f t="shared" si="13"/>
        <v>-1.0162465568317656</v>
      </c>
      <c r="AR13" s="72"/>
      <c r="AS13" s="110" t="s">
        <v>88</v>
      </c>
      <c r="AT13" s="99">
        <f>Serviceorderfile_Current!$I505*Serviceorderfile_Current!$U505</f>
        <v>170.96100000000001</v>
      </c>
      <c r="AU13" s="93">
        <f>Serviceorderfile_PREVIOUS!$I505*Serviceorderfile_PREVIOUS!$U505</f>
        <v>243.55800000000002</v>
      </c>
      <c r="AV13" s="57">
        <f t="shared" si="14"/>
        <v>-0.29806863252284876</v>
      </c>
      <c r="AW13" s="78">
        <f t="shared" si="84"/>
        <v>0.13140394486231721</v>
      </c>
      <c r="AX13" s="75">
        <f t="shared" si="85"/>
        <v>0.22584414067063913</v>
      </c>
      <c r="AY13" s="119">
        <f t="shared" si="86"/>
        <v>-9.4440195808321921</v>
      </c>
      <c r="AZ13" s="99">
        <f>Serviceorderfile_Current!$I507*Serviceorderfile_Current!$U507</f>
        <v>46.242000000000004</v>
      </c>
      <c r="BA13" s="93">
        <f>Serviceorderfile_PREVIOUS!$I507*Serviceorderfile_PREVIOUS!$U507</f>
        <v>57.708000000000006</v>
      </c>
      <c r="BB13" s="57">
        <f t="shared" si="125"/>
        <v>-0.19868995633187769</v>
      </c>
      <c r="BC13" s="78">
        <f t="shared" si="126"/>
        <v>2.894778356207604E-2</v>
      </c>
      <c r="BD13" s="75">
        <f t="shared" si="127"/>
        <v>3.387114666403717E-2</v>
      </c>
      <c r="BE13" s="119">
        <f t="shared" si="128"/>
        <v>-0.49233631019611307</v>
      </c>
      <c r="BF13" s="99">
        <f>Serviceorderfile_Current!$I506*Serviceorderfile_Current!$U506</f>
        <v>83.034000000000006</v>
      </c>
      <c r="BG13" s="93">
        <f>Serviceorderfile_PREVIOUS!$I506*Serviceorderfile_PREVIOUS!$U506</f>
        <v>94.29</v>
      </c>
      <c r="BH13" s="57">
        <f t="shared" si="129"/>
        <v>-0.11937639198218264</v>
      </c>
      <c r="BI13" s="78">
        <f t="shared" si="21"/>
        <v>0.39090459713297082</v>
      </c>
      <c r="BJ13" s="75">
        <f t="shared" si="22"/>
        <v>0.29269882659713164</v>
      </c>
      <c r="BK13" s="119">
        <f t="shared" si="78"/>
        <v>9.8205770535839179</v>
      </c>
      <c r="BL13" s="99">
        <f>Serviceorderfile_Current!$I508*Serviceorderfile_Current!$U508</f>
        <v>25.263000000000002</v>
      </c>
      <c r="BM13" s="93">
        <f>Serviceorderfile_PREVIOUS!$I508*Serviceorderfile_PREVIOUS!$U508</f>
        <v>8.0010000000000012</v>
      </c>
      <c r="BN13" s="57">
        <f t="shared" si="130"/>
        <v>2.1574803149606296</v>
      </c>
      <c r="BO13" s="78">
        <f t="shared" si="24"/>
        <v>0.27472025576615666</v>
      </c>
      <c r="BP13" s="75">
        <f t="shared" si="25"/>
        <v>5.1017675415104449E-2</v>
      </c>
      <c r="BQ13" s="119">
        <f t="shared" si="79"/>
        <v>22.370258035105223</v>
      </c>
      <c r="BR13" s="99">
        <f>Serviceorderfile_Current!$I509*Serviceorderfile_Current!$U509</f>
        <v>0</v>
      </c>
      <c r="BS13" s="93">
        <f>Serviceorderfile_PREVIOUS!$I509*Serviceorderfile_PREVIOUS!$U509</f>
        <v>0</v>
      </c>
      <c r="BT13" s="57">
        <f t="shared" si="131"/>
        <v>1</v>
      </c>
      <c r="BU13" s="78" t="e">
        <f t="shared" si="27"/>
        <v>#DIV/0!</v>
      </c>
      <c r="BV13" s="75" t="e">
        <f t="shared" si="28"/>
        <v>#DIV/0!</v>
      </c>
      <c r="BW13" s="119" t="e">
        <f t="shared" si="80"/>
        <v>#DIV/0!</v>
      </c>
      <c r="BX13" s="99">
        <f>Serviceorderfile_Current!$I503*Serviceorderfile_Current!$U503</f>
        <v>0</v>
      </c>
      <c r="BY13" s="93">
        <f>Serviceorderfile_PREVIOUS!$I503*Serviceorderfile_PREVIOUS!$U503</f>
        <v>4.0739999999999998</v>
      </c>
      <c r="BZ13" s="57">
        <f t="shared" si="132"/>
        <v>-1</v>
      </c>
      <c r="CA13" s="78">
        <f t="shared" si="30"/>
        <v>0</v>
      </c>
      <c r="CB13" s="75">
        <f t="shared" si="31"/>
        <v>6.2864549578742712E-2</v>
      </c>
      <c r="CC13" s="119">
        <f t="shared" si="81"/>
        <v>-6.2864549578742714</v>
      </c>
      <c r="CD13" s="118">
        <f t="shared" si="87"/>
        <v>279.25800000000004</v>
      </c>
      <c r="CE13" s="77">
        <f t="shared" si="88"/>
        <v>349.92300000000006</v>
      </c>
      <c r="CF13" s="57">
        <f t="shared" si="89"/>
        <v>-0.20194442777411037</v>
      </c>
      <c r="CG13" s="78">
        <f t="shared" si="90"/>
        <v>8.6041681494374106E-2</v>
      </c>
      <c r="CH13" s="75">
        <f t="shared" si="91"/>
        <v>0.10520965532046547</v>
      </c>
      <c r="CI13" s="119">
        <f t="shared" si="92"/>
        <v>-1.9167973826091367</v>
      </c>
      <c r="CJ13" s="85"/>
      <c r="CK13" s="110" t="s">
        <v>88</v>
      </c>
      <c r="CL13" s="99">
        <f>Serviceorderfile_Current!$J505*Serviceorderfile_Current!$U505</f>
        <v>145.488</v>
      </c>
      <c r="CM13" s="93">
        <f>Serviceorderfile_PREVIOUS!$J505*Serviceorderfile_PREVIOUS!$U505</f>
        <v>49.896000000000001</v>
      </c>
      <c r="CN13" s="57">
        <f t="shared" si="133"/>
        <v>1.9158249158249157</v>
      </c>
      <c r="CO13" s="99">
        <f>Serviceorderfile_Current!$J507*Serviceorderfile_Current!$U507</f>
        <v>111.048</v>
      </c>
      <c r="CP13" s="93">
        <f>Serviceorderfile_PREVIOUS!$J507*Serviceorderfile_PREVIOUS!$U507</f>
        <v>23.625</v>
      </c>
      <c r="CQ13" s="57">
        <f t="shared" si="34"/>
        <v>3.7004444444444449</v>
      </c>
      <c r="CR13" s="99">
        <f>Serviceorderfile_Current!$J506*Serviceorderfile_Current!$U506</f>
        <v>32.045999999999999</v>
      </c>
      <c r="CS13" s="93">
        <f>Serviceorderfile_PREVIOUS!$J506*Serviceorderfile_PREVIOUS!$U506</f>
        <v>40.32</v>
      </c>
      <c r="CT13" s="57">
        <f t="shared" si="134"/>
        <v>-0.20520833333333333</v>
      </c>
      <c r="CU13" s="99">
        <f>Serviceorderfile_Current!$J508*Serviceorderfile_Current!$U508</f>
        <v>4.9140000000000006</v>
      </c>
      <c r="CV13" s="93">
        <f>Serviceorderfile_PREVIOUS!$J508*Serviceorderfile_PREVIOUS!$U508</f>
        <v>39.963000000000001</v>
      </c>
      <c r="CW13" s="57">
        <f t="shared" si="135"/>
        <v>-0.87703625853914868</v>
      </c>
      <c r="CX13" s="99">
        <f>Serviceorderfile_Current!$J509*Serviceorderfile_Current!$U509</f>
        <v>0</v>
      </c>
      <c r="CY13" s="93">
        <f>Serviceorderfile_PREVIOUS!$J509*Serviceorderfile_PREVIOUS!$U509</f>
        <v>0</v>
      </c>
      <c r="CZ13" s="57">
        <f t="shared" si="136"/>
        <v>1</v>
      </c>
      <c r="DA13" s="99">
        <f>Serviceorderfile_Current!$J503*Serviceorderfile_Current!$U503</f>
        <v>0</v>
      </c>
      <c r="DB13" s="93">
        <f>Serviceorderfile_PREVIOUS!$J503*Serviceorderfile_PREVIOUS!$U503</f>
        <v>0</v>
      </c>
      <c r="DC13" s="57">
        <f t="shared" si="137"/>
        <v>1</v>
      </c>
      <c r="DD13" s="118">
        <f t="shared" si="62"/>
        <v>293.49599999999998</v>
      </c>
      <c r="DE13" s="77">
        <f t="shared" si="63"/>
        <v>153.804</v>
      </c>
      <c r="DF13" s="57">
        <f t="shared" si="39"/>
        <v>0.90824685963954099</v>
      </c>
      <c r="DG13" s="86"/>
      <c r="DH13" s="110" t="s">
        <v>88</v>
      </c>
      <c r="DI13" s="99">
        <f>Serviceorderfile_Current!$K505*Serviceorderfile_Current!$U505</f>
        <v>63.777000000000001</v>
      </c>
      <c r="DJ13" s="93">
        <f>Serviceorderfile_PREVIOUS!$K505*Serviceorderfile_PREVIOUS!$U505</f>
        <v>8.9459999999999997</v>
      </c>
      <c r="DK13" s="57">
        <f t="shared" si="138"/>
        <v>6.1291079812206579</v>
      </c>
      <c r="DL13" s="99">
        <f>Serviceorderfile_Current!$K507*Serviceorderfile_Current!$U507</f>
        <v>124.46700000000001</v>
      </c>
      <c r="DM13" s="93">
        <f>Serviceorderfile_PREVIOUS!$K507*Serviceorderfile_PREVIOUS!$U507</f>
        <v>94.458000000000013</v>
      </c>
      <c r="DN13" s="57">
        <f t="shared" si="139"/>
        <v>0.31769675411293896</v>
      </c>
      <c r="DO13" s="99">
        <f>Serviceorderfile_Current!$K506*Serviceorderfile_Current!$U506</f>
        <v>26.376000000000001</v>
      </c>
      <c r="DP13" s="93">
        <f>Serviceorderfile_PREVIOUS!$K506*Serviceorderfile_PREVIOUS!$U506</f>
        <v>26.712000000000003</v>
      </c>
      <c r="DQ13" s="57">
        <f t="shared" si="140"/>
        <v>-1.2578616352201366E-2</v>
      </c>
      <c r="DR13" s="99">
        <f>Serviceorderfile_Current!$K508*Serviceorderfile_Current!$U508</f>
        <v>11.13</v>
      </c>
      <c r="DS13" s="93">
        <f>Serviceorderfile_PREVIOUS!$K508*Serviceorderfile_PREVIOUS!$U508</f>
        <v>17.052</v>
      </c>
      <c r="DT13" s="57">
        <f t="shared" si="141"/>
        <v>-0.34729064039408863</v>
      </c>
      <c r="DU13" s="99">
        <f>Serviceorderfile_Current!$K509*Serviceorderfile_Current!$U509</f>
        <v>0</v>
      </c>
      <c r="DV13" s="93">
        <f>Serviceorderfile_PREVIOUS!$K509*Serviceorderfile_PREVIOUS!$U509</f>
        <v>0</v>
      </c>
      <c r="DW13" s="57">
        <f t="shared" si="142"/>
        <v>1</v>
      </c>
      <c r="DX13" s="99">
        <f>Serviceorderfile_Current!$K503*Serviceorderfile_Current!$U503</f>
        <v>0</v>
      </c>
      <c r="DY13" s="93">
        <f>Serviceorderfile_PREVIOUS!$K503*Serviceorderfile_PREVIOUS!$U503</f>
        <v>0</v>
      </c>
      <c r="DZ13" s="57">
        <f t="shared" si="143"/>
        <v>1</v>
      </c>
      <c r="EA13" s="118">
        <f t="shared" si="144"/>
        <v>225.75000000000003</v>
      </c>
      <c r="EB13" s="77">
        <f t="shared" si="145"/>
        <v>147.16800000000001</v>
      </c>
      <c r="EC13" s="57">
        <f t="shared" si="146"/>
        <v>0.53396118721461194</v>
      </c>
      <c r="ED13" s="94"/>
      <c r="EE13" s="110" t="s">
        <v>88</v>
      </c>
      <c r="EF13" s="76">
        <f>Serviceorderfile_Current!$V502</f>
        <v>0.99999425559720245</v>
      </c>
      <c r="EG13" s="57">
        <f>Aged!E31</f>
        <v>0.98</v>
      </c>
      <c r="EH13" s="99">
        <f>Serviceorderfile_Current!$U497*Serviceorderfile_Current!$H497</f>
        <v>8154.2370000000001</v>
      </c>
      <c r="EI13" s="93">
        <f>Serviceorderfile_PREVIOUS!$U497*Serviceorderfile_PREVIOUS!$H497</f>
        <v>10529.967000000001</v>
      </c>
      <c r="EJ13" s="57">
        <f t="shared" si="47"/>
        <v>-0.22561609167436136</v>
      </c>
      <c r="EK13" s="99">
        <f>Serviceorderfile_Current!$U499*Serviceorderfile_Current!$H499</f>
        <v>5569.9980000000005</v>
      </c>
      <c r="EL13" s="93">
        <f>Serviceorderfile_PREVIOUS!$U499*Serviceorderfile_PREVIOUS!$H499</f>
        <v>7802.55</v>
      </c>
      <c r="EM13" s="57">
        <f t="shared" si="48"/>
        <v>-0.28613107253397918</v>
      </c>
      <c r="EN13" s="99">
        <f>Serviceorderfile_Current!$U498*Serviceorderfile_Current!$H498</f>
        <v>669.35400000000004</v>
      </c>
      <c r="EO13" s="93">
        <f>Serviceorderfile_PREVIOUS!$U498*Serviceorderfile_PREVIOUS!$H498</f>
        <v>722.33699999999999</v>
      </c>
      <c r="EP13" s="57">
        <f t="shared" si="49"/>
        <v>-7.334942000755873E-2</v>
      </c>
      <c r="EQ13" s="99">
        <f>Serviceorderfile_Current!$U500*Serviceorderfile_Current!$H500</f>
        <v>229.34100000000001</v>
      </c>
      <c r="ER13" s="93">
        <f>Serviceorderfile_PREVIOUS!$U500*Serviceorderfile_PREVIOUS!$H500</f>
        <v>0</v>
      </c>
      <c r="ES13" s="57">
        <f t="shared" si="50"/>
        <v>1</v>
      </c>
      <c r="ET13" s="99">
        <f>Serviceorderfile_Current!$U501*Serviceorderfile_Current!$H501</f>
        <v>0</v>
      </c>
      <c r="EU13" s="93">
        <f>Serviceorderfile_PREVIOUS!$U501*Serviceorderfile_PREVIOUS!$H501</f>
        <v>0</v>
      </c>
      <c r="EV13" s="57">
        <f t="shared" si="51"/>
        <v>1</v>
      </c>
      <c r="EW13" s="84"/>
      <c r="EX13" s="76">
        <f>Serviceorderfile_Current!$V495</f>
        <v>0.96100344786588987</v>
      </c>
      <c r="EY13" s="47">
        <f>Aged!E84</f>
        <v>0.54</v>
      </c>
      <c r="EZ13" s="99">
        <f>Serviceorderfile_Current!$U499*Serviceorderfile_Current!$H499</f>
        <v>5569.9980000000005</v>
      </c>
      <c r="FA13" s="93">
        <f>Serviceorderfile_PREVIOUS!$U499*Serviceorderfile_PREVIOUS!$H499</f>
        <v>7802.55</v>
      </c>
      <c r="FB13" s="57">
        <f t="shared" si="52"/>
        <v>-0.28613107253397918</v>
      </c>
      <c r="FC13" s="84"/>
      <c r="FD13" s="118">
        <f t="shared" si="66"/>
        <v>20192.928000000004</v>
      </c>
      <c r="FE13" s="77">
        <f t="shared" si="67"/>
        <v>26857.404000000002</v>
      </c>
      <c r="FF13" s="57">
        <f t="shared" si="75"/>
        <v>-0.24814297018431108</v>
      </c>
      <c r="FG13" s="94"/>
      <c r="FH13" s="84"/>
      <c r="FI13" s="84"/>
      <c r="FJ13" s="84"/>
      <c r="FK13" s="84"/>
      <c r="FL13" s="84"/>
      <c r="FM13" s="84"/>
      <c r="FN13" s="84"/>
      <c r="FO13" s="84"/>
      <c r="FP13" s="84"/>
      <c r="FQ13" s="84"/>
      <c r="FR13" s="84"/>
      <c r="FS13" s="84"/>
      <c r="FT13" s="84"/>
      <c r="FU13" s="84"/>
      <c r="FV13" s="84"/>
      <c r="FW13" s="84"/>
      <c r="FX13" s="84"/>
    </row>
    <row r="14" spans="1:180" s="63" customFormat="1" ht="12" customHeight="1" outlineLevel="1" x14ac:dyDescent="0.25">
      <c r="A14" s="110" t="s">
        <v>32</v>
      </c>
      <c r="B14" s="99">
        <f>Serviceorderfile_Current!$W590</f>
        <v>250.77190892600001</v>
      </c>
      <c r="C14" s="93">
        <f>Serviceorderfile_PREVIOUS!$W590</f>
        <v>218.20412854600002</v>
      </c>
      <c r="D14" s="57">
        <f t="shared" si="0"/>
        <v>0.14925373134328357</v>
      </c>
      <c r="E14" s="93">
        <f>'YOY Orders'!$J22</f>
        <v>511.31415196600005</v>
      </c>
      <c r="F14" s="93">
        <f>'YOY Orders'!$B22</f>
        <v>328.93458183800004</v>
      </c>
      <c r="G14" s="57">
        <f t="shared" si="1"/>
        <v>0.5544554455445545</v>
      </c>
      <c r="H14" s="99">
        <f>Serviceorderfile_Current!$W592</f>
        <v>488.51670570000005</v>
      </c>
      <c r="I14" s="93">
        <f>Serviceorderfile_PREVIOUS!$W592</f>
        <v>149.81178974800002</v>
      </c>
      <c r="J14" s="57">
        <f t="shared" si="2"/>
        <v>2.2608695652173911</v>
      </c>
      <c r="K14" s="93">
        <f>'YOY Orders'!$K22</f>
        <v>563.42260057400006</v>
      </c>
      <c r="L14" s="93">
        <f>'YOY Orders'!$C22</f>
        <v>78.162672912000005</v>
      </c>
      <c r="M14" s="57">
        <f t="shared" ref="M14:M18" si="147">IF(L14&gt;0,K14/L14-1,1)</f>
        <v>6.2083333333333339</v>
      </c>
      <c r="N14" s="99">
        <f>Serviceorderfile_Current!$W591</f>
        <v>74.905894874000012</v>
      </c>
      <c r="O14" s="93">
        <f>Serviceorderfile_PREVIOUS!$W591</f>
        <v>133.527899558</v>
      </c>
      <c r="P14" s="57">
        <f t="shared" si="4"/>
        <v>-0.43902439024390238</v>
      </c>
      <c r="Q14" s="93">
        <f>'YOY Orders'!$O22</f>
        <v>120.500787406</v>
      </c>
      <c r="R14" s="93">
        <f>'YOY Orders'!$G22</f>
        <v>241.001574812</v>
      </c>
      <c r="S14" s="57">
        <f t="shared" ref="S14:S18" si="148">IF(R14&gt;0,Q14/R14-1,1)</f>
        <v>-0.5</v>
      </c>
      <c r="T14" s="99">
        <f>Serviceorderfile_Current!$W593</f>
        <v>423.38114494000001</v>
      </c>
      <c r="U14" s="93">
        <f>Serviceorderfile_PREVIOUS!$W593</f>
        <v>325.67780379999999</v>
      </c>
      <c r="V14" s="57">
        <f t="shared" si="6"/>
        <v>0.30000000000000004</v>
      </c>
      <c r="W14" s="93">
        <f>'YOY Orders'!$L22</f>
        <v>569.93615665000004</v>
      </c>
      <c r="X14" s="93">
        <f>'YOY Orders'!$D22</f>
        <v>374.52947437</v>
      </c>
      <c r="Y14" s="57">
        <f t="shared" ref="Y14:Y18" si="149">IF(X14&gt;0,W14/X14-1,1)</f>
        <v>0.52173913043478271</v>
      </c>
      <c r="Z14" s="99">
        <f>Serviceorderfile_Current!$W594</f>
        <v>13.027112152000001</v>
      </c>
      <c r="AA14" s="93">
        <f>Serviceorderfile_PREVIOUS!$W594</f>
        <v>45.594892532000003</v>
      </c>
      <c r="AB14" s="57">
        <f t="shared" si="8"/>
        <v>-0.7142857142857143</v>
      </c>
      <c r="AC14" s="93">
        <f>'YOY Orders'!$N22</f>
        <v>0</v>
      </c>
      <c r="AD14" s="93">
        <f>'YOY Orders'!$F22</f>
        <v>71.649116836000005</v>
      </c>
      <c r="AE14" s="57">
        <f t="shared" ref="AE14:AE18" si="150">IF(AD14&gt;0,AC14/AD14-1,1)</f>
        <v>-1</v>
      </c>
      <c r="AF14" s="99">
        <f>Serviceorderfile_Current!$W588</f>
        <v>218.20412854600002</v>
      </c>
      <c r="AG14" s="93">
        <f>Serviceorderfile_PREVIOUS!$W588</f>
        <v>35.824558418000002</v>
      </c>
      <c r="AH14" s="57">
        <f t="shared" si="10"/>
        <v>5.0909090909090908</v>
      </c>
      <c r="AI14" s="93">
        <f>'YOY Orders'!$M22</f>
        <v>231.23124069800002</v>
      </c>
      <c r="AJ14" s="93">
        <f>'YOY Orders'!$E22</f>
        <v>162.8389019</v>
      </c>
      <c r="AK14" s="57">
        <f t="shared" ref="AK14:AK18" si="151">IF(AJ14&gt;0,AI14/AJ14-1,1)</f>
        <v>0.42000000000000015</v>
      </c>
      <c r="AL14" s="116">
        <f t="shared" si="54"/>
        <v>1468.8068951380001</v>
      </c>
      <c r="AM14" s="56">
        <f t="shared" si="55"/>
        <v>908.64107260200001</v>
      </c>
      <c r="AN14" s="57">
        <f t="shared" si="12"/>
        <v>0.61648745519713266</v>
      </c>
      <c r="AO14" s="116">
        <f t="shared" si="56"/>
        <v>1996.4049372939999</v>
      </c>
      <c r="AP14" s="56">
        <f t="shared" si="57"/>
        <v>1257.1163226680001</v>
      </c>
      <c r="AQ14" s="57">
        <f t="shared" si="13"/>
        <v>0.58808290155440401</v>
      </c>
      <c r="AR14" s="72"/>
      <c r="AS14" s="110" t="s">
        <v>32</v>
      </c>
      <c r="AT14" s="99">
        <f>Serviceorderfile_Current!$I590*Serviceorderfile_Current!$U590</f>
        <v>55.365226646000004</v>
      </c>
      <c r="AU14" s="93">
        <f>Serviceorderfile_PREVIOUS!$I590*Serviceorderfile_PREVIOUS!$U590</f>
        <v>13.027112152000001</v>
      </c>
      <c r="AV14" s="57">
        <f t="shared" si="14"/>
        <v>3.25</v>
      </c>
      <c r="AW14" s="78">
        <f t="shared" si="84"/>
        <v>0.2207792207792208</v>
      </c>
      <c r="AX14" s="75">
        <f t="shared" si="85"/>
        <v>5.9701492537313432E-2</v>
      </c>
      <c r="AY14" s="119">
        <f t="shared" si="86"/>
        <v>16.107772824190736</v>
      </c>
      <c r="AZ14" s="99">
        <f>Serviceorderfile_Current!$I592*Serviceorderfile_Current!$U592</f>
        <v>188.893126204</v>
      </c>
      <c r="BA14" s="93">
        <f>Serviceorderfile_PREVIOUS!$I592*Serviceorderfile_PREVIOUS!$U592</f>
        <v>32.567780380000002</v>
      </c>
      <c r="BB14" s="57">
        <f t="shared" si="125"/>
        <v>4.8</v>
      </c>
      <c r="BC14" s="78">
        <f t="shared" si="126"/>
        <v>0.3866666666666666</v>
      </c>
      <c r="BD14" s="75">
        <f t="shared" si="127"/>
        <v>0.21739130434782605</v>
      </c>
      <c r="BE14" s="119">
        <f t="shared" si="128"/>
        <v>16.927536231884055</v>
      </c>
      <c r="BF14" s="99">
        <f>Serviceorderfile_Current!$I591*Serviceorderfile_Current!$U591</f>
        <v>6.5135560760000004</v>
      </c>
      <c r="BG14" s="93">
        <f>Serviceorderfile_PREVIOUS!$I591*Serviceorderfile_PREVIOUS!$U591</f>
        <v>29.311002342000002</v>
      </c>
      <c r="BH14" s="57">
        <f t="shared" si="129"/>
        <v>-0.77777777777777779</v>
      </c>
      <c r="BI14" s="78">
        <f t="shared" si="21"/>
        <v>8.6956521739130432E-2</v>
      </c>
      <c r="BJ14" s="75">
        <f t="shared" si="22"/>
        <v>0.21951219512195122</v>
      </c>
      <c r="BK14" s="119">
        <f t="shared" si="78"/>
        <v>-13.255567338282079</v>
      </c>
      <c r="BL14" s="99">
        <f>Serviceorderfile_Current!$I593*Serviceorderfile_Current!$U593</f>
        <v>52.108448608000003</v>
      </c>
      <c r="BM14" s="93">
        <f>Serviceorderfile_PREVIOUS!$I593*Serviceorderfile_PREVIOUS!$U593</f>
        <v>58.622004684000004</v>
      </c>
      <c r="BN14" s="57">
        <f t="shared" si="130"/>
        <v>-0.11111111111111116</v>
      </c>
      <c r="BO14" s="78">
        <f t="shared" si="24"/>
        <v>0.12307692307692308</v>
      </c>
      <c r="BP14" s="75">
        <f t="shared" si="25"/>
        <v>0.18000000000000002</v>
      </c>
      <c r="BQ14" s="119">
        <f t="shared" si="79"/>
        <v>-5.6923076923076934</v>
      </c>
      <c r="BR14" s="99">
        <f>Serviceorderfile_Current!$I594*Serviceorderfile_Current!$U594</f>
        <v>0</v>
      </c>
      <c r="BS14" s="93">
        <f>Serviceorderfile_PREVIOUS!$I594*Serviceorderfile_PREVIOUS!$U594</f>
        <v>0</v>
      </c>
      <c r="BT14" s="57">
        <f t="shared" si="131"/>
        <v>1</v>
      </c>
      <c r="BU14" s="78">
        <f t="shared" si="27"/>
        <v>0</v>
      </c>
      <c r="BV14" s="75">
        <f t="shared" si="28"/>
        <v>0</v>
      </c>
      <c r="BW14" s="119">
        <f t="shared" si="80"/>
        <v>0</v>
      </c>
      <c r="BX14" s="99">
        <f>Serviceorderfile_Current!$I588*Serviceorderfile_Current!$U588</f>
        <v>16.283890190000001</v>
      </c>
      <c r="BY14" s="93">
        <f>Serviceorderfile_PREVIOUS!$I588*Serviceorderfile_PREVIOUS!$U588</f>
        <v>22.797446266000001</v>
      </c>
      <c r="BZ14" s="57">
        <f t="shared" si="132"/>
        <v>-0.2857142857142857</v>
      </c>
      <c r="CA14" s="78">
        <f t="shared" si="30"/>
        <v>7.4626865671641784E-2</v>
      </c>
      <c r="CB14" s="75">
        <f t="shared" si="31"/>
        <v>0.63636363636363635</v>
      </c>
      <c r="CC14" s="119">
        <f t="shared" si="81"/>
        <v>-56.173677069199456</v>
      </c>
      <c r="CD14" s="118">
        <f t="shared" si="87"/>
        <v>130.27112152000001</v>
      </c>
      <c r="CE14" s="77">
        <f t="shared" si="88"/>
        <v>123.75756544399999</v>
      </c>
      <c r="CF14" s="57">
        <f t="shared" si="89"/>
        <v>5.2631578947368585E-2</v>
      </c>
      <c r="CG14" s="78">
        <f t="shared" si="90"/>
        <v>8.8691796008869186E-2</v>
      </c>
      <c r="CH14" s="75">
        <f t="shared" si="91"/>
        <v>0.13620071684587812</v>
      </c>
      <c r="CI14" s="119">
        <f t="shared" si="92"/>
        <v>-4.7508920837008928</v>
      </c>
      <c r="CJ14" s="85"/>
      <c r="CK14" s="110" t="s">
        <v>32</v>
      </c>
      <c r="CL14" s="99">
        <f>Serviceorderfile_Current!$J590*Serviceorderfile_Current!$U590</f>
        <v>110.73045329200001</v>
      </c>
      <c r="CM14" s="93">
        <f>Serviceorderfile_PREVIOUS!$J590*Serviceorderfile_PREVIOUS!$U590</f>
        <v>71.649116836000005</v>
      </c>
      <c r="CN14" s="57">
        <f t="shared" si="133"/>
        <v>0.54545454545454541</v>
      </c>
      <c r="CO14" s="99">
        <f>Serviceorderfile_Current!$J592*Serviceorderfile_Current!$U592</f>
        <v>19.540668228000001</v>
      </c>
      <c r="CP14" s="93">
        <f>Serviceorderfile_PREVIOUS!$J592*Serviceorderfile_PREVIOUS!$U592</f>
        <v>9.7703341140000006</v>
      </c>
      <c r="CQ14" s="57">
        <f t="shared" si="34"/>
        <v>1</v>
      </c>
      <c r="CR14" s="99">
        <f>Serviceorderfile_Current!$J591*Serviceorderfile_Current!$U591</f>
        <v>6.5135560760000004</v>
      </c>
      <c r="CS14" s="93">
        <f>Serviceorderfile_PREVIOUS!$J591*Serviceorderfile_PREVIOUS!$U591</f>
        <v>52.108448608000003</v>
      </c>
      <c r="CT14" s="57">
        <f t="shared" si="134"/>
        <v>-0.875</v>
      </c>
      <c r="CU14" s="99">
        <f>Serviceorderfile_Current!$J593*Serviceorderfile_Current!$U593</f>
        <v>48.851670570000003</v>
      </c>
      <c r="CV14" s="93">
        <f>Serviceorderfile_PREVIOUS!$J593*Serviceorderfile_PREVIOUS!$U593</f>
        <v>39.081336456000002</v>
      </c>
      <c r="CW14" s="57">
        <f t="shared" si="135"/>
        <v>0.25</v>
      </c>
      <c r="CX14" s="99">
        <f>Serviceorderfile_Current!$J594*Serviceorderfile_Current!$U594</f>
        <v>0</v>
      </c>
      <c r="CY14" s="93">
        <f>Serviceorderfile_PREVIOUS!$J594*Serviceorderfile_PREVIOUS!$U594</f>
        <v>39.081336456000002</v>
      </c>
      <c r="CZ14" s="57">
        <f t="shared" si="136"/>
        <v>-1</v>
      </c>
      <c r="DA14" s="99">
        <f>Serviceorderfile_Current!$J588*Serviceorderfile_Current!$U588</f>
        <v>13.027112152000001</v>
      </c>
      <c r="DB14" s="93">
        <f>Serviceorderfile_PREVIOUS!$J588*Serviceorderfile_PREVIOUS!$U588</f>
        <v>0</v>
      </c>
      <c r="DC14" s="57">
        <f t="shared" si="137"/>
        <v>1</v>
      </c>
      <c r="DD14" s="118">
        <f t="shared" si="62"/>
        <v>198.66346031800001</v>
      </c>
      <c r="DE14" s="77">
        <f t="shared" si="63"/>
        <v>211.69057247000001</v>
      </c>
      <c r="DF14" s="57">
        <f t="shared" si="39"/>
        <v>-6.1538461538461542E-2</v>
      </c>
      <c r="DG14" s="86"/>
      <c r="DH14" s="110" t="s">
        <v>32</v>
      </c>
      <c r="DI14" s="99">
        <f>Serviceorderfile_Current!$K590*Serviceorderfile_Current!$U590</f>
        <v>13.027112152000001</v>
      </c>
      <c r="DJ14" s="93">
        <f>Serviceorderfile_PREVIOUS!$K590*Serviceorderfile_PREVIOUS!$U590</f>
        <v>3.2567780380000002</v>
      </c>
      <c r="DK14" s="57">
        <f t="shared" si="138"/>
        <v>3</v>
      </c>
      <c r="DL14" s="99">
        <f>Serviceorderfile_Current!$K592*Serviceorderfile_Current!$U592</f>
        <v>9.7703341140000006</v>
      </c>
      <c r="DM14" s="93">
        <f>Serviceorderfile_PREVIOUS!$K592*Serviceorderfile_PREVIOUS!$U592</f>
        <v>3.2567780380000002</v>
      </c>
      <c r="DN14" s="57">
        <f t="shared" si="139"/>
        <v>2</v>
      </c>
      <c r="DO14" s="99">
        <f>Serviceorderfile_Current!$K591*Serviceorderfile_Current!$U591</f>
        <v>6.5135560760000004</v>
      </c>
      <c r="DP14" s="93">
        <f>Serviceorderfile_PREVIOUS!$K591*Serviceorderfile_PREVIOUS!$U591</f>
        <v>32.567780380000002</v>
      </c>
      <c r="DQ14" s="57">
        <f t="shared" si="140"/>
        <v>-0.8</v>
      </c>
      <c r="DR14" s="99">
        <f>Serviceorderfile_Current!$K593*Serviceorderfile_Current!$U593</f>
        <v>42.338114494000003</v>
      </c>
      <c r="DS14" s="93">
        <f>Serviceorderfile_PREVIOUS!$K593*Serviceorderfile_PREVIOUS!$U593</f>
        <v>39.081336456000002</v>
      </c>
      <c r="DT14" s="57">
        <f t="shared" si="141"/>
        <v>8.3333333333333259E-2</v>
      </c>
      <c r="DU14" s="99">
        <f>Serviceorderfile_Current!$K594*Serviceorderfile_Current!$U594</f>
        <v>0</v>
      </c>
      <c r="DV14" s="93">
        <f>Serviceorderfile_PREVIOUS!$K594*Serviceorderfile_PREVIOUS!$U594</f>
        <v>0</v>
      </c>
      <c r="DW14" s="57">
        <f t="shared" si="142"/>
        <v>1</v>
      </c>
      <c r="DX14" s="99">
        <f>Serviceorderfile_Current!$K588*Serviceorderfile_Current!$U588</f>
        <v>9.7703341140000006</v>
      </c>
      <c r="DY14" s="93">
        <f>Serviceorderfile_PREVIOUS!$K588*Serviceorderfile_PREVIOUS!$U588</f>
        <v>0</v>
      </c>
      <c r="DZ14" s="57">
        <f t="shared" si="143"/>
        <v>1</v>
      </c>
      <c r="EA14" s="118">
        <f t="shared" si="144"/>
        <v>81.419450949999998</v>
      </c>
      <c r="EB14" s="77">
        <f t="shared" si="145"/>
        <v>78.162672912000005</v>
      </c>
      <c r="EC14" s="57">
        <f t="shared" si="146"/>
        <v>4.1666666666666519E-2</v>
      </c>
      <c r="ED14" s="94"/>
      <c r="EE14" s="110" t="s">
        <v>32</v>
      </c>
      <c r="EF14" s="76">
        <f>Serviceorderfile_Current!$V587</f>
        <v>1</v>
      </c>
      <c r="EG14" s="57">
        <f>Aged!E36</f>
        <v>0.99</v>
      </c>
      <c r="EH14" s="99">
        <f>Serviceorderfile_Current!$U582*Serviceorderfile_Current!$H582</f>
        <v>4539.9485849720004</v>
      </c>
      <c r="EI14" s="93">
        <f>Serviceorderfile_PREVIOUS!$U582*Serviceorderfile_PREVIOUS!$H582</f>
        <v>4491.096914402</v>
      </c>
      <c r="EJ14" s="57">
        <f t="shared" si="47"/>
        <v>1.0877447425670761E-2</v>
      </c>
      <c r="EK14" s="99">
        <f>Serviceorderfile_Current!$U584*Serviceorderfile_Current!$H584</f>
        <v>2250.4336242580002</v>
      </c>
      <c r="EL14" s="93">
        <f>Serviceorderfile_PREVIOUS!$U584*Serviceorderfile_PREVIOUS!$H584</f>
        <v>2442.5835285000003</v>
      </c>
      <c r="EM14" s="57">
        <f t="shared" si="48"/>
        <v>-7.8666666666666663E-2</v>
      </c>
      <c r="EN14" s="99">
        <f>Serviceorderfile_Current!$U583*Serviceorderfile_Current!$H583</f>
        <v>1292.940881086</v>
      </c>
      <c r="EO14" s="93">
        <f>Serviceorderfile_PREVIOUS!$U583*Serviceorderfile_PREVIOUS!$H583</f>
        <v>791.39706323400003</v>
      </c>
      <c r="EP14" s="57">
        <f t="shared" si="49"/>
        <v>0.63374485596707819</v>
      </c>
      <c r="EQ14" s="99">
        <f>Serviceorderfile_Current!$U585*Serviceorderfile_Current!$H585</f>
        <v>990.06052355200006</v>
      </c>
      <c r="ER14" s="93">
        <f>Serviceorderfile_PREVIOUS!$U585*Serviceorderfile_PREVIOUS!$H585</f>
        <v>752.315726778</v>
      </c>
      <c r="ES14" s="57">
        <f t="shared" si="50"/>
        <v>0.31601731601731609</v>
      </c>
      <c r="ET14" s="99">
        <f>Serviceorderfile_Current!$U586*Serviceorderfile_Current!$H586</f>
        <v>0</v>
      </c>
      <c r="EU14" s="93">
        <f>Serviceorderfile_PREVIOUS!$U586*Serviceorderfile_PREVIOUS!$H586</f>
        <v>52.108448608000003</v>
      </c>
      <c r="EV14" s="57">
        <f t="shared" si="51"/>
        <v>-1</v>
      </c>
      <c r="EW14" s="84"/>
      <c r="EX14" s="76">
        <f>Serviceorderfile_Current!$V580</f>
        <v>1</v>
      </c>
      <c r="EY14" s="47">
        <f>Aged!E89</f>
        <v>0.16</v>
      </c>
      <c r="EZ14" s="99">
        <f>Serviceorderfile_Current!$U584*Serviceorderfile_Current!$H584</f>
        <v>2250.4336242580002</v>
      </c>
      <c r="FA14" s="93">
        <f>Serviceorderfile_PREVIOUS!$U584*Serviceorderfile_PREVIOUS!$H584</f>
        <v>2442.5835285000003</v>
      </c>
      <c r="FB14" s="57">
        <f t="shared" si="52"/>
        <v>-7.8666666666666663E-2</v>
      </c>
      <c r="FC14" s="84"/>
      <c r="FD14" s="118">
        <f t="shared" si="66"/>
        <v>11323.817238126001</v>
      </c>
      <c r="FE14" s="77">
        <f t="shared" si="67"/>
        <v>10972.085210022</v>
      </c>
      <c r="FF14" s="57">
        <f t="shared" si="75"/>
        <v>3.2056990204808677E-2</v>
      </c>
      <c r="FG14" s="94"/>
      <c r="FH14" s="84"/>
      <c r="FI14" s="84"/>
      <c r="FJ14" s="84"/>
      <c r="FK14" s="84"/>
      <c r="FL14" s="84"/>
      <c r="FM14" s="84"/>
      <c r="FN14" s="84"/>
      <c r="FO14" s="84"/>
      <c r="FP14" s="84"/>
      <c r="FQ14" s="84"/>
      <c r="FR14" s="84"/>
      <c r="FS14" s="84"/>
      <c r="FT14" s="84"/>
      <c r="FU14" s="84"/>
      <c r="FV14" s="84"/>
      <c r="FW14" s="84"/>
      <c r="FX14" s="84"/>
    </row>
    <row r="15" spans="1:180" s="63" customFormat="1" ht="12" customHeight="1" outlineLevel="1" x14ac:dyDescent="0.25">
      <c r="A15" s="110" t="s">
        <v>33</v>
      </c>
      <c r="B15" s="99">
        <f>Serviceorderfile_Current!$W607</f>
        <v>167</v>
      </c>
      <c r="C15" s="93">
        <f>Serviceorderfile_PREVIOUS!$W607</f>
        <v>84</v>
      </c>
      <c r="D15" s="57">
        <f t="shared" si="0"/>
        <v>0.98809523809523814</v>
      </c>
      <c r="E15" s="93">
        <f>'YOY Orders'!$J23</f>
        <v>289</v>
      </c>
      <c r="F15" s="93">
        <f>'YOY Orders'!$B23</f>
        <v>142</v>
      </c>
      <c r="G15" s="57">
        <f t="shared" si="1"/>
        <v>1.035211267605634</v>
      </c>
      <c r="H15" s="99">
        <f>Serviceorderfile_Current!$W609</f>
        <v>11</v>
      </c>
      <c r="I15" s="93">
        <f>Serviceorderfile_PREVIOUS!$W609</f>
        <v>101</v>
      </c>
      <c r="J15" s="57">
        <f t="shared" si="2"/>
        <v>-0.8910891089108911</v>
      </c>
      <c r="K15" s="93">
        <f>'YOY Orders'!$K23</f>
        <v>25</v>
      </c>
      <c r="L15" s="93">
        <f>'YOY Orders'!$C23</f>
        <v>46</v>
      </c>
      <c r="M15" s="57">
        <f t="shared" si="147"/>
        <v>-0.45652173913043481</v>
      </c>
      <c r="N15" s="99">
        <f>Serviceorderfile_Current!$W608</f>
        <v>0</v>
      </c>
      <c r="O15" s="93">
        <f>Serviceorderfile_PREVIOUS!$W608</f>
        <v>0</v>
      </c>
      <c r="P15" s="57">
        <f t="shared" si="4"/>
        <v>1</v>
      </c>
      <c r="Q15" s="93">
        <f>'YOY Orders'!$O23</f>
        <v>0</v>
      </c>
      <c r="R15" s="93">
        <f>'YOY Orders'!$G23</f>
        <v>0</v>
      </c>
      <c r="S15" s="57">
        <f t="shared" si="148"/>
        <v>1</v>
      </c>
      <c r="T15" s="99">
        <f>Serviceorderfile_Current!$W610</f>
        <v>109</v>
      </c>
      <c r="U15" s="93">
        <f>Serviceorderfile_PREVIOUS!$W610</f>
        <v>77</v>
      </c>
      <c r="V15" s="57">
        <f t="shared" si="6"/>
        <v>0.4155844155844155</v>
      </c>
      <c r="W15" s="93">
        <f>'YOY Orders'!$L23</f>
        <v>127</v>
      </c>
      <c r="X15" s="93">
        <f>'YOY Orders'!$D23</f>
        <v>158</v>
      </c>
      <c r="Y15" s="57">
        <f t="shared" si="149"/>
        <v>-0.19620253164556967</v>
      </c>
      <c r="Z15" s="99">
        <f>Serviceorderfile_Current!$W611</f>
        <v>7</v>
      </c>
      <c r="AA15" s="93">
        <f>Serviceorderfile_PREVIOUS!$W611</f>
        <v>12</v>
      </c>
      <c r="AB15" s="57">
        <f t="shared" si="8"/>
        <v>-0.41666666666666663</v>
      </c>
      <c r="AC15" s="93">
        <f>'YOY Orders'!$N23</f>
        <v>7</v>
      </c>
      <c r="AD15" s="93">
        <f>'YOY Orders'!$F23</f>
        <v>3</v>
      </c>
      <c r="AE15" s="57">
        <f t="shared" si="150"/>
        <v>1.3333333333333335</v>
      </c>
      <c r="AF15" s="99">
        <f>Serviceorderfile_Current!$W605</f>
        <v>0</v>
      </c>
      <c r="AG15" s="93">
        <f>Serviceorderfile_PREVIOUS!$W605</f>
        <v>0</v>
      </c>
      <c r="AH15" s="57">
        <f t="shared" si="10"/>
        <v>1</v>
      </c>
      <c r="AI15" s="93">
        <f>'YOY Orders'!$M23</f>
        <v>7</v>
      </c>
      <c r="AJ15" s="93">
        <f>'YOY Orders'!$E23</f>
        <v>3</v>
      </c>
      <c r="AK15" s="57">
        <f t="shared" si="151"/>
        <v>1.3333333333333335</v>
      </c>
      <c r="AL15" s="116">
        <f t="shared" si="54"/>
        <v>294</v>
      </c>
      <c r="AM15" s="56">
        <f t="shared" si="55"/>
        <v>274</v>
      </c>
      <c r="AN15" s="57">
        <f t="shared" si="12"/>
        <v>7.2992700729926918E-2</v>
      </c>
      <c r="AO15" s="116">
        <f t="shared" si="56"/>
        <v>455</v>
      </c>
      <c r="AP15" s="56">
        <f t="shared" si="57"/>
        <v>352</v>
      </c>
      <c r="AQ15" s="57">
        <f t="shared" si="13"/>
        <v>0.29261363636363646</v>
      </c>
      <c r="AR15" s="72"/>
      <c r="AS15" s="110" t="s">
        <v>33</v>
      </c>
      <c r="AT15" s="99">
        <f>Serviceorderfile_Current!$I607*Serviceorderfile_Current!$U607</f>
        <v>51</v>
      </c>
      <c r="AU15" s="93">
        <f>Serviceorderfile_PREVIOUS!$I607*Serviceorderfile_PREVIOUS!$U607</f>
        <v>46</v>
      </c>
      <c r="AV15" s="57">
        <f t="shared" si="14"/>
        <v>0.10869565217391308</v>
      </c>
      <c r="AW15" s="78">
        <f t="shared" si="84"/>
        <v>0.30538922155688625</v>
      </c>
      <c r="AX15" s="75">
        <f t="shared" si="85"/>
        <v>0.54761904761904767</v>
      </c>
      <c r="AY15" s="119">
        <f t="shared" si="86"/>
        <v>-24.222982606216142</v>
      </c>
      <c r="AZ15" s="99">
        <f>Serviceorderfile_Current!$I609*Serviceorderfile_Current!$U609</f>
        <v>5</v>
      </c>
      <c r="BA15" s="93">
        <f>Serviceorderfile_PREVIOUS!$I609*Serviceorderfile_PREVIOUS!$U609</f>
        <v>27</v>
      </c>
      <c r="BB15" s="57">
        <f t="shared" si="125"/>
        <v>-0.81481481481481488</v>
      </c>
      <c r="BC15" s="78">
        <f t="shared" si="126"/>
        <v>0.45454545454545453</v>
      </c>
      <c r="BD15" s="75">
        <f t="shared" si="127"/>
        <v>0.26732673267326734</v>
      </c>
      <c r="BE15" s="119">
        <f t="shared" si="128"/>
        <v>18.721872187218718</v>
      </c>
      <c r="BF15" s="99">
        <f>Serviceorderfile_Current!$I608*Serviceorderfile_Current!$U608</f>
        <v>0</v>
      </c>
      <c r="BG15" s="93">
        <f>Serviceorderfile_PREVIOUS!$I608*Serviceorderfile_PREVIOUS!$U608</f>
        <v>0</v>
      </c>
      <c r="BH15" s="57">
        <f t="shared" si="129"/>
        <v>1</v>
      </c>
      <c r="BI15" s="78" t="e">
        <f t="shared" si="21"/>
        <v>#DIV/0!</v>
      </c>
      <c r="BJ15" s="75" t="e">
        <f t="shared" si="22"/>
        <v>#DIV/0!</v>
      </c>
      <c r="BK15" s="119" t="e">
        <f t="shared" si="78"/>
        <v>#DIV/0!</v>
      </c>
      <c r="BL15" s="99">
        <f>Serviceorderfile_Current!$I610*Serviceorderfile_Current!$U610</f>
        <v>17</v>
      </c>
      <c r="BM15" s="93">
        <f>Serviceorderfile_PREVIOUS!$I610*Serviceorderfile_PREVIOUS!$U610</f>
        <v>9</v>
      </c>
      <c r="BN15" s="57">
        <f t="shared" si="130"/>
        <v>0.88888888888888884</v>
      </c>
      <c r="BO15" s="78">
        <f t="shared" si="24"/>
        <v>0.15596330275229359</v>
      </c>
      <c r="BP15" s="75">
        <f t="shared" si="25"/>
        <v>0.11688311688311688</v>
      </c>
      <c r="BQ15" s="119">
        <f t="shared" si="79"/>
        <v>3.9080185869176707</v>
      </c>
      <c r="BR15" s="99">
        <f>Serviceorderfile_Current!$I611*Serviceorderfile_Current!$U611</f>
        <v>0</v>
      </c>
      <c r="BS15" s="93">
        <f>Serviceorderfile_PREVIOUS!$I611*Serviceorderfile_PREVIOUS!$U611</f>
        <v>1</v>
      </c>
      <c r="BT15" s="57">
        <f t="shared" si="131"/>
        <v>-1</v>
      </c>
      <c r="BU15" s="78">
        <f t="shared" si="27"/>
        <v>0</v>
      </c>
      <c r="BV15" s="75">
        <f t="shared" si="28"/>
        <v>8.3333333333333329E-2</v>
      </c>
      <c r="BW15" s="119">
        <f t="shared" si="80"/>
        <v>-8.3333333333333321</v>
      </c>
      <c r="BX15" s="99">
        <f>Serviceorderfile_Current!$I605*Serviceorderfile_Current!$U605</f>
        <v>0</v>
      </c>
      <c r="BY15" s="93">
        <f>Serviceorderfile_PREVIOUS!$I605*Serviceorderfile_PREVIOUS!$U605</f>
        <v>0</v>
      </c>
      <c r="BZ15" s="57">
        <f t="shared" si="132"/>
        <v>1</v>
      </c>
      <c r="CA15" s="78" t="e">
        <f t="shared" si="30"/>
        <v>#DIV/0!</v>
      </c>
      <c r="CB15" s="75" t="e">
        <f t="shared" si="31"/>
        <v>#DIV/0!</v>
      </c>
      <c r="CC15" s="119" t="e">
        <f t="shared" si="81"/>
        <v>#DIV/0!</v>
      </c>
      <c r="CD15" s="118">
        <f t="shared" si="87"/>
        <v>68</v>
      </c>
      <c r="CE15" s="77">
        <f t="shared" si="88"/>
        <v>56</v>
      </c>
      <c r="CF15" s="57">
        <f t="shared" si="89"/>
        <v>0.21428571428571419</v>
      </c>
      <c r="CG15" s="78">
        <f t="shared" si="90"/>
        <v>0.23129251700680273</v>
      </c>
      <c r="CH15" s="75">
        <f t="shared" si="91"/>
        <v>0.20437956204379562</v>
      </c>
      <c r="CI15" s="119">
        <f t="shared" si="92"/>
        <v>2.691295496300711</v>
      </c>
      <c r="CJ15" s="85"/>
      <c r="CK15" s="110" t="s">
        <v>33</v>
      </c>
      <c r="CL15" s="99">
        <f>Serviceorderfile_Current!$J607*Serviceorderfile_Current!$U607</f>
        <v>41</v>
      </c>
      <c r="CM15" s="93">
        <f>Serviceorderfile_PREVIOUS!$J607*Serviceorderfile_PREVIOUS!$U607</f>
        <v>38</v>
      </c>
      <c r="CN15" s="57">
        <f t="shared" si="133"/>
        <v>7.8947368421052655E-2</v>
      </c>
      <c r="CO15" s="99">
        <f>Serviceorderfile_Current!$J609*Serviceorderfile_Current!$U609</f>
        <v>6</v>
      </c>
      <c r="CP15" s="93">
        <f>Serviceorderfile_PREVIOUS!$J609*Serviceorderfile_PREVIOUS!$U609</f>
        <v>74</v>
      </c>
      <c r="CQ15" s="57">
        <f t="shared" si="34"/>
        <v>-0.91891891891891886</v>
      </c>
      <c r="CR15" s="99">
        <f>Serviceorderfile_Current!$J608*Serviceorderfile_Current!$U608</f>
        <v>0</v>
      </c>
      <c r="CS15" s="93">
        <f>Serviceorderfile_PREVIOUS!$J608*Serviceorderfile_PREVIOUS!$U608</f>
        <v>0</v>
      </c>
      <c r="CT15" s="57">
        <f t="shared" si="134"/>
        <v>1</v>
      </c>
      <c r="CU15" s="99">
        <f>Serviceorderfile_Current!$J610*Serviceorderfile_Current!$U610</f>
        <v>19</v>
      </c>
      <c r="CV15" s="93">
        <f>Serviceorderfile_PREVIOUS!$J610*Serviceorderfile_PREVIOUS!$U610</f>
        <v>0</v>
      </c>
      <c r="CW15" s="57">
        <f t="shared" si="135"/>
        <v>1</v>
      </c>
      <c r="CX15" s="99">
        <f>Serviceorderfile_Current!$J611*Serviceorderfile_Current!$U611</f>
        <v>2</v>
      </c>
      <c r="CY15" s="93">
        <f>Serviceorderfile_PREVIOUS!$J611*Serviceorderfile_PREVIOUS!$U611</f>
        <v>4</v>
      </c>
      <c r="CZ15" s="57">
        <f t="shared" si="136"/>
        <v>-0.5</v>
      </c>
      <c r="DA15" s="99">
        <f>Serviceorderfile_Current!$J605*Serviceorderfile_Current!$U605</f>
        <v>0</v>
      </c>
      <c r="DB15" s="93">
        <f>Serviceorderfile_PREVIOUS!$J605*Serviceorderfile_PREVIOUS!$U605</f>
        <v>0</v>
      </c>
      <c r="DC15" s="57">
        <f t="shared" si="137"/>
        <v>1</v>
      </c>
      <c r="DD15" s="118">
        <f t="shared" si="62"/>
        <v>68</v>
      </c>
      <c r="DE15" s="77">
        <f t="shared" si="63"/>
        <v>116</v>
      </c>
      <c r="DF15" s="57">
        <f t="shared" si="39"/>
        <v>-0.41379310344827591</v>
      </c>
      <c r="DG15" s="86"/>
      <c r="DH15" s="110" t="s">
        <v>33</v>
      </c>
      <c r="DI15" s="99">
        <f>Serviceorderfile_Current!$K607*Serviceorderfile_Current!$U607</f>
        <v>75</v>
      </c>
      <c r="DJ15" s="93">
        <f>Serviceorderfile_PREVIOUS!$K607*Serviceorderfile_PREVIOUS!$U607</f>
        <v>0</v>
      </c>
      <c r="DK15" s="57">
        <f t="shared" si="138"/>
        <v>1</v>
      </c>
      <c r="DL15" s="99">
        <f>Serviceorderfile_Current!$K609*Serviceorderfile_Current!$U609</f>
        <v>0</v>
      </c>
      <c r="DM15" s="93">
        <f>Serviceorderfile_PREVIOUS!$K609*Serviceorderfile_PREVIOUS!$U609</f>
        <v>0</v>
      </c>
      <c r="DN15" s="57">
        <f t="shared" si="139"/>
        <v>1</v>
      </c>
      <c r="DO15" s="99">
        <f>Serviceorderfile_Current!$K608*Serviceorderfile_Current!$U608</f>
        <v>0</v>
      </c>
      <c r="DP15" s="93">
        <f>Serviceorderfile_PREVIOUS!$K608*Serviceorderfile_PREVIOUS!$U608</f>
        <v>0</v>
      </c>
      <c r="DQ15" s="57">
        <f t="shared" si="140"/>
        <v>1</v>
      </c>
      <c r="DR15" s="99">
        <f>Serviceorderfile_Current!$K610*Serviceorderfile_Current!$U610</f>
        <v>11</v>
      </c>
      <c r="DS15" s="93">
        <f>Serviceorderfile_PREVIOUS!$K610*Serviceorderfile_PREVIOUS!$U610</f>
        <v>17</v>
      </c>
      <c r="DT15" s="57">
        <f t="shared" si="141"/>
        <v>-0.3529411764705882</v>
      </c>
      <c r="DU15" s="99">
        <f>Serviceorderfile_Current!$K611*Serviceorderfile_Current!$U611</f>
        <v>3</v>
      </c>
      <c r="DV15" s="93">
        <f>Serviceorderfile_PREVIOUS!$K611*Serviceorderfile_PREVIOUS!$U611</f>
        <v>2</v>
      </c>
      <c r="DW15" s="57">
        <f t="shared" si="142"/>
        <v>0.5</v>
      </c>
      <c r="DX15" s="99">
        <f>Serviceorderfile_Current!$K605*Serviceorderfile_Current!$U605</f>
        <v>0</v>
      </c>
      <c r="DY15" s="93">
        <f>Serviceorderfile_PREVIOUS!$K605*Serviceorderfile_PREVIOUS!$U605</f>
        <v>0</v>
      </c>
      <c r="DZ15" s="57">
        <f t="shared" si="143"/>
        <v>1</v>
      </c>
      <c r="EA15" s="118">
        <f t="shared" si="144"/>
        <v>89</v>
      </c>
      <c r="EB15" s="77">
        <f t="shared" si="145"/>
        <v>19</v>
      </c>
      <c r="EC15" s="57">
        <f t="shared" si="146"/>
        <v>3.6842105263157894</v>
      </c>
      <c r="ED15" s="94"/>
      <c r="EE15" s="110" t="s">
        <v>33</v>
      </c>
      <c r="EF15" s="76">
        <f>Serviceorderfile_Current!$V604</f>
        <v>0.97014084507042253</v>
      </c>
      <c r="EG15" s="57">
        <f>Aged!E37</f>
        <v>0.49</v>
      </c>
      <c r="EH15" s="99">
        <f>Serviceorderfile_Current!$U599*Serviceorderfile_Current!$H599</f>
        <v>1.1066298799999999E-2</v>
      </c>
      <c r="EI15" s="93">
        <f>Serviceorderfile_PREVIOUS!$U599*Serviceorderfile_PREVIOUS!$H599</f>
        <v>8.2522651999999991E-3</v>
      </c>
      <c r="EJ15" s="57">
        <f t="shared" si="47"/>
        <v>0.34100135317997293</v>
      </c>
      <c r="EK15" s="99">
        <f>Serviceorderfile_Current!$U601*Serviceorderfile_Current!$H601</f>
        <v>6.9904167999999996E-3</v>
      </c>
      <c r="EL15" s="93">
        <f>Serviceorderfile_PREVIOUS!$U601*Serviceorderfile_PREVIOUS!$H601</f>
        <v>3.3612067999999997E-3</v>
      </c>
      <c r="EM15" s="57">
        <f t="shared" si="48"/>
        <v>1.0797342192691031</v>
      </c>
      <c r="EN15" s="99">
        <f>Serviceorderfile_Current!$U600*Serviceorderfile_Current!$H600</f>
        <v>5.5833999999999994E-5</v>
      </c>
      <c r="EO15" s="93">
        <f>Serviceorderfile_PREVIOUS!$U600*Serviceorderfile_PREVIOUS!$H600</f>
        <v>5.3600640000000003E-4</v>
      </c>
      <c r="EP15" s="57">
        <f t="shared" si="49"/>
        <v>-0.89583333333333337</v>
      </c>
      <c r="EQ15" s="99">
        <f>Serviceorderfile_Current!$U602*Serviceorderfile_Current!$H602</f>
        <v>1.7085204E-3</v>
      </c>
      <c r="ER15" s="93">
        <f>Serviceorderfile_PREVIOUS!$U602*Serviceorderfile_PREVIOUS!$H602</f>
        <v>0.17651360759999998</v>
      </c>
      <c r="ES15" s="57">
        <f t="shared" si="50"/>
        <v>-0.99032074397418868</v>
      </c>
      <c r="ET15" s="99">
        <f>Serviceorderfile_Current!$U603*Serviceorderfile_Current!$H603</f>
        <v>0</v>
      </c>
      <c r="EU15" s="93">
        <f>Serviceorderfile_PREVIOUS!$U603*Serviceorderfile_PREVIOUS!$H603</f>
        <v>0</v>
      </c>
      <c r="EV15" s="57">
        <f t="shared" si="51"/>
        <v>1</v>
      </c>
      <c r="EW15" s="84"/>
      <c r="EX15" s="76">
        <f>Serviceorderfile_Current!$V597</f>
        <v>0</v>
      </c>
      <c r="EY15" s="47">
        <f>Aged!E90</f>
        <v>0.32</v>
      </c>
      <c r="EZ15" s="99">
        <f>Serviceorderfile_Current!$U601*Serviceorderfile_Current!$H601</f>
        <v>6.9904167999999996E-3</v>
      </c>
      <c r="FA15" s="93">
        <f>Serviceorderfile_PREVIOUS!$U601*Serviceorderfile_PREVIOUS!$H601</f>
        <v>3.3612067999999997E-3</v>
      </c>
      <c r="FB15" s="57">
        <f t="shared" si="52"/>
        <v>1.0797342192691031</v>
      </c>
      <c r="FC15" s="84"/>
      <c r="FD15" s="118">
        <f t="shared" si="66"/>
        <v>2.6811486799999999E-2</v>
      </c>
      <c r="FE15" s="77">
        <f t="shared" si="67"/>
        <v>0.19202429279999997</v>
      </c>
      <c r="FF15" s="57">
        <f t="shared" si="75"/>
        <v>-0.86037450569899976</v>
      </c>
      <c r="FG15" s="94"/>
      <c r="FH15" s="84"/>
      <c r="FI15" s="84"/>
      <c r="FJ15" s="84"/>
      <c r="FK15" s="84"/>
      <c r="FL15" s="84"/>
      <c r="FM15" s="84"/>
      <c r="FN15" s="84"/>
      <c r="FO15" s="84"/>
      <c r="FP15" s="84"/>
      <c r="FQ15" s="84"/>
      <c r="FR15" s="84"/>
      <c r="FS15" s="84"/>
      <c r="FT15" s="84"/>
      <c r="FU15" s="84"/>
      <c r="FV15" s="84"/>
      <c r="FW15" s="84"/>
      <c r="FX15" s="84"/>
    </row>
    <row r="16" spans="1:180" s="63" customFormat="1" ht="12" customHeight="1" outlineLevel="1" x14ac:dyDescent="0.25">
      <c r="A16" s="110" t="s">
        <v>56</v>
      </c>
      <c r="B16" s="99">
        <f>Serviceorderfile_Current!$W675</f>
        <v>680.80505273440008</v>
      </c>
      <c r="C16" s="93">
        <f>Serviceorderfile_PREVIOUS!$W675</f>
        <v>154.15489107040003</v>
      </c>
      <c r="D16" s="57">
        <f t="shared" si="0"/>
        <v>3.4163701067615655</v>
      </c>
      <c r="E16" s="93">
        <f>'YOY Orders'!$J27</f>
        <v>1014.6244520808001</v>
      </c>
      <c r="F16" s="93">
        <f>'YOY Orders'!$B27</f>
        <v>291.3033706704</v>
      </c>
      <c r="G16" s="57">
        <f t="shared" si="1"/>
        <v>2.4830508474576276</v>
      </c>
      <c r="H16" s="99">
        <f>Serviceorderfile_Current!$W677</f>
        <v>37.304386451200003</v>
      </c>
      <c r="I16" s="93">
        <f>Serviceorderfile_PREVIOUS!$W677</f>
        <v>8.7775026944000007</v>
      </c>
      <c r="J16" s="57">
        <f t="shared" si="2"/>
        <v>3.25</v>
      </c>
      <c r="K16" s="93">
        <f>'YOY Orders'!$K27</f>
        <v>63.088300616000005</v>
      </c>
      <c r="L16" s="93">
        <f>'YOY Orders'!$C27</f>
        <v>100.6669840264</v>
      </c>
      <c r="M16" s="57">
        <f t="shared" si="147"/>
        <v>-0.3732970027247956</v>
      </c>
      <c r="N16" s="99">
        <f>Serviceorderfile_Current!$W676</f>
        <v>211.20865858400001</v>
      </c>
      <c r="O16" s="93">
        <f>Serviceorderfile_PREVIOUS!$W676</f>
        <v>103.40995361840001</v>
      </c>
      <c r="P16" s="57">
        <f t="shared" si="4"/>
        <v>1.0424403183023871</v>
      </c>
      <c r="Q16" s="93">
        <f>'YOY Orders'!$O27</f>
        <v>185.15044746000001</v>
      </c>
      <c r="R16" s="93">
        <f>'YOY Orders'!$G27</f>
        <v>194.20224711360001</v>
      </c>
      <c r="S16" s="57">
        <f t="shared" si="148"/>
        <v>-4.6610169491525411E-2</v>
      </c>
      <c r="T16" s="99">
        <f>Serviceorderfile_Current!$W678</f>
        <v>920.81489203440003</v>
      </c>
      <c r="U16" s="93">
        <f>Serviceorderfile_PREVIOUS!$W678</f>
        <v>703.84599730720004</v>
      </c>
      <c r="V16" s="57">
        <f t="shared" si="6"/>
        <v>0.3082618862042088</v>
      </c>
      <c r="W16" s="93">
        <f>'YOY Orders'!$L27</f>
        <v>709.60623345040005</v>
      </c>
      <c r="X16" s="93">
        <f>'YOY Orders'!$D27</f>
        <v>643.22636932400007</v>
      </c>
      <c r="Y16" s="57">
        <f t="shared" si="149"/>
        <v>0.10319829424307025</v>
      </c>
      <c r="Z16" s="99">
        <f>Serviceorderfile_Current!$W679</f>
        <v>4.9373452656000003</v>
      </c>
      <c r="AA16" s="93">
        <f>Serviceorderfile_PREVIOUS!$W679</f>
        <v>0</v>
      </c>
      <c r="AB16" s="57">
        <f t="shared" si="8"/>
        <v>1</v>
      </c>
      <c r="AC16" s="93">
        <f>'YOY Orders'!$N27</f>
        <v>6.583127020800001</v>
      </c>
      <c r="AD16" s="93">
        <f>'YOY Orders'!$F27</f>
        <v>0</v>
      </c>
      <c r="AE16" s="57">
        <f t="shared" si="150"/>
        <v>1</v>
      </c>
      <c r="AF16" s="99">
        <f>Serviceorderfile_Current!$W673</f>
        <v>280.88008622080002</v>
      </c>
      <c r="AG16" s="93">
        <f>Serviceorderfile_PREVIOUS!$W673</f>
        <v>21.6694597768</v>
      </c>
      <c r="AH16" s="57">
        <f t="shared" si="10"/>
        <v>11.962025316455698</v>
      </c>
      <c r="AI16" s="93">
        <f>'YOY Orders'!$M27</f>
        <v>763.36843745360011</v>
      </c>
      <c r="AJ16" s="93">
        <f>'YOY Orders'!$E27</f>
        <v>781.47203676080005</v>
      </c>
      <c r="AK16" s="57">
        <f t="shared" si="151"/>
        <v>-2.316602316602312E-2</v>
      </c>
      <c r="AL16" s="116">
        <f t="shared" si="54"/>
        <v>2135.9504212904003</v>
      </c>
      <c r="AM16" s="56">
        <f t="shared" si="55"/>
        <v>991.85780446720003</v>
      </c>
      <c r="AN16" s="57">
        <f t="shared" si="12"/>
        <v>1.1534845132743365</v>
      </c>
      <c r="AO16" s="116">
        <f t="shared" si="56"/>
        <v>2742.4209980816008</v>
      </c>
      <c r="AP16" s="56">
        <f t="shared" si="57"/>
        <v>2010.8710078952001</v>
      </c>
      <c r="AQ16" s="57">
        <f t="shared" si="13"/>
        <v>0.36379757195471307</v>
      </c>
      <c r="AR16" s="72"/>
      <c r="AS16" s="110" t="s">
        <v>56</v>
      </c>
      <c r="AT16" s="99">
        <f>Serviceorderfile_Current!$I675*Serviceorderfile_Current!$U675</f>
        <v>37.304386451200003</v>
      </c>
      <c r="AU16" s="93">
        <f>Serviceorderfile_PREVIOUS!$I675*Serviceorderfile_PREVIOUS!$U675</f>
        <v>96.826826597600004</v>
      </c>
      <c r="AV16" s="57">
        <f t="shared" si="14"/>
        <v>-0.61473087818696881</v>
      </c>
      <c r="AW16" s="78">
        <f t="shared" si="84"/>
        <v>5.4794520547945202E-2</v>
      </c>
      <c r="AX16" s="75">
        <f t="shared" si="85"/>
        <v>0.62811387900355864</v>
      </c>
      <c r="AY16" s="119">
        <f t="shared" si="86"/>
        <v>-57.331935845561347</v>
      </c>
      <c r="AZ16" s="99">
        <f>Serviceorderfile_Current!$I677*Serviceorderfile_Current!$U677</f>
        <v>0</v>
      </c>
      <c r="BA16" s="93">
        <f>Serviceorderfile_PREVIOUS!$I677*Serviceorderfile_PREVIOUS!$U677</f>
        <v>7.9546118168000008</v>
      </c>
      <c r="BB16" s="57">
        <f t="shared" si="125"/>
        <v>-1</v>
      </c>
      <c r="BC16" s="78">
        <f t="shared" si="126"/>
        <v>0</v>
      </c>
      <c r="BD16" s="75">
        <f t="shared" si="127"/>
        <v>0.90625</v>
      </c>
      <c r="BE16" s="119">
        <f t="shared" si="128"/>
        <v>-90.625</v>
      </c>
      <c r="BF16" s="99">
        <f>Serviceorderfile_Current!$I676*Serviceorderfile_Current!$U676</f>
        <v>35.658604696000005</v>
      </c>
      <c r="BG16" s="93">
        <f>Serviceorderfile_PREVIOUS!$I676*Serviceorderfile_PREVIOUS!$U676</f>
        <v>33.464229022400005</v>
      </c>
      <c r="BH16" s="57">
        <f t="shared" si="129"/>
        <v>6.5573770491803351E-2</v>
      </c>
      <c r="BI16" s="78">
        <f t="shared" si="21"/>
        <v>0.16883116883116886</v>
      </c>
      <c r="BJ16" s="75">
        <f t="shared" si="22"/>
        <v>0.32360742705570295</v>
      </c>
      <c r="BK16" s="119">
        <f t="shared" si="78"/>
        <v>-15.477625822453408</v>
      </c>
      <c r="BL16" s="99">
        <f>Serviceorderfile_Current!$I678*Serviceorderfile_Current!$U678</f>
        <v>185.15044746000001</v>
      </c>
      <c r="BM16" s="93">
        <f>Serviceorderfile_PREVIOUS!$I678*Serviceorderfile_PREVIOUS!$U678</f>
        <v>80.64330600480001</v>
      </c>
      <c r="BN16" s="57">
        <f t="shared" si="130"/>
        <v>1.2959183673469385</v>
      </c>
      <c r="BO16" s="78">
        <f t="shared" si="24"/>
        <v>0.20107238605898123</v>
      </c>
      <c r="BP16" s="75">
        <f t="shared" si="25"/>
        <v>0.11457521434138739</v>
      </c>
      <c r="BQ16" s="119">
        <f t="shared" si="79"/>
        <v>8.6497171717593844</v>
      </c>
      <c r="BR16" s="99">
        <f>Serviceorderfile_Current!$I679*Serviceorderfile_Current!$U679</f>
        <v>1.6457817552000003</v>
      </c>
      <c r="BS16" s="93">
        <f>Serviceorderfile_PREVIOUS!$I679*Serviceorderfile_PREVIOUS!$U679</f>
        <v>0</v>
      </c>
      <c r="BT16" s="57">
        <f t="shared" si="131"/>
        <v>1</v>
      </c>
      <c r="BU16" s="78">
        <f t="shared" si="27"/>
        <v>0.33333333333333337</v>
      </c>
      <c r="BV16" s="75" t="e">
        <f t="shared" si="28"/>
        <v>#DIV/0!</v>
      </c>
      <c r="BW16" s="119" t="e">
        <f t="shared" si="80"/>
        <v>#DIV/0!</v>
      </c>
      <c r="BX16" s="99">
        <f>Serviceorderfile_Current!$I673*Serviceorderfile_Current!$U673</f>
        <v>243.30140281040002</v>
      </c>
      <c r="BY16" s="93">
        <f>Serviceorderfile_PREVIOUS!$I673*Serviceorderfile_PREVIOUS!$U673</f>
        <v>13.714847960000002</v>
      </c>
      <c r="BZ16" s="57">
        <f t="shared" si="132"/>
        <v>16.739999999999998</v>
      </c>
      <c r="CA16" s="78">
        <f t="shared" si="30"/>
        <v>0.8662109375</v>
      </c>
      <c r="CB16" s="75">
        <f t="shared" si="31"/>
        <v>0.63291139240506333</v>
      </c>
      <c r="CC16" s="119">
        <f t="shared" si="81"/>
        <v>23.329954509493668</v>
      </c>
      <c r="CD16" s="118">
        <f t="shared" si="87"/>
        <v>503.06062317280004</v>
      </c>
      <c r="CE16" s="77">
        <f t="shared" si="88"/>
        <v>224.64920958480002</v>
      </c>
      <c r="CF16" s="57">
        <f t="shared" si="89"/>
        <v>1.2393162393162394</v>
      </c>
      <c r="CG16" s="78">
        <f t="shared" si="90"/>
        <v>0.23552073969436238</v>
      </c>
      <c r="CH16" s="75">
        <f t="shared" si="91"/>
        <v>0.22649336283185842</v>
      </c>
      <c r="CI16" s="119">
        <f t="shared" si="92"/>
        <v>0.90273768625039608</v>
      </c>
      <c r="CJ16" s="85"/>
      <c r="CK16" s="110" t="s">
        <v>56</v>
      </c>
      <c r="CL16" s="99">
        <f>Serviceorderfile_Current!$J675*Serviceorderfile_Current!$U675</f>
        <v>17.555005388800001</v>
      </c>
      <c r="CM16" s="93">
        <f>Serviceorderfile_PREVIOUS!$J675*Serviceorderfile_PREVIOUS!$U675</f>
        <v>32.092744226400001</v>
      </c>
      <c r="CN16" s="57">
        <f t="shared" si="133"/>
        <v>-0.45299145299145294</v>
      </c>
      <c r="CO16" s="99">
        <f>Serviceorderfile_Current!$J677*Serviceorderfile_Current!$U677</f>
        <v>34.835713818400002</v>
      </c>
      <c r="CP16" s="93">
        <f>Serviceorderfile_PREVIOUS!$J677*Serviceorderfile_PREVIOUS!$U677</f>
        <v>0</v>
      </c>
      <c r="CQ16" s="57">
        <f t="shared" si="34"/>
        <v>1</v>
      </c>
      <c r="CR16" s="99">
        <f>Serviceorderfile_Current!$J676*Serviceorderfile_Current!$U676</f>
        <v>23.589538491200003</v>
      </c>
      <c r="CS16" s="93">
        <f>Serviceorderfile_PREVIOUS!$J676*Serviceorderfile_PREVIOUS!$U676</f>
        <v>13.714847960000002</v>
      </c>
      <c r="CT16" s="57">
        <f t="shared" si="134"/>
        <v>0.72</v>
      </c>
      <c r="CU16" s="99">
        <f>Serviceorderfile_Current!$J678*Serviceorderfile_Current!$U678</f>
        <v>69.945724596000005</v>
      </c>
      <c r="CV16" s="93">
        <f>Serviceorderfile_PREVIOUS!$J678*Serviceorderfile_PREVIOUS!$U678</f>
        <v>106.42722016960001</v>
      </c>
      <c r="CW16" s="57">
        <f t="shared" si="135"/>
        <v>-0.34278350515463918</v>
      </c>
      <c r="CX16" s="99">
        <f>Serviceorderfile_Current!$J679*Serviceorderfile_Current!$U679</f>
        <v>3.2915635104000005</v>
      </c>
      <c r="CY16" s="93">
        <f>Serviceorderfile_PREVIOUS!$J679*Serviceorderfile_PREVIOUS!$U679</f>
        <v>0</v>
      </c>
      <c r="CZ16" s="57">
        <f t="shared" si="136"/>
        <v>1</v>
      </c>
      <c r="DA16" s="99">
        <f>Serviceorderfile_Current!$J673*Serviceorderfile_Current!$U673</f>
        <v>29.898368552800001</v>
      </c>
      <c r="DB16" s="93">
        <f>Serviceorderfile_PREVIOUS!$J673*Serviceorderfile_PREVIOUS!$U673</f>
        <v>3.8401574288000004</v>
      </c>
      <c r="DC16" s="57">
        <f t="shared" si="137"/>
        <v>6.7857142857142847</v>
      </c>
      <c r="DD16" s="118">
        <f t="shared" si="62"/>
        <v>179.11591435760002</v>
      </c>
      <c r="DE16" s="77">
        <f t="shared" si="63"/>
        <v>156.07496978480003</v>
      </c>
      <c r="DF16" s="57">
        <f t="shared" si="39"/>
        <v>0.14762741652021072</v>
      </c>
      <c r="DG16" s="86"/>
      <c r="DH16" s="110" t="s">
        <v>56</v>
      </c>
      <c r="DI16" s="99">
        <f>Serviceorderfile_Current!$K675*Serviceorderfile_Current!$U675</f>
        <v>625.94566089440002</v>
      </c>
      <c r="DJ16" s="93">
        <f>Serviceorderfile_PREVIOUS!$K675*Serviceorderfile_PREVIOUS!$U675</f>
        <v>0</v>
      </c>
      <c r="DK16" s="57">
        <f t="shared" si="138"/>
        <v>1</v>
      </c>
      <c r="DL16" s="99">
        <f>Serviceorderfile_Current!$K677*Serviceorderfile_Current!$U677</f>
        <v>2.4686726328000002</v>
      </c>
      <c r="DM16" s="93">
        <f>Serviceorderfile_PREVIOUS!$K677*Serviceorderfile_PREVIOUS!$U677</f>
        <v>0</v>
      </c>
      <c r="DN16" s="57">
        <f t="shared" si="139"/>
        <v>1</v>
      </c>
      <c r="DO16" s="99">
        <f>Serviceorderfile_Current!$K676*Serviceorderfile_Current!$U676</f>
        <v>21.6694597768</v>
      </c>
      <c r="DP16" s="93">
        <f>Serviceorderfile_PREVIOUS!$K676*Serviceorderfile_PREVIOUS!$U676</f>
        <v>5.4859391840000002</v>
      </c>
      <c r="DQ16" s="57">
        <f t="shared" si="140"/>
        <v>2.9499999999999997</v>
      </c>
      <c r="DR16" s="99">
        <f>Serviceorderfile_Current!$K678*Serviceorderfile_Current!$U678</f>
        <v>139.06855831440001</v>
      </c>
      <c r="DS16" s="93">
        <f>Serviceorderfile_PREVIOUS!$K678*Serviceorderfile_PREVIOUS!$U678</f>
        <v>145.9259822944</v>
      </c>
      <c r="DT16" s="57">
        <f t="shared" si="141"/>
        <v>-4.6992481203007475E-2</v>
      </c>
      <c r="DU16" s="99">
        <f>Serviceorderfile_Current!$K679*Serviceorderfile_Current!$U679</f>
        <v>0</v>
      </c>
      <c r="DV16" s="93">
        <f>Serviceorderfile_PREVIOUS!$K679*Serviceorderfile_PREVIOUS!$U679</f>
        <v>0</v>
      </c>
      <c r="DW16" s="57">
        <f t="shared" si="142"/>
        <v>1</v>
      </c>
      <c r="DX16" s="99">
        <f>Serviceorderfile_Current!$K673*Serviceorderfile_Current!$U673</f>
        <v>7.6803148576000009</v>
      </c>
      <c r="DY16" s="93">
        <f>Serviceorderfile_PREVIOUS!$K673*Serviceorderfile_PREVIOUS!$U673</f>
        <v>0</v>
      </c>
      <c r="DZ16" s="57">
        <f t="shared" si="143"/>
        <v>1</v>
      </c>
      <c r="EA16" s="118">
        <f t="shared" si="144"/>
        <v>796.83266647599999</v>
      </c>
      <c r="EB16" s="77">
        <f t="shared" si="145"/>
        <v>151.41192147839999</v>
      </c>
      <c r="EC16" s="57">
        <f t="shared" si="146"/>
        <v>4.26268115942029</v>
      </c>
      <c r="ED16" s="94"/>
      <c r="EE16" s="110" t="s">
        <v>56</v>
      </c>
      <c r="EF16" s="76">
        <f>Serviceorderfile_Current!$V672</f>
        <v>0.99995408315540557</v>
      </c>
      <c r="EG16" s="57">
        <f>Aged!E41</f>
        <v>0.87</v>
      </c>
      <c r="EH16" s="99">
        <f>Serviceorderfile_Current!$U667*Serviceorderfile_Current!$H667</f>
        <v>3286.3518681752003</v>
      </c>
      <c r="EI16" s="93">
        <f>Serviceorderfile_PREVIOUS!$U667*Serviceorderfile_PREVIOUS!$H667</f>
        <v>3284.9803833792002</v>
      </c>
      <c r="EJ16" s="57">
        <f t="shared" si="47"/>
        <v>4.1750167000675908E-4</v>
      </c>
      <c r="EK16" s="99">
        <f>Serviceorderfile_Current!$U669*Serviceorderfile_Current!$H669</f>
        <v>3819.3108599008006</v>
      </c>
      <c r="EL16" s="93">
        <f>Serviceorderfile_PREVIOUS!$U669*Serviceorderfile_PREVIOUS!$H669</f>
        <v>3230.6695854576001</v>
      </c>
      <c r="EM16" s="57">
        <f t="shared" si="48"/>
        <v>0.18220410935642728</v>
      </c>
      <c r="EN16" s="99">
        <f>Serviceorderfile_Current!$U668*Serviceorderfile_Current!$H668</f>
        <v>3927.6581587848004</v>
      </c>
      <c r="EO16" s="93">
        <f>Serviceorderfile_PREVIOUS!$U668*Serviceorderfile_PREVIOUS!$H668</f>
        <v>3649.5210421560005</v>
      </c>
      <c r="EP16" s="57">
        <f t="shared" si="49"/>
        <v>7.621195039458839E-2</v>
      </c>
      <c r="EQ16" s="99">
        <f>Serviceorderfile_Current!$U670*Serviceorderfile_Current!$H670</f>
        <v>914.23176501360012</v>
      </c>
      <c r="ER16" s="93">
        <f>Serviceorderfile_PREVIOUS!$U670*Serviceorderfile_PREVIOUS!$H670</f>
        <v>1099.1079155144</v>
      </c>
      <c r="ES16" s="57">
        <f t="shared" si="50"/>
        <v>-0.16820564012977279</v>
      </c>
      <c r="ET16" s="99">
        <f>Serviceorderfile_Current!$U671*Serviceorderfile_Current!$H671</f>
        <v>0</v>
      </c>
      <c r="EU16" s="93">
        <f>Serviceorderfile_PREVIOUS!$U671*Serviceorderfile_PREVIOUS!$H671</f>
        <v>0</v>
      </c>
      <c r="EV16" s="57">
        <f t="shared" si="51"/>
        <v>1</v>
      </c>
      <c r="EW16" s="84"/>
      <c r="EX16" s="76">
        <f>Serviceorderfile_Current!$V665</f>
        <v>1</v>
      </c>
      <c r="EY16" s="47">
        <f>Aged!E94</f>
        <v>0.46</v>
      </c>
      <c r="EZ16" s="99">
        <f>Serviceorderfile_Current!$U669*Serviceorderfile_Current!$H669</f>
        <v>3819.3108599008006</v>
      </c>
      <c r="FA16" s="93">
        <f>Serviceorderfile_PREVIOUS!$U669*Serviceorderfile_PREVIOUS!$H669</f>
        <v>3230.6695854576001</v>
      </c>
      <c r="FB16" s="57">
        <f t="shared" si="52"/>
        <v>0.18220410935642728</v>
      </c>
      <c r="FC16" s="84"/>
      <c r="FD16" s="118">
        <f t="shared" si="66"/>
        <v>15766.863511775202</v>
      </c>
      <c r="FE16" s="79">
        <f t="shared" si="67"/>
        <v>14494.948511964802</v>
      </c>
      <c r="FF16" s="57">
        <f t="shared" si="75"/>
        <v>8.7748845658920605E-2</v>
      </c>
      <c r="FG16" s="94"/>
      <c r="FH16" s="84"/>
      <c r="FI16" s="84"/>
      <c r="FJ16" s="84"/>
      <c r="FK16" s="84"/>
      <c r="FL16" s="84"/>
      <c r="FM16" s="84"/>
      <c r="FN16" s="84"/>
      <c r="FO16" s="84"/>
      <c r="FP16" s="84"/>
      <c r="FQ16" s="84"/>
      <c r="FR16" s="84"/>
      <c r="FS16" s="84"/>
      <c r="FT16" s="84"/>
      <c r="FU16" s="84"/>
      <c r="FV16" s="84"/>
      <c r="FW16" s="84"/>
      <c r="FX16" s="84"/>
    </row>
    <row r="17" spans="1:180" s="63" customFormat="1" ht="12" customHeight="1" outlineLevel="1" x14ac:dyDescent="0.25">
      <c r="A17" s="110" t="s">
        <v>65</v>
      </c>
      <c r="B17" s="99">
        <f>Serviceorderfile_Current!$W454</f>
        <v>356.40320749110003</v>
      </c>
      <c r="C17" s="93">
        <f>Serviceorderfile_PREVIOUS!$W454</f>
        <v>178.6100107824</v>
      </c>
      <c r="D17" s="57">
        <f t="shared" si="0"/>
        <v>0.99542682926829285</v>
      </c>
      <c r="E17" s="93">
        <f>'YOY Orders'!$J3</f>
        <v>683.40110832900007</v>
      </c>
      <c r="F17" s="93">
        <f>'YOY Orders'!$B3</f>
        <v>236.33153865720001</v>
      </c>
      <c r="G17" s="57">
        <f t="shared" si="1"/>
        <v>1.8917050691244239</v>
      </c>
      <c r="H17" s="99">
        <f>Serviceorderfile_Current!$W456</f>
        <v>1512.7396644924002</v>
      </c>
      <c r="I17" s="93">
        <f>Serviceorderfile_PREVIOUS!$W456</f>
        <v>182.96635250880001</v>
      </c>
      <c r="J17" s="57">
        <f t="shared" si="2"/>
        <v>7.2678571428571423</v>
      </c>
      <c r="K17" s="93">
        <f>'YOY Orders'!$K3</f>
        <v>1694.3446602117001</v>
      </c>
      <c r="L17" s="93">
        <f>'YOY Orders'!$C3</f>
        <v>200.1194480565</v>
      </c>
      <c r="M17" s="57">
        <f t="shared" si="147"/>
        <v>7.4666666666666668</v>
      </c>
      <c r="N17" s="99">
        <f>Serviceorderfile_Current!$W455</f>
        <v>1798.0800475716001</v>
      </c>
      <c r="O17" s="93">
        <f>Serviceorderfile_PREVIOUS!$W455</f>
        <v>572.58666566370005</v>
      </c>
      <c r="P17" s="57">
        <f t="shared" si="4"/>
        <v>2.1402757964812174</v>
      </c>
      <c r="Q17" s="93">
        <f>'YOY Orders'!$O3</f>
        <v>1996.2935961228002</v>
      </c>
      <c r="R17" s="93">
        <f>'YOY Orders'!$G3</f>
        <v>1196.0880752547</v>
      </c>
      <c r="S17" s="57">
        <f t="shared" si="148"/>
        <v>0.66901889369451406</v>
      </c>
      <c r="T17" s="99">
        <f>Serviceorderfile_Current!$W457</f>
        <v>1379.0544277635001</v>
      </c>
      <c r="U17" s="93">
        <f>Serviceorderfile_PREVIOUS!$W457</f>
        <v>1291.1107791618001</v>
      </c>
      <c r="V17" s="57">
        <f t="shared" si="6"/>
        <v>6.8114719527625489E-2</v>
      </c>
      <c r="W17" s="93">
        <f>'YOY Orders'!$L3</f>
        <v>1274.7744976878</v>
      </c>
      <c r="X17" s="93">
        <f>'YOY Orders'!$D3</f>
        <v>673.87161080250007</v>
      </c>
      <c r="Y17" s="57">
        <f t="shared" si="149"/>
        <v>0.89171717171717146</v>
      </c>
      <c r="Z17" s="99">
        <f>Serviceorderfile_Current!$W458</f>
        <v>33.489377021700001</v>
      </c>
      <c r="AA17" s="93">
        <f>Serviceorderfile_PREVIOUS!$W458</f>
        <v>1.0890854316</v>
      </c>
      <c r="AB17" s="57">
        <f t="shared" si="8"/>
        <v>29.75</v>
      </c>
      <c r="AC17" s="93">
        <f>'YOY Orders'!$N3</f>
        <v>33.489377021700001</v>
      </c>
      <c r="AD17" s="93">
        <f>'YOY Orders'!$F3</f>
        <v>1.0890854316</v>
      </c>
      <c r="AE17" s="57">
        <f t="shared" si="150"/>
        <v>29.75</v>
      </c>
      <c r="AF17" s="99">
        <f>Serviceorderfile_Current!$W452</f>
        <v>162.54600066630002</v>
      </c>
      <c r="AG17" s="93">
        <f>Serviceorderfile_PREVIOUS!$W452</f>
        <v>109.99762859160001</v>
      </c>
      <c r="AH17" s="57">
        <f t="shared" si="10"/>
        <v>0.4777227722772277</v>
      </c>
      <c r="AI17" s="93">
        <f>'YOY Orders'!$M3</f>
        <v>389.34804179700001</v>
      </c>
      <c r="AJ17" s="93">
        <f>'YOY Orders'!$E3</f>
        <v>512.14242420990001</v>
      </c>
      <c r="AK17" s="57">
        <f t="shared" si="151"/>
        <v>-0.23976608187134507</v>
      </c>
      <c r="AL17" s="116">
        <f t="shared" si="54"/>
        <v>5242.3127250066</v>
      </c>
      <c r="AM17" s="56">
        <f t="shared" si="55"/>
        <v>2336.3605221399002</v>
      </c>
      <c r="AN17" s="57">
        <f t="shared" si="12"/>
        <v>1.2437944295536649</v>
      </c>
      <c r="AO17" s="116">
        <f t="shared" si="56"/>
        <v>6071.6512811700004</v>
      </c>
      <c r="AP17" s="56">
        <f t="shared" si="57"/>
        <v>2819.6421824124</v>
      </c>
      <c r="AQ17" s="57">
        <f t="shared" si="13"/>
        <v>1.1533410583236772</v>
      </c>
      <c r="AR17" s="72"/>
      <c r="AS17" s="110" t="s">
        <v>65</v>
      </c>
      <c r="AT17" s="99">
        <f>Serviceorderfile_Current!$I454*Serviceorderfile_Current!$U454</f>
        <v>95.567246622900001</v>
      </c>
      <c r="AU17" s="93">
        <f>Serviceorderfile_PREVIOUS!$I454*Serviceorderfile_PREVIOUS!$U454</f>
        <v>65.345125895999999</v>
      </c>
      <c r="AV17" s="57">
        <f t="shared" si="14"/>
        <v>0.46250000000000013</v>
      </c>
      <c r="AW17" s="78">
        <f t="shared" si="84"/>
        <v>0.26814362108479756</v>
      </c>
      <c r="AX17" s="75">
        <f t="shared" si="85"/>
        <v>0.36585365853658536</v>
      </c>
      <c r="AY17" s="119">
        <f t="shared" si="86"/>
        <v>-9.7710037451787795</v>
      </c>
      <c r="AZ17" s="99">
        <f>Serviceorderfile_Current!$I456*Serviceorderfile_Current!$U456</f>
        <v>288.33536801610001</v>
      </c>
      <c r="BA17" s="93">
        <f>Serviceorderfile_PREVIOUS!$I456*Serviceorderfile_PREVIOUS!$U456</f>
        <v>91.755447612300003</v>
      </c>
      <c r="BB17" s="57">
        <f t="shared" si="125"/>
        <v>2.142433234421365</v>
      </c>
      <c r="BC17" s="78">
        <f t="shared" si="126"/>
        <v>0.19060475161987039</v>
      </c>
      <c r="BD17" s="75">
        <f t="shared" si="127"/>
        <v>0.50148809523809523</v>
      </c>
      <c r="BE17" s="119">
        <f t="shared" si="128"/>
        <v>-31.088334361822483</v>
      </c>
      <c r="BF17" s="99">
        <f>Serviceorderfile_Current!$I455*Serviceorderfile_Current!$U455</f>
        <v>281.2563127107</v>
      </c>
      <c r="BG17" s="93">
        <f>Serviceorderfile_PREVIOUS!$I455*Serviceorderfile_PREVIOUS!$U455</f>
        <v>223.26251347800002</v>
      </c>
      <c r="BH17" s="57">
        <f t="shared" si="129"/>
        <v>0.25975609756097562</v>
      </c>
      <c r="BI17" s="78">
        <f t="shared" si="21"/>
        <v>0.15642035130224105</v>
      </c>
      <c r="BJ17" s="75">
        <f t="shared" si="22"/>
        <v>0.38991916310033287</v>
      </c>
      <c r="BK17" s="119">
        <f t="shared" si="78"/>
        <v>-23.349881179809181</v>
      </c>
      <c r="BL17" s="99">
        <f>Serviceorderfile_Current!$I457*Serviceorderfile_Current!$U457</f>
        <v>162.54600066630002</v>
      </c>
      <c r="BM17" s="93">
        <f>Serviceorderfile_PREVIOUS!$I457*Serviceorderfile_PREVIOUS!$U457</f>
        <v>182.42180979299999</v>
      </c>
      <c r="BN17" s="57">
        <f t="shared" si="130"/>
        <v>-0.10895522388059686</v>
      </c>
      <c r="BO17" s="78">
        <f t="shared" si="24"/>
        <v>0.11786771964461994</v>
      </c>
      <c r="BP17" s="75">
        <f t="shared" si="25"/>
        <v>0.14129059468578656</v>
      </c>
      <c r="BQ17" s="119">
        <f t="shared" si="79"/>
        <v>-2.342287504116662</v>
      </c>
      <c r="BR17" s="99">
        <f>Serviceorderfile_Current!$I458*Serviceorderfile_Current!$U458</f>
        <v>0</v>
      </c>
      <c r="BS17" s="93">
        <f>Serviceorderfile_PREVIOUS!$I458*Serviceorderfile_PREVIOUS!$U4595</f>
        <v>0</v>
      </c>
      <c r="BT17" s="57">
        <f t="shared" si="131"/>
        <v>1</v>
      </c>
      <c r="BU17" s="78">
        <f t="shared" si="27"/>
        <v>0</v>
      </c>
      <c r="BV17" s="75">
        <f t="shared" si="28"/>
        <v>0</v>
      </c>
      <c r="BW17" s="119">
        <f t="shared" si="80"/>
        <v>0</v>
      </c>
      <c r="BX17" s="99">
        <f>Serviceorderfile_Current!$I452*Serviceorderfile_Current!$U452</f>
        <v>83.587306875300001</v>
      </c>
      <c r="BY17" s="93">
        <f>Serviceorderfile_PREVIOUS!$I452*Serviceorderfile_PREVIOUS!$U452</f>
        <v>39.479346895500001</v>
      </c>
      <c r="BZ17" s="57">
        <f t="shared" si="132"/>
        <v>1.1172413793103448</v>
      </c>
      <c r="CA17" s="78">
        <f t="shared" si="30"/>
        <v>0.51423785594639859</v>
      </c>
      <c r="CB17" s="75">
        <f t="shared" si="31"/>
        <v>0.3589108910891089</v>
      </c>
      <c r="CC17" s="119">
        <f t="shared" si="81"/>
        <v>15.53269648572897</v>
      </c>
      <c r="CD17" s="118">
        <f t="shared" si="87"/>
        <v>622.95686687519992</v>
      </c>
      <c r="CE17" s="77">
        <f t="shared" si="88"/>
        <v>510.50879606249998</v>
      </c>
      <c r="CF17" s="57">
        <f t="shared" si="89"/>
        <v>0.22026666666666661</v>
      </c>
      <c r="CG17" s="78">
        <f t="shared" si="90"/>
        <v>0.11883245039991688</v>
      </c>
      <c r="CH17" s="75">
        <f t="shared" si="91"/>
        <v>0.21850600163151146</v>
      </c>
      <c r="CI17" s="119">
        <f t="shared" si="92"/>
        <v>-9.9673551231594573</v>
      </c>
      <c r="CJ17" s="85"/>
      <c r="CK17" s="110" t="s">
        <v>65</v>
      </c>
      <c r="CL17" s="99">
        <f>Serviceorderfile_Current!$J454*Serviceorderfile_Current!$U454</f>
        <v>254.84599099440001</v>
      </c>
      <c r="CM17" s="93">
        <f>Serviceorderfile_PREVIOUS!$J454*Serviceorderfile_PREVIOUS!$U454</f>
        <v>80.864593296300001</v>
      </c>
      <c r="CN17" s="57">
        <f t="shared" si="133"/>
        <v>2.1515151515151518</v>
      </c>
      <c r="CO17" s="99">
        <f>Serviceorderfile_Current!$J456*Serviceorderfile_Current!$U456</f>
        <v>225.16841298330002</v>
      </c>
      <c r="CP17" s="93">
        <f>Serviceorderfile_PREVIOUS!$J456*Serviceorderfile_PREVIOUS!$U456</f>
        <v>0</v>
      </c>
      <c r="CQ17" s="57">
        <f t="shared" si="34"/>
        <v>1</v>
      </c>
      <c r="CR17" s="99">
        <f>Serviceorderfile_Current!$J455*Serviceorderfile_Current!$U455</f>
        <v>135.8634075921</v>
      </c>
      <c r="CS17" s="93">
        <f>Serviceorderfile_PREVIOUS!$J455*Serviceorderfile_PREVIOUS!$U455</f>
        <v>62.894683674900001</v>
      </c>
      <c r="CT17" s="57">
        <f t="shared" si="134"/>
        <v>1.16017316017316</v>
      </c>
      <c r="CU17" s="99">
        <f>Serviceorderfile_Current!$J457*Serviceorderfile_Current!$U457</f>
        <v>92.8445330439</v>
      </c>
      <c r="CV17" s="93">
        <f>Serviceorderfile_PREVIOUS!$J457*Serviceorderfile_PREVIOUS!$U457</f>
        <v>289.42445344769999</v>
      </c>
      <c r="CW17" s="57">
        <f t="shared" si="135"/>
        <v>-0.6792097836312323</v>
      </c>
      <c r="CX17" s="99">
        <f>Serviceorderfile_Current!$J458*Serviceorderfile_Current!$U458</f>
        <v>0</v>
      </c>
      <c r="CY17" s="93">
        <f>Serviceorderfile_PREVIOUS!$J458*Serviceorderfile_PREVIOUS!$U4595</f>
        <v>0</v>
      </c>
      <c r="CZ17" s="57">
        <f t="shared" si="136"/>
        <v>1</v>
      </c>
      <c r="DA17" s="99">
        <f>Serviceorderfile_Current!$J452*Serviceorderfile_Current!$U452</f>
        <v>78.958693791000002</v>
      </c>
      <c r="DB17" s="93">
        <f>Serviceorderfile_PREVIOUS!$J452*Serviceorderfile_PREVIOUS!$U452</f>
        <v>42.7466031903</v>
      </c>
      <c r="DC17" s="57">
        <f t="shared" si="137"/>
        <v>0.84713375796178347</v>
      </c>
      <c r="DD17" s="118">
        <f t="shared" si="62"/>
        <v>787.68103840469996</v>
      </c>
      <c r="DE17" s="77">
        <f t="shared" si="63"/>
        <v>475.93033360919998</v>
      </c>
      <c r="DF17" s="57">
        <f t="shared" si="39"/>
        <v>0.65503432494279168</v>
      </c>
      <c r="DG17" s="86"/>
      <c r="DH17" s="110" t="s">
        <v>65</v>
      </c>
      <c r="DI17" s="99">
        <f>Serviceorderfile_Current!$K454*Serviceorderfile_Current!$U454</f>
        <v>3.2672562948000001</v>
      </c>
      <c r="DJ17" s="93">
        <f>Serviceorderfile_PREVIOUS!$K454*Serviceorderfile_PREVIOUS!$U454</f>
        <v>0</v>
      </c>
      <c r="DK17" s="57">
        <f t="shared" si="138"/>
        <v>1</v>
      </c>
      <c r="DL17" s="99">
        <f>Serviceorderfile_Current!$K456*Serviceorderfile_Current!$U456</f>
        <v>244.7719507521</v>
      </c>
      <c r="DM17" s="93">
        <f>Serviceorderfile_PREVIOUS!$K456*Serviceorderfile_PREVIOUS!$U456</f>
        <v>0</v>
      </c>
      <c r="DN17" s="57">
        <f t="shared" si="139"/>
        <v>1</v>
      </c>
      <c r="DO17" s="99">
        <f>Serviceorderfile_Current!$K455*Serviceorderfile_Current!$U455</f>
        <v>336.7996697223</v>
      </c>
      <c r="DP17" s="93">
        <f>Serviceorderfile_PREVIOUS!$K455*Serviceorderfile_PREVIOUS!$U455</f>
        <v>49.281115779899999</v>
      </c>
      <c r="DQ17" s="57">
        <f t="shared" si="140"/>
        <v>5.834254143646409</v>
      </c>
      <c r="DR17" s="99">
        <f>Serviceorderfile_Current!$K457*Serviceorderfile_Current!$U457</f>
        <v>349.5964235436</v>
      </c>
      <c r="DS17" s="93">
        <f>Serviceorderfile_PREVIOUS!$K457*Serviceorderfile_PREVIOUS!$U457</f>
        <v>173.70912634020002</v>
      </c>
      <c r="DT17" s="57">
        <f t="shared" si="141"/>
        <v>1.0125391849529777</v>
      </c>
      <c r="DU17" s="99">
        <f>Serviceorderfile_Current!$K458*Serviceorderfile_Current!$U458</f>
        <v>0</v>
      </c>
      <c r="DV17" s="93">
        <f>Serviceorderfile_PREVIOUS!$K458*Serviceorderfile_PREVIOUS!$U4595</f>
        <v>0</v>
      </c>
      <c r="DW17" s="57">
        <f t="shared" si="142"/>
        <v>1</v>
      </c>
      <c r="DX17" s="99">
        <f>Serviceorderfile_Current!$K452*Serviceorderfile_Current!$U452</f>
        <v>0</v>
      </c>
      <c r="DY17" s="93">
        <f>Serviceorderfile_PREVIOUS!$K452*Serviceorderfile_PREVIOUS!$U452</f>
        <v>0</v>
      </c>
      <c r="DZ17" s="57">
        <f t="shared" si="143"/>
        <v>1</v>
      </c>
      <c r="EA17" s="118">
        <f t="shared" si="144"/>
        <v>934.43530031279988</v>
      </c>
      <c r="EB17" s="77">
        <f t="shared" si="145"/>
        <v>222.99024212010002</v>
      </c>
      <c r="EC17" s="57">
        <f t="shared" si="146"/>
        <v>3.1904761904761898</v>
      </c>
      <c r="ED17" s="94"/>
      <c r="EE17" s="110" t="s">
        <v>65</v>
      </c>
      <c r="EF17" s="76">
        <f>Serviceorderfile_Current!$V451</f>
        <v>0.99894574079280296</v>
      </c>
      <c r="EG17" s="57">
        <f>Aged!E28</f>
        <v>0.92</v>
      </c>
      <c r="EH17" s="99">
        <f>Serviceorderfile_Current!$U446*Serviceorderfile_Current!$H446</f>
        <v>4293.9915854409001</v>
      </c>
      <c r="EI17" s="93">
        <f>Serviceorderfile_PREVIOUS!$U446*Serviceorderfile_PREVIOUS!$H446</f>
        <v>4229.1910022606999</v>
      </c>
      <c r="EJ17" s="57">
        <f t="shared" si="47"/>
        <v>1.5322217214961631E-2</v>
      </c>
      <c r="EK17" s="99">
        <f>Serviceorderfile_Current!$U448*Serviceorderfile_Current!$H448</f>
        <v>6464.5388506197005</v>
      </c>
      <c r="EL17" s="93">
        <f>Serviceorderfile_PREVIOUS!$U448*Serviceorderfile_PREVIOUS!$H448</f>
        <v>1924.1416862793001</v>
      </c>
      <c r="EM17" s="57">
        <f t="shared" si="48"/>
        <v>2.3597000141502762</v>
      </c>
      <c r="EN17" s="99">
        <f>Serviceorderfile_Current!$U447*Serviceorderfile_Current!$H447</f>
        <v>7732.2342930021005</v>
      </c>
      <c r="EO17" s="93">
        <f>Serviceorderfile_PREVIOUS!$U447*Serviceorderfile_PREVIOUS!$H447</f>
        <v>5451.6893992317</v>
      </c>
      <c r="EP17" s="57">
        <f t="shared" si="49"/>
        <v>0.41831893322678937</v>
      </c>
      <c r="EQ17" s="99">
        <f>Serviceorderfile_Current!$U449*Serviceorderfile_Current!$H449</f>
        <v>878.61967194330009</v>
      </c>
      <c r="ER17" s="93">
        <f>Serviceorderfile_PREVIOUS!$U449*Serviceorderfile_PREVIOUS!$H449</f>
        <v>2336.3605221399002</v>
      </c>
      <c r="ES17" s="57">
        <f t="shared" si="50"/>
        <v>-0.62393660412539331</v>
      </c>
      <c r="ET17" s="99">
        <f>Serviceorderfile_Current!$U450*Serviceorderfile_Current!$H450</f>
        <v>0</v>
      </c>
      <c r="EU17" s="93">
        <f>Serviceorderfile_PREVIOUS!$U450*Serviceorderfile_PREVIOUS!$H450</f>
        <v>0</v>
      </c>
      <c r="EV17" s="57">
        <f t="shared" si="51"/>
        <v>1</v>
      </c>
      <c r="EW17" s="84"/>
      <c r="EX17" s="76">
        <f>Serviceorderfile_Current!$V444</f>
        <v>0.95678502614918803</v>
      </c>
      <c r="EY17" s="47">
        <f>Aged!E81</f>
        <v>0.35</v>
      </c>
      <c r="EZ17" s="99">
        <f>Serviceorderfile_Current!$U448*Serviceorderfile_Current!$H448</f>
        <v>6464.5388506197005</v>
      </c>
      <c r="FA17" s="93">
        <f>Serviceorderfile_PREVIOUS!$U448*Serviceorderfile_PREVIOUS!$H448</f>
        <v>1924.1416862793001</v>
      </c>
      <c r="FB17" s="57">
        <f t="shared" si="52"/>
        <v>2.3597000141502762</v>
      </c>
      <c r="FC17" s="84"/>
      <c r="FD17" s="118">
        <f t="shared" si="66"/>
        <v>25833.923251625703</v>
      </c>
      <c r="FE17" s="79">
        <f t="shared" si="67"/>
        <v>15865.524296190899</v>
      </c>
      <c r="FF17" s="57">
        <f t="shared" si="75"/>
        <v>0.6283056752072218</v>
      </c>
      <c r="FG17" s="94"/>
      <c r="FH17" s="84"/>
      <c r="FI17" s="84"/>
      <c r="FJ17" s="84"/>
      <c r="FK17" s="84"/>
      <c r="FL17" s="84"/>
      <c r="FM17" s="84"/>
      <c r="FN17" s="84"/>
      <c r="FO17" s="84"/>
      <c r="FP17" s="84"/>
      <c r="FQ17" s="84"/>
      <c r="FR17" s="84"/>
      <c r="FS17" s="84"/>
      <c r="FT17" s="84"/>
      <c r="FU17" s="84"/>
      <c r="FV17" s="84"/>
      <c r="FW17" s="84"/>
      <c r="FX17" s="84"/>
    </row>
    <row r="18" spans="1:180" s="63" customFormat="1" ht="12" customHeight="1" outlineLevel="1" x14ac:dyDescent="0.25">
      <c r="A18" s="111" t="s">
        <v>60</v>
      </c>
      <c r="B18" s="100">
        <f>Serviceorderfile_Current!$W471</f>
        <v>1288.9326082986001</v>
      </c>
      <c r="C18" s="97">
        <f>Serviceorderfile_PREVIOUS!$W471</f>
        <v>1200.716688339</v>
      </c>
      <c r="D18" s="61">
        <f t="shared" ref="D18:D44" si="152">IF(C18&gt;0,B18/C18-1,1)</f>
        <v>7.3469387755102034E-2</v>
      </c>
      <c r="E18" s="97">
        <f>'YOY Orders'!$J4</f>
        <v>2446.6304220893999</v>
      </c>
      <c r="F18" s="97">
        <f>'YOY Orders'!$B4</f>
        <v>2001.7390232808</v>
      </c>
      <c r="G18" s="61">
        <f t="shared" si="1"/>
        <v>0.22225244831338409</v>
      </c>
      <c r="H18" s="100">
        <f>Serviceorderfile_Current!$W473</f>
        <v>1493.6806694394002</v>
      </c>
      <c r="I18" s="97">
        <f>Serviceorderfile_PREVIOUS!$W473</f>
        <v>796.66599321540002</v>
      </c>
      <c r="J18" s="61">
        <f t="shared" si="2"/>
        <v>0.87491455912508553</v>
      </c>
      <c r="K18" s="97">
        <f>'YOY Orders'!$K4</f>
        <v>2190.9676170213002</v>
      </c>
      <c r="L18" s="97">
        <f>'YOY Orders'!$C4</f>
        <v>2101.6626116300999</v>
      </c>
      <c r="M18" s="61">
        <f t="shared" si="147"/>
        <v>4.2492550848555632E-2</v>
      </c>
      <c r="N18" s="100">
        <f>Serviceorderfile_Current!$W472</f>
        <v>1993.0263398280001</v>
      </c>
      <c r="O18" s="97">
        <f>Serviceorderfile_PREVIOUS!$W472</f>
        <v>944.50934055510004</v>
      </c>
      <c r="P18" s="61">
        <f t="shared" si="4"/>
        <v>1.1101181896800232</v>
      </c>
      <c r="Q18" s="97">
        <f>'YOY Orders'!$O4</f>
        <v>2593.6569553554</v>
      </c>
      <c r="R18" s="97">
        <f>'YOY Orders'!$G4</f>
        <v>900.12910921740001</v>
      </c>
      <c r="S18" s="61">
        <f t="shared" si="148"/>
        <v>1.8814277071990322</v>
      </c>
      <c r="T18" s="100">
        <f>Serviceorderfile_Current!$W474</f>
        <v>4326.9364197468003</v>
      </c>
      <c r="U18" s="97">
        <f>Serviceorderfile_PREVIOUS!$W474</f>
        <v>4582.3269534569999</v>
      </c>
      <c r="V18" s="61">
        <f t="shared" si="6"/>
        <v>-5.5733808674985119E-2</v>
      </c>
      <c r="W18" s="97">
        <f>'YOY Orders'!$L4</f>
        <v>4111.8420470057999</v>
      </c>
      <c r="X18" s="97">
        <f>'YOY Orders'!$D4</f>
        <v>4103.9461776266999</v>
      </c>
      <c r="Y18" s="61">
        <f t="shared" si="149"/>
        <v>1.9239700126052472E-3</v>
      </c>
      <c r="Z18" s="100">
        <f>Serviceorderfile_Current!$W475</f>
        <v>88.760462675400007</v>
      </c>
      <c r="AA18" s="97">
        <f>Serviceorderfile_PREVIOUS!$W475</f>
        <v>59.355156022199999</v>
      </c>
      <c r="AB18" s="61">
        <f t="shared" si="8"/>
        <v>0.49541284403669739</v>
      </c>
      <c r="AC18" s="97">
        <f>'YOY Orders'!$N4</f>
        <v>34.306191095400003</v>
      </c>
      <c r="AD18" s="97">
        <f>'YOY Orders'!$F4</f>
        <v>43.835688621900005</v>
      </c>
      <c r="AE18" s="61">
        <f t="shared" si="150"/>
        <v>-0.21739130434782605</v>
      </c>
      <c r="AF18" s="100">
        <f>Serviceorderfile_Current!$W469</f>
        <v>119.79939747600001</v>
      </c>
      <c r="AG18" s="97">
        <f>Serviceorderfile_PREVIOUS!$W469</f>
        <v>44.652502695599999</v>
      </c>
      <c r="AH18" s="61">
        <f t="shared" si="10"/>
        <v>1.6829268292682928</v>
      </c>
      <c r="AI18" s="97">
        <f>'YOY Orders'!$M4</f>
        <v>87.671377243800009</v>
      </c>
      <c r="AJ18" s="97">
        <f>'YOY Orders'!$E4</f>
        <v>719.88547028760001</v>
      </c>
      <c r="AK18" s="61">
        <f t="shared" si="151"/>
        <v>-0.87821482602118006</v>
      </c>
      <c r="AL18" s="117">
        <f t="shared" si="54"/>
        <v>9311.1358974642008</v>
      </c>
      <c r="AM18" s="60">
        <f t="shared" si="55"/>
        <v>7628.2266342842995</v>
      </c>
      <c r="AN18" s="61">
        <f t="shared" si="12"/>
        <v>0.22061605453831623</v>
      </c>
      <c r="AO18" s="117">
        <f t="shared" si="56"/>
        <v>11465.074609811099</v>
      </c>
      <c r="AP18" s="60">
        <f t="shared" si="57"/>
        <v>9871.1980806644988</v>
      </c>
      <c r="AQ18" s="61">
        <f t="shared" si="13"/>
        <v>0.16146738380912984</v>
      </c>
      <c r="AR18" s="72"/>
      <c r="AS18" s="111" t="s">
        <v>60</v>
      </c>
      <c r="AT18" s="100">
        <f>Serviceorderfile_Current!$I471*Serviceorderfile_Current!$U471</f>
        <v>326.99790083790003</v>
      </c>
      <c r="AU18" s="97">
        <f>Serviceorderfile_PREVIOUS!$I471*Serviceorderfile_PREVIOUS!$U471</f>
        <v>454.96543905090005</v>
      </c>
      <c r="AV18" s="61">
        <f t="shared" si="14"/>
        <v>-0.28126870137642135</v>
      </c>
      <c r="AW18" s="78">
        <f t="shared" si="84"/>
        <v>0.25369666244190958</v>
      </c>
      <c r="AX18" s="75">
        <f t="shared" si="85"/>
        <v>0.37891156462585035</v>
      </c>
      <c r="AY18" s="119">
        <f t="shared" si="86"/>
        <v>-12.521490218394076</v>
      </c>
      <c r="AZ18" s="100">
        <f>Serviceorderfile_Current!$I473*Serviceorderfile_Current!$U473</f>
        <v>678.77249524470005</v>
      </c>
      <c r="BA18" s="97">
        <f>Serviceorderfile_PREVIOUS!$I473*Serviceorderfile_PREVIOUS!$U473</f>
        <v>448.15865510340001</v>
      </c>
      <c r="BB18" s="61">
        <f t="shared" si="125"/>
        <v>0.51458080194410694</v>
      </c>
      <c r="BC18" s="78">
        <f t="shared" si="126"/>
        <v>0.45442945679912505</v>
      </c>
      <c r="BD18" s="75">
        <f t="shared" si="127"/>
        <v>0.56254272043745723</v>
      </c>
      <c r="BE18" s="119">
        <f t="shared" si="128"/>
        <v>-10.811326363833217</v>
      </c>
      <c r="BF18" s="100">
        <f>Serviceorderfile_Current!$I472*Serviceorderfile_Current!$U472</f>
        <v>296.77578011100002</v>
      </c>
      <c r="BG18" s="97">
        <f>Serviceorderfile_PREVIOUS!$I472*Serviceorderfile_PREVIOUS!$U472</f>
        <v>255.93507642600002</v>
      </c>
      <c r="BH18" s="61">
        <f t="shared" si="129"/>
        <v>0.15957446808510634</v>
      </c>
      <c r="BI18" s="78">
        <f t="shared" si="21"/>
        <v>0.14890710382513661</v>
      </c>
      <c r="BJ18" s="75">
        <f t="shared" si="22"/>
        <v>0.27097146151628715</v>
      </c>
      <c r="BK18" s="119">
        <f t="shared" si="78"/>
        <v>-12.206435769115053</v>
      </c>
      <c r="BL18" s="100">
        <f>Serviceorderfile_Current!$I474*Serviceorderfile_Current!$U474</f>
        <v>566.05215307410003</v>
      </c>
      <c r="BM18" s="97">
        <f>Serviceorderfile_PREVIOUS!$I474*Serviceorderfile_PREVIOUS!$U474</f>
        <v>428.01057461880004</v>
      </c>
      <c r="BN18" s="61">
        <f t="shared" si="130"/>
        <v>0.3225190839694656</v>
      </c>
      <c r="BO18" s="78">
        <f t="shared" si="24"/>
        <v>0.1308205386357916</v>
      </c>
      <c r="BP18" s="75">
        <f t="shared" si="25"/>
        <v>9.3404634581105178E-2</v>
      </c>
      <c r="BQ18" s="119">
        <f t="shared" si="79"/>
        <v>3.7415904054686422</v>
      </c>
      <c r="BR18" s="100">
        <f>Serviceorderfile_Current!$I475*Serviceorderfile_Current!$U475</f>
        <v>19.875809126700002</v>
      </c>
      <c r="BS18" s="97">
        <f>Serviceorderfile_PREVIOUS!$I475*Serviceorderfile_PREVIOUS!$U475</f>
        <v>3.2672562948000001</v>
      </c>
      <c r="BT18" s="61">
        <f t="shared" si="131"/>
        <v>5.0833333333333339</v>
      </c>
      <c r="BU18" s="78">
        <f t="shared" si="27"/>
        <v>0.22392638036809817</v>
      </c>
      <c r="BV18" s="75">
        <f t="shared" si="28"/>
        <v>5.5045871559633031E-2</v>
      </c>
      <c r="BW18" s="119">
        <f t="shared" si="80"/>
        <v>16.888050880846514</v>
      </c>
      <c r="BX18" s="100">
        <f>Serviceorderfile_Current!$I469*Serviceorderfile_Current!$U469</f>
        <v>56.0878997274</v>
      </c>
      <c r="BY18" s="97">
        <f>Serviceorderfile_PREVIOUS!$I469*Serviceorderfile_PREVIOUS!$U469</f>
        <v>44.652502695599999</v>
      </c>
      <c r="BZ18" s="61">
        <f t="shared" si="132"/>
        <v>0.25609756097560976</v>
      </c>
      <c r="CA18" s="78">
        <f t="shared" si="30"/>
        <v>0.46818181818181814</v>
      </c>
      <c r="CB18" s="75">
        <f t="shared" si="31"/>
        <v>1</v>
      </c>
      <c r="CC18" s="119">
        <f t="shared" si="81"/>
        <v>-53.181818181818187</v>
      </c>
      <c r="CD18" s="120">
        <f t="shared" si="58"/>
        <v>1265.7895428771001</v>
      </c>
      <c r="CE18" s="80">
        <f t="shared" si="59"/>
        <v>1186.8308490861</v>
      </c>
      <c r="CF18" s="61">
        <f t="shared" si="32"/>
        <v>6.6529020417527063E-2</v>
      </c>
      <c r="CG18" s="81">
        <f t="shared" ref="CG18:CG50" si="153">CD18/AL18</f>
        <v>0.13594362243406047</v>
      </c>
      <c r="CH18" s="82">
        <f t="shared" ref="CH18:CH50" si="154">CE18/AM18</f>
        <v>0.15558410964771391</v>
      </c>
      <c r="CI18" s="121">
        <f t="shared" si="83"/>
        <v>-1.9640487213653439</v>
      </c>
      <c r="CJ18" s="85"/>
      <c r="CK18" s="111" t="s">
        <v>60</v>
      </c>
      <c r="CL18" s="100">
        <f>Serviceorderfile_Current!$J471*Serviceorderfile_Current!$U471</f>
        <v>485.1875597778</v>
      </c>
      <c r="CM18" s="97">
        <f>Serviceorderfile_PREVIOUS!$J471*Serviceorderfile_PREVIOUS!$U471</f>
        <v>39.751618253400004</v>
      </c>
      <c r="CN18" s="61">
        <f t="shared" si="133"/>
        <v>11.205479452054794</v>
      </c>
      <c r="CO18" s="100">
        <f>Serviceorderfile_Current!$J473*Serviceorderfile_Current!$U473</f>
        <v>317.19613195350001</v>
      </c>
      <c r="CP18" s="97">
        <f>Serviceorderfile_PREVIOUS!$J473*Serviceorderfile_PREVIOUS!$U473</f>
        <v>114.8985130338</v>
      </c>
      <c r="CQ18" s="61">
        <f t="shared" si="34"/>
        <v>1.7606635071090047</v>
      </c>
      <c r="CR18" s="100">
        <f>Serviceorderfile_Current!$J472*Serviceorderfile_Current!$U472</f>
        <v>344.69553910140002</v>
      </c>
      <c r="CS18" s="97">
        <f>Serviceorderfile_PREVIOUS!$J472*Serviceorderfile_PREVIOUS!$U472</f>
        <v>75.4191661383</v>
      </c>
      <c r="CT18" s="61">
        <f t="shared" si="134"/>
        <v>3.5703971119133575</v>
      </c>
      <c r="CU18" s="100">
        <f>Serviceorderfile_Current!$J474*Serviceorderfile_Current!$U474</f>
        <v>335.16604157490002</v>
      </c>
      <c r="CV18" s="97">
        <f>Serviceorderfile_PREVIOUS!$J474*Serviceorderfile_PREVIOUS!$U474</f>
        <v>1030.8193610093999</v>
      </c>
      <c r="CW18" s="61">
        <f t="shared" si="135"/>
        <v>-0.67485472794506074</v>
      </c>
      <c r="CX18" s="100">
        <f>Serviceorderfile_Current!$J475*Serviceorderfile_Current!$U475</f>
        <v>42.7466031903</v>
      </c>
      <c r="CY18" s="97">
        <f>Serviceorderfile_PREVIOUS!$J475*Serviceorderfile_PREVIOUS!$U475</f>
        <v>4.0840703684999999</v>
      </c>
      <c r="CZ18" s="61">
        <f t="shared" si="136"/>
        <v>9.4666666666666668</v>
      </c>
      <c r="DA18" s="100">
        <f>Serviceorderfile_Current!$J469*Serviceorderfile_Current!$U469</f>
        <v>63.711497748600003</v>
      </c>
      <c r="DB18" s="97">
        <f>Serviceorderfile_PREVIOUS!$J469*Serviceorderfile_PREVIOUS!$U469</f>
        <v>0</v>
      </c>
      <c r="DC18" s="61">
        <f t="shared" si="137"/>
        <v>1</v>
      </c>
      <c r="DD18" s="118">
        <f t="shared" si="62"/>
        <v>1588.7033733465</v>
      </c>
      <c r="DE18" s="77">
        <f t="shared" si="63"/>
        <v>1264.9727288034001</v>
      </c>
      <c r="DF18" s="57">
        <f t="shared" si="39"/>
        <v>0.2559190701678864</v>
      </c>
      <c r="DG18" s="86"/>
      <c r="DH18" s="111" t="s">
        <v>60</v>
      </c>
      <c r="DI18" s="100">
        <f>Serviceorderfile_Current!$K471*Serviceorderfile_Current!$U471</f>
        <v>337.34421243809999</v>
      </c>
      <c r="DJ18" s="97">
        <f>Serviceorderfile_PREVIOUS!$K471*Serviceorderfile_PREVIOUS!$U471</f>
        <v>174.5259404139</v>
      </c>
      <c r="DK18" s="61">
        <f t="shared" si="138"/>
        <v>0.93291731669266764</v>
      </c>
      <c r="DL18" s="100">
        <f>Serviceorderfile_Current!$K473*Serviceorderfile_Current!$U473</f>
        <v>173.98139769810001</v>
      </c>
      <c r="DM18" s="97">
        <f>Serviceorderfile_PREVIOUS!$K473*Serviceorderfile_PREVIOUS!$U473</f>
        <v>8.440412094900001</v>
      </c>
      <c r="DN18" s="61">
        <f t="shared" si="139"/>
        <v>19.612903225806452</v>
      </c>
      <c r="DO18" s="100">
        <f>Serviceorderfile_Current!$K472*Serviceorderfile_Current!$U472</f>
        <v>266.00911666830001</v>
      </c>
      <c r="DP18" s="97">
        <f>Serviceorderfile_PREVIOUS!$K472*Serviceorderfile_PREVIOUS!$U472</f>
        <v>99.379045633499999</v>
      </c>
      <c r="DQ18" s="61">
        <f t="shared" si="140"/>
        <v>1.6767123287671235</v>
      </c>
      <c r="DR18" s="100">
        <f>Serviceorderfile_Current!$K474*Serviceorderfile_Current!$U474</f>
        <v>898.22320971210002</v>
      </c>
      <c r="DS18" s="97">
        <f>Serviceorderfile_PREVIOUS!$K474*Serviceorderfile_PREVIOUS!$U474</f>
        <v>233.6088250782</v>
      </c>
      <c r="DT18" s="61">
        <f t="shared" si="141"/>
        <v>2.8449883449883449</v>
      </c>
      <c r="DU18" s="100">
        <f>Serviceorderfile_Current!$K475*Serviceorderfile_Current!$U475</f>
        <v>0</v>
      </c>
      <c r="DV18" s="97">
        <f>Serviceorderfile_PREVIOUS!$K475*Serviceorderfile_PREVIOUS!$U475</f>
        <v>25.865779000500002</v>
      </c>
      <c r="DW18" s="61">
        <f t="shared" si="142"/>
        <v>-1</v>
      </c>
      <c r="DX18" s="100">
        <f>Serviceorderfile_Current!$K469*Serviceorderfile_Current!$U469</f>
        <v>0</v>
      </c>
      <c r="DY18" s="97">
        <f>Serviceorderfile_PREVIOUS!$K469*Serviceorderfile_PREVIOUS!$U469</f>
        <v>0</v>
      </c>
      <c r="DZ18" s="61">
        <f t="shared" si="143"/>
        <v>1</v>
      </c>
      <c r="EA18" s="118">
        <f t="shared" si="144"/>
        <v>1675.5579365166</v>
      </c>
      <c r="EB18" s="77">
        <f t="shared" si="145"/>
        <v>541.82000222099998</v>
      </c>
      <c r="EC18" s="57">
        <f t="shared" si="146"/>
        <v>2.0924623115577892</v>
      </c>
      <c r="ED18" s="94"/>
      <c r="EE18" s="111" t="s">
        <v>60</v>
      </c>
      <c r="EF18" s="83">
        <f>Serviceorderfile_Current!$V468</f>
        <v>1</v>
      </c>
      <c r="EG18" s="61">
        <f>Aged!E29</f>
        <v>0.8</v>
      </c>
      <c r="EH18" s="100">
        <f>Serviceorderfile_Current!$U463*Serviceorderfile_Current!$H463</f>
        <v>28444.4610311709</v>
      </c>
      <c r="EI18" s="97">
        <f>Serviceorderfile_PREVIOUS!$U463*Serviceorderfile_PREVIOUS!$H463</f>
        <v>27188.473257178201</v>
      </c>
      <c r="EJ18" s="61">
        <f t="shared" si="47"/>
        <v>4.619559774880333E-2</v>
      </c>
      <c r="EK18" s="100">
        <f>Serviceorderfile_Current!$U465*Serviceorderfile_Current!$H465</f>
        <v>33050.4755927652</v>
      </c>
      <c r="EL18" s="97">
        <f>Serviceorderfile_PREVIOUS!$U465*Serviceorderfile_PREVIOUS!$H465</f>
        <v>30642.2354321397</v>
      </c>
      <c r="EM18" s="61">
        <f t="shared" si="48"/>
        <v>7.8592182543561151E-2</v>
      </c>
      <c r="EN18" s="100">
        <f>Serviceorderfile_Current!$U464*Serviceorderfile_Current!$H464</f>
        <v>7014.2547222198</v>
      </c>
      <c r="EO18" s="97">
        <f>Serviceorderfile_PREVIOUS!$U464*Serviceorderfile_PREVIOUS!$H464</f>
        <v>4222.9287610290003</v>
      </c>
      <c r="EP18" s="61">
        <f t="shared" si="49"/>
        <v>0.66099290780141828</v>
      </c>
      <c r="EQ18" s="100">
        <f>Serviceorderfile_Current!$U466*Serviceorderfile_Current!$H466</f>
        <v>7655.1814987164007</v>
      </c>
      <c r="ER18" s="97">
        <f>Serviceorderfile_PREVIOUS!$U466*Serviceorderfile_PREVIOUS!$H466</f>
        <v>7724.3384236230004</v>
      </c>
      <c r="ES18" s="61">
        <f t="shared" si="50"/>
        <v>-8.9531194924215018E-3</v>
      </c>
      <c r="ET18" s="100">
        <f>Serviceorderfile_Current!$U467*Serviceorderfile_Current!$H467</f>
        <v>15.5194674003</v>
      </c>
      <c r="EU18" s="97">
        <f>Serviceorderfile_PREVIOUS!$U467*Serviceorderfile_PREVIOUS!$H467</f>
        <v>109.4530858758</v>
      </c>
      <c r="EV18" s="61">
        <f t="shared" si="51"/>
        <v>-0.85820895522388063</v>
      </c>
      <c r="EW18" s="84"/>
      <c r="EX18" s="83">
        <f>Serviceorderfile_Current!$V461</f>
        <v>1</v>
      </c>
      <c r="EY18" s="62">
        <f>Aged!E82</f>
        <v>0.26</v>
      </c>
      <c r="EZ18" s="100">
        <f>Serviceorderfile_Current!$U465*Serviceorderfile_Current!$H465</f>
        <v>33050.4755927652</v>
      </c>
      <c r="FA18" s="97">
        <f>Serviceorderfile_PREVIOUS!$U465*Serviceorderfile_PREVIOUS!$H465</f>
        <v>30642.2354321397</v>
      </c>
      <c r="FB18" s="61">
        <f t="shared" si="52"/>
        <v>7.8592182543561151E-2</v>
      </c>
      <c r="FC18" s="84"/>
      <c r="FD18" s="120">
        <f t="shared" si="66"/>
        <v>109230.3679050378</v>
      </c>
      <c r="FE18" s="80">
        <f t="shared" si="67"/>
        <v>100529.6643919854</v>
      </c>
      <c r="FF18" s="57">
        <f t="shared" si="75"/>
        <v>8.6548617919648185E-2</v>
      </c>
      <c r="FG18" s="94"/>
      <c r="FH18" s="84"/>
      <c r="FI18" s="84"/>
      <c r="FJ18" s="84"/>
      <c r="FK18" s="84"/>
      <c r="FL18" s="84"/>
      <c r="FM18" s="84"/>
      <c r="FN18" s="84"/>
      <c r="FO18" s="84"/>
      <c r="FP18" s="84"/>
      <c r="FQ18" s="84"/>
      <c r="FR18" s="84"/>
      <c r="FS18" s="84"/>
      <c r="FT18" s="84"/>
      <c r="FU18" s="84"/>
      <c r="FV18" s="84"/>
      <c r="FW18" s="84"/>
      <c r="FX18" s="84"/>
    </row>
    <row r="19" spans="1:180" s="63" customFormat="1" ht="12" customHeight="1" outlineLevel="1" x14ac:dyDescent="0.25">
      <c r="A19" s="113" t="s">
        <v>70</v>
      </c>
      <c r="B19" s="115">
        <f>SUM(B4:B18)</f>
        <v>4993.1270349210999</v>
      </c>
      <c r="C19" s="104">
        <f>SUM(C4:C18)</f>
        <v>3920.5493539678</v>
      </c>
      <c r="D19" s="70">
        <f>IF(C19&gt;0,B19/C19-1,1)</f>
        <v>0.27357841570538977</v>
      </c>
      <c r="E19" s="115">
        <f>SUM(E4:E18)</f>
        <v>6978.6171467812001</v>
      </c>
      <c r="F19" s="104">
        <f>SUM(F4:F18)</f>
        <v>5495.9401695974002</v>
      </c>
      <c r="G19" s="70">
        <f>IF(F19&gt;0,E19/F19-1,1)</f>
        <v>0.26977676820168361</v>
      </c>
      <c r="H19" s="115">
        <f>SUM(H4:H18)</f>
        <v>6946.421260913</v>
      </c>
      <c r="I19" s="104">
        <f>SUM(I4:I18)</f>
        <v>3818.8350128196007</v>
      </c>
      <c r="J19" s="70">
        <f>IF(I19&gt;0,H19/I19-1,1)</f>
        <v>0.8189896231689191</v>
      </c>
      <c r="K19" s="115">
        <f>SUM(K4:K18)</f>
        <v>6520.4893451509997</v>
      </c>
      <c r="L19" s="104">
        <f>SUM(L4:L18)</f>
        <v>3815.3889241830002</v>
      </c>
      <c r="M19" s="70">
        <f>IF(L19&gt;0,K19/L19-1,1)</f>
        <v>0.70899729351896945</v>
      </c>
      <c r="N19" s="115">
        <f>SUM(N4:N18)</f>
        <v>6305.9800647696011</v>
      </c>
      <c r="O19" s="104">
        <f>SUM(O4:O18)</f>
        <v>4081.1282418982</v>
      </c>
      <c r="P19" s="70">
        <f>IF(O19&gt;0,N19/O19-1,1)</f>
        <v>0.54515606739095901</v>
      </c>
      <c r="Q19" s="115">
        <f>SUM(Q4:Q18)</f>
        <v>9119.4947896672002</v>
      </c>
      <c r="R19" s="104">
        <f>SUM(R4:R18)</f>
        <v>5812.7196717847</v>
      </c>
      <c r="S19" s="70">
        <f>IF(R19&gt;0,Q19/R19-1,1)</f>
        <v>0.56888604725491754</v>
      </c>
      <c r="T19" s="115">
        <f>SUM(T4:T18)</f>
        <v>9168.7007948946994</v>
      </c>
      <c r="U19" s="104">
        <f>SUM(U4:U18)</f>
        <v>8315.7509268739996</v>
      </c>
      <c r="V19" s="70">
        <f>IF(U19&gt;0,T19/U19-1,1)</f>
        <v>0.10257039629027642</v>
      </c>
      <c r="W19" s="115">
        <f>SUM(W4:W18)</f>
        <v>8713.5167549879989</v>
      </c>
      <c r="X19" s="104">
        <f>SUM(X4:X18)</f>
        <v>7153.0397444062</v>
      </c>
      <c r="Y19" s="70">
        <f>IF(X19&gt;0,W19/X19-1,1)</f>
        <v>0.21815578639865918</v>
      </c>
      <c r="Z19" s="115">
        <f>SUM(Z4:Z18)</f>
        <v>559.95399687470001</v>
      </c>
      <c r="AA19" s="104">
        <f>SUM(AA4:AA18)</f>
        <v>488.4571385978</v>
      </c>
      <c r="AB19" s="70">
        <f>IF(AA19&gt;0,Z19/AA19-1,1)</f>
        <v>0.14637283934910639</v>
      </c>
      <c r="AC19" s="115">
        <f>SUM(AC4:AC18)</f>
        <v>1024.9710147859</v>
      </c>
      <c r="AD19" s="104">
        <f>SUM(AD4:AD18)</f>
        <v>2025.0486541725002</v>
      </c>
      <c r="AE19" s="70">
        <f>IF(AD19&gt;0,AC19/AD19-1,1)</f>
        <v>-0.49385363523290948</v>
      </c>
      <c r="AF19" s="115">
        <f>SUM(AF4:AF18)</f>
        <v>2080.2478837501003</v>
      </c>
      <c r="AG19" s="104">
        <f>SUM(AG4:AG18)</f>
        <v>1278.564036752</v>
      </c>
      <c r="AH19" s="70">
        <f>IF(AG19&gt;0,AF19/AG19-1,1)</f>
        <v>0.62701892431970618</v>
      </c>
      <c r="AI19" s="115">
        <f>SUM(AI4:AI18)</f>
        <v>5285.2979027174006</v>
      </c>
      <c r="AJ19" s="104">
        <f>SUM(AJ4:AJ18)</f>
        <v>6153.9030911892996</v>
      </c>
      <c r="AK19" s="70">
        <f>IF(AJ19&gt;0,AI19/AJ19-1,1)</f>
        <v>-0.14114703718937394</v>
      </c>
      <c r="AL19" s="115">
        <f t="shared" si="54"/>
        <v>30054.431036123202</v>
      </c>
      <c r="AM19" s="104">
        <f t="shared" si="55"/>
        <v>21903.2847109094</v>
      </c>
      <c r="AN19" s="70">
        <f>IF(AM19&gt;0,AL19/AM19-1,1)</f>
        <v>0.37214264585411461</v>
      </c>
      <c r="AO19" s="115">
        <f t="shared" si="56"/>
        <v>37642.386954090696</v>
      </c>
      <c r="AP19" s="104">
        <f t="shared" si="57"/>
        <v>30456.040255333101</v>
      </c>
      <c r="AQ19" s="70">
        <f>IF(AP19&gt;0,AO19/AP19-1,1)</f>
        <v>0.23595801156387064</v>
      </c>
      <c r="AR19" s="72"/>
      <c r="AS19" s="113" t="s">
        <v>70</v>
      </c>
      <c r="AT19" s="115">
        <f>SUM(AT4:AT18)</f>
        <v>1135.276292536</v>
      </c>
      <c r="AU19" s="104">
        <f>SUM(AU4:AU18)</f>
        <v>1414.7671590215</v>
      </c>
      <c r="AV19" s="70">
        <f>IF(AU19&gt;0,AT19/AU19-1,1)</f>
        <v>-0.19755255464001942</v>
      </c>
      <c r="AW19" s="107">
        <f t="shared" ref="AW19" si="155">AT19/B19</f>
        <v>0.22736779669254686</v>
      </c>
      <c r="AX19" s="107">
        <f t="shared" ref="AX19" si="156">AU19/C19</f>
        <v>0.36085941823170314</v>
      </c>
      <c r="AY19" s="70">
        <f t="shared" ref="AY19" si="157">IF(AX19&gt;0,AW19/AX19-1,1)</f>
        <v>-0.36992694327696063</v>
      </c>
      <c r="AZ19" s="115">
        <f>SUM(AZ4:AZ18)</f>
        <v>2255.6123576798</v>
      </c>
      <c r="BA19" s="104">
        <f>SUM(BA4:BA18)</f>
        <v>1293.5626976515002</v>
      </c>
      <c r="BB19" s="70">
        <f>IF(BA19&gt;0,AZ19/BA19-1,1)</f>
        <v>0.74372093581155996</v>
      </c>
      <c r="BC19" s="107">
        <f t="shared" si="126"/>
        <v>0.32471574541152065</v>
      </c>
      <c r="BD19" s="107">
        <f t="shared" si="127"/>
        <v>0.33873228178465098</v>
      </c>
      <c r="BE19" s="70">
        <f t="shared" ref="BE19" si="158">IF(BD19&gt;0,BC19/BD19-1,1)</f>
        <v>-4.1379393482317561E-2</v>
      </c>
      <c r="BF19" s="115">
        <f>SUM(BF4:BF18)</f>
        <v>1324.3943791196998</v>
      </c>
      <c r="BG19" s="104">
        <f>SUM(BG4:BG18)</f>
        <v>1366.3905314383999</v>
      </c>
      <c r="BH19" s="70">
        <f>IF(BG19&gt;0,BF19/BG19-1,1)</f>
        <v>-3.0735101972999446E-2</v>
      </c>
      <c r="BI19" s="107">
        <f t="shared" si="21"/>
        <v>0.21002197366890799</v>
      </c>
      <c r="BJ19" s="107">
        <f t="shared" si="22"/>
        <v>0.33480705590444004</v>
      </c>
      <c r="BK19" s="70">
        <f t="shared" ref="BK19" si="159">IF(BJ19&gt;0,BI19/BJ19-1,1)</f>
        <v>-0.37270744458607818</v>
      </c>
      <c r="BL19" s="115">
        <f>SUM(BL4:BL18)</f>
        <v>1440.3949595124</v>
      </c>
      <c r="BM19" s="104">
        <f>SUM(BM4:BM18)</f>
        <v>953.08599732660014</v>
      </c>
      <c r="BN19" s="70">
        <f>IF(BM19&gt;0,BL19/BM19-1,1)</f>
        <v>0.51129589937602504</v>
      </c>
      <c r="BO19" s="107">
        <f t="shared" si="24"/>
        <v>0.15709913451581256</v>
      </c>
      <c r="BP19" s="107">
        <f t="shared" si="25"/>
        <v>0.11461213854379808</v>
      </c>
      <c r="BQ19" s="70">
        <f t="shared" ref="BQ19" si="160">IF(BP19&gt;0,BO19/BP19-1,1)</f>
        <v>0.37070240998756376</v>
      </c>
      <c r="BR19" s="115">
        <f>SUM(BR4:BR18)</f>
        <v>331.2531683679</v>
      </c>
      <c r="BS19" s="104">
        <f>SUM(BS4:BS18)</f>
        <v>270.31648990579998</v>
      </c>
      <c r="BT19" s="70">
        <f>IF(BS19&gt;0,BR19/BS19-1,1)</f>
        <v>0.22542715941352776</v>
      </c>
      <c r="BU19" s="107">
        <f t="shared" si="27"/>
        <v>0.59157211166763757</v>
      </c>
      <c r="BV19" s="107">
        <f t="shared" si="28"/>
        <v>0.55340882248499801</v>
      </c>
      <c r="BW19" s="70">
        <f t="shared" ref="BW19" si="161">IF(BV19&gt;0,BU19/BV19-1,1)</f>
        <v>6.8960391725005676E-2</v>
      </c>
      <c r="BX19" s="115">
        <f>SUM(BX4:BX18)</f>
        <v>817.98341941110004</v>
      </c>
      <c r="BY19" s="104">
        <f>SUM(BY4:BY18)</f>
        <v>755.73842738809992</v>
      </c>
      <c r="BZ19" s="70">
        <f>IF(BY19&gt;0,BX19/BY19-1,1)</f>
        <v>8.2363142811361811E-2</v>
      </c>
      <c r="CA19" s="107">
        <f t="shared" si="30"/>
        <v>0.39321439805361397</v>
      </c>
      <c r="CB19" s="107">
        <f t="shared" si="31"/>
        <v>0.59108375150918524</v>
      </c>
      <c r="CC19" s="70">
        <f t="shared" ref="CC19" si="162">IF(CB19&gt;0,CA19/CB19-1,1)</f>
        <v>-0.33475688166078177</v>
      </c>
      <c r="CD19" s="115">
        <f t="shared" ref="CD19" si="163">AT19+BL19+BR19+BX19+BF19+AZ19</f>
        <v>7304.9145766268994</v>
      </c>
      <c r="CE19" s="104">
        <f t="shared" ref="CE19" si="164">AU19+BM19+BS19+BY19+BG19+BA19</f>
        <v>6053.8613027319007</v>
      </c>
      <c r="CF19" s="70">
        <f>IF(CE19&gt;0,CD19/CE19-1,1)</f>
        <v>0.20665377208599756</v>
      </c>
      <c r="CG19" s="107">
        <f>CD19/AL19</f>
        <v>0.24305615926806043</v>
      </c>
      <c r="CH19" s="107">
        <f>CE19/AM19</f>
        <v>0.27639056801908096</v>
      </c>
      <c r="CI19" s="130">
        <f t="shared" si="83"/>
        <v>-3.3334408751020534</v>
      </c>
      <c r="CJ19" s="85"/>
      <c r="CK19" s="113" t="s">
        <v>70</v>
      </c>
      <c r="CL19" s="115">
        <f>SUM(CL4:CL18)</f>
        <v>1350.8374304140002</v>
      </c>
      <c r="CM19" s="104">
        <f>SUM(CM4:CM18)</f>
        <v>408.50573490210002</v>
      </c>
      <c r="CN19" s="70">
        <f>IF(CM19&gt;0,CL19/CM19-1,1)</f>
        <v>2.3067771514584332</v>
      </c>
      <c r="CO19" s="115">
        <f>SUM(CO4:CO18)</f>
        <v>816.01596166720003</v>
      </c>
      <c r="CP19" s="104">
        <f>SUM(CP4:CP18)</f>
        <v>423.48701906179997</v>
      </c>
      <c r="CQ19" s="70">
        <f>IF(CP19&gt;0,CO19/CP19-1,1)</f>
        <v>0.92689722455959833</v>
      </c>
      <c r="CR19" s="115">
        <f>SUM(CR4:CR18)</f>
        <v>863.55392017269992</v>
      </c>
      <c r="CS19" s="104">
        <f>SUM(CS4:CS18)</f>
        <v>664.30369382820004</v>
      </c>
      <c r="CT19" s="70">
        <f>IF(CS19&gt;0,CR19/CS19-1,1)</f>
        <v>0.29993845916507778</v>
      </c>
      <c r="CU19" s="115">
        <f>SUM(CU4:CU18)</f>
        <v>875.3554007698001</v>
      </c>
      <c r="CV19" s="104">
        <f>SUM(CV4:CV18)</f>
        <v>1705.1708483286998</v>
      </c>
      <c r="CW19" s="70">
        <f>IF(CV19&gt;0,CU19/CV19-1,1)</f>
        <v>-0.4866465130882528</v>
      </c>
      <c r="CX19" s="115">
        <f>SUM(CX4:CX18)</f>
        <v>76.161090367699998</v>
      </c>
      <c r="CY19" s="104">
        <f>SUM(CY4:CY18)</f>
        <v>75.951861716499991</v>
      </c>
      <c r="CZ19" s="70">
        <f>IF(CY19&gt;0,CX19/CY19-1,1)</f>
        <v>2.7547534250178529E-3</v>
      </c>
      <c r="DA19" s="115">
        <f>SUM(DA4:DA18)</f>
        <v>655.00846098739999</v>
      </c>
      <c r="DB19" s="104">
        <f>SUM(DB4:DB18)</f>
        <v>314.8514206031</v>
      </c>
      <c r="DC19" s="70">
        <f>IF(DB19&gt;0,DA19/DB19-1,1)</f>
        <v>1.0803732113792814</v>
      </c>
      <c r="DD19" s="175">
        <f t="shared" si="62"/>
        <v>4636.9322643788009</v>
      </c>
      <c r="DE19" s="176">
        <f t="shared" si="63"/>
        <v>3592.2705784403997</v>
      </c>
      <c r="DF19" s="70">
        <f>IF(DE19&gt;0,DD19/DE19-1,1)</f>
        <v>0.29080818471974501</v>
      </c>
      <c r="DG19" s="86"/>
      <c r="DH19" s="113" t="s">
        <v>70</v>
      </c>
      <c r="DI19" s="115">
        <f>SUM(DI4:DI18)</f>
        <v>1129.5559742373</v>
      </c>
      <c r="DJ19" s="104">
        <f>SUM(DJ4:DJ18)</f>
        <v>259.76102067789998</v>
      </c>
      <c r="DK19" s="70">
        <f>IF(DJ19&gt;0,DI19/DJ19-1,1)</f>
        <v>3.348442931466356</v>
      </c>
      <c r="DL19" s="115">
        <f>SUM(DL4:DL18)</f>
        <v>872.25035670300008</v>
      </c>
      <c r="DM19" s="104">
        <f>SUM(DM4:DM18)</f>
        <v>119.40619013290002</v>
      </c>
      <c r="DN19" s="70">
        <f>IF(DM19&gt;0,DL19/DM19-1,1)</f>
        <v>6.3049006565922472</v>
      </c>
      <c r="DO19" s="115">
        <f>SUM(DO4:DO18)</f>
        <v>867.24398656740004</v>
      </c>
      <c r="DP19" s="104">
        <f>SUM(DP4:DP18)</f>
        <v>376.86068312339989</v>
      </c>
      <c r="DQ19" s="70">
        <f>IF(DP19&gt;0,DO19/DP19-1,1)</f>
        <v>1.3012323264388614</v>
      </c>
      <c r="DR19" s="115">
        <f>SUM(DR4:DR18)</f>
        <v>1676.0692883221</v>
      </c>
      <c r="DS19" s="104">
        <f>SUM(DS4:DS18)</f>
        <v>773.55824240279992</v>
      </c>
      <c r="DT19" s="70">
        <f>IF(DS19&gt;0,DR19/DS19-1,1)</f>
        <v>1.1667008331731448</v>
      </c>
      <c r="DU19" s="115">
        <f>SUM(DU4:DU18)</f>
        <v>8.8639074779999998</v>
      </c>
      <c r="DV19" s="104">
        <f>SUM(DV4:DV18)</f>
        <v>37.194722715499999</v>
      </c>
      <c r="DW19" s="70">
        <f>IF(DV19&gt;0,DU19/DV19-1,1)</f>
        <v>-0.7616891098826184</v>
      </c>
      <c r="DX19" s="115">
        <f>SUM(DX4:DX18)</f>
        <v>150.91380394359999</v>
      </c>
      <c r="DY19" s="104">
        <f>SUM(DY4:DY18)</f>
        <v>92.328943715000008</v>
      </c>
      <c r="DZ19" s="70">
        <f>IF(DY19&gt;0,DX19/DY19-1,1)</f>
        <v>0.63452323693249535</v>
      </c>
      <c r="EA19" s="175">
        <f t="shared" si="144"/>
        <v>4704.8973172514006</v>
      </c>
      <c r="EB19" s="176">
        <f t="shared" si="145"/>
        <v>1659.1098027674998</v>
      </c>
      <c r="EC19" s="70">
        <f>IF(EB19&gt;0,EA19/EB19-1,1)</f>
        <v>1.8357962260263516</v>
      </c>
      <c r="ED19" s="94"/>
      <c r="EE19" s="127" t="s">
        <v>70</v>
      </c>
      <c r="EF19" s="166"/>
      <c r="EG19" s="177"/>
      <c r="EH19" s="115">
        <f>SUM(EH4:EH18)</f>
        <v>51157.577143648799</v>
      </c>
      <c r="EI19" s="104">
        <f>SUM(EI4:EI18)</f>
        <v>51749.380322121302</v>
      </c>
      <c r="EJ19" s="70">
        <f>IF(EI19&gt;0,EH19/EI19-1,1)</f>
        <v>-1.1435947151226533E-2</v>
      </c>
      <c r="EK19" s="115">
        <f>SUM(EK4:EK18)</f>
        <v>56001.950605202495</v>
      </c>
      <c r="EL19" s="104">
        <f>SUM(EL4:EL18)</f>
        <v>50160.925782825405</v>
      </c>
      <c r="EM19" s="70">
        <f>IF(EL19&gt;0,EK19/EL19-1,1)</f>
        <v>0.11644571409359838</v>
      </c>
      <c r="EN19" s="115">
        <f>SUM(EN4:EN18)</f>
        <v>32167.117495270701</v>
      </c>
      <c r="EO19" s="104">
        <f>SUM(EO4:EO18)</f>
        <v>19534.549711818101</v>
      </c>
      <c r="EP19" s="70">
        <f>IF(EO19&gt;0,EN19/EO19-1,1)</f>
        <v>0.64667821730285868</v>
      </c>
      <c r="EQ19" s="115">
        <f>SUM(EQ4:EQ18)</f>
        <v>12318.881067505699</v>
      </c>
      <c r="ER19" s="104">
        <f>SUM(ER4:ER18)</f>
        <v>14468.124883873901</v>
      </c>
      <c r="ES19" s="70">
        <f>IF(ER19&gt;0,EQ19/ER19-1,1)</f>
        <v>-0.14855026712989861</v>
      </c>
      <c r="ET19" s="115">
        <f>SUM(ET4:ET18)</f>
        <v>437.33510343029997</v>
      </c>
      <c r="EU19" s="104">
        <f>SUM(EU4:EU18)</f>
        <v>161.56153448380002</v>
      </c>
      <c r="EV19" s="70">
        <f>IF(EU19&gt;0,ET19/EU19-1,1)</f>
        <v>1.7069259079991723</v>
      </c>
      <c r="EW19" s="128"/>
      <c r="EX19" s="166"/>
      <c r="EY19" s="177"/>
      <c r="EZ19" s="115">
        <f>SUM(EZ4:EZ18)</f>
        <v>56001.950605202495</v>
      </c>
      <c r="FA19" s="104">
        <f>SUM(FA4:FA18)</f>
        <v>50196.336582825403</v>
      </c>
      <c r="FB19" s="70">
        <f>IF(FA19&gt;0,EZ19/FA19-1,1)</f>
        <v>0.11565812203840142</v>
      </c>
      <c r="FC19" s="84"/>
      <c r="FD19" s="115">
        <f t="shared" si="66"/>
        <v>208084.81202026049</v>
      </c>
      <c r="FE19" s="104">
        <f t="shared" si="67"/>
        <v>186270.87881794793</v>
      </c>
      <c r="FF19" s="70">
        <f>IF(FE19&gt;0,FD19/FE19-1,1)</f>
        <v>0.11710866100348638</v>
      </c>
      <c r="FG19" s="94"/>
      <c r="FH19" s="84"/>
      <c r="FI19" s="84"/>
      <c r="FJ19" s="84"/>
      <c r="FK19" s="84"/>
      <c r="FL19" s="84"/>
      <c r="FM19" s="84"/>
      <c r="FN19" s="84"/>
      <c r="FO19" s="84"/>
      <c r="FP19" s="84"/>
      <c r="FQ19" s="84"/>
      <c r="FR19" s="84"/>
      <c r="FS19" s="84"/>
      <c r="FT19" s="84"/>
      <c r="FU19" s="84"/>
      <c r="FV19" s="84"/>
      <c r="FW19" s="84"/>
      <c r="FX19" s="84"/>
    </row>
    <row r="20" spans="1:180" s="90" customFormat="1" ht="5" customHeight="1" outlineLevel="1" x14ac:dyDescent="0.25">
      <c r="A20" s="166"/>
      <c r="B20" s="166"/>
      <c r="C20" s="166"/>
      <c r="D20" s="166"/>
      <c r="E20" s="166"/>
      <c r="F20" s="161"/>
      <c r="G20" s="161"/>
      <c r="H20" s="166"/>
      <c r="I20" s="166"/>
      <c r="J20" s="166"/>
      <c r="K20" s="166"/>
      <c r="L20" s="161"/>
      <c r="M20" s="161"/>
      <c r="N20" s="166"/>
      <c r="O20" s="166"/>
      <c r="P20" s="166"/>
      <c r="Q20" s="166"/>
      <c r="R20" s="161"/>
      <c r="S20" s="161"/>
      <c r="T20" s="166"/>
      <c r="U20" s="166"/>
      <c r="V20" s="166"/>
      <c r="W20" s="166"/>
      <c r="X20" s="161"/>
      <c r="Y20" s="161"/>
      <c r="Z20" s="166"/>
      <c r="AA20" s="166"/>
      <c r="AB20" s="166"/>
      <c r="AC20" s="166"/>
      <c r="AD20" s="161"/>
      <c r="AE20" s="161"/>
      <c r="AF20" s="166"/>
      <c r="AG20" s="166"/>
      <c r="AH20" s="166"/>
      <c r="AI20" s="166"/>
      <c r="AJ20" s="161"/>
      <c r="AK20" s="161"/>
      <c r="AL20" s="159"/>
      <c r="AM20" s="166"/>
      <c r="AN20" s="166"/>
      <c r="AO20" s="159"/>
      <c r="AP20" s="166"/>
      <c r="AQ20" s="166"/>
      <c r="AR20" s="103"/>
      <c r="AS20" s="166"/>
      <c r="AT20" s="166"/>
      <c r="AU20" s="166"/>
      <c r="AV20" s="166"/>
      <c r="AW20" s="159"/>
      <c r="AX20" s="159"/>
      <c r="AY20" s="159"/>
      <c r="AZ20" s="166"/>
      <c r="BA20" s="166"/>
      <c r="BB20" s="166"/>
      <c r="BC20" s="159"/>
      <c r="BD20" s="159"/>
      <c r="BE20" s="159"/>
      <c r="BF20" s="166"/>
      <c r="BG20" s="166"/>
      <c r="BH20" s="166"/>
      <c r="BI20" s="159"/>
      <c r="BJ20" s="159"/>
      <c r="BK20" s="159"/>
      <c r="BL20" s="166"/>
      <c r="BM20" s="166"/>
      <c r="BN20" s="166"/>
      <c r="BO20" s="159"/>
      <c r="BP20" s="159"/>
      <c r="BQ20" s="159"/>
      <c r="BR20" s="166"/>
      <c r="BS20" s="166"/>
      <c r="BT20" s="166"/>
      <c r="BU20" s="159"/>
      <c r="BV20" s="159"/>
      <c r="BW20" s="159"/>
      <c r="BX20" s="166"/>
      <c r="BY20" s="166"/>
      <c r="BZ20" s="166"/>
      <c r="CA20" s="159"/>
      <c r="CB20" s="159"/>
      <c r="CC20" s="159"/>
      <c r="CD20" s="167"/>
      <c r="CE20" s="159"/>
      <c r="CF20" s="159"/>
      <c r="CG20" s="159"/>
      <c r="CH20" s="159"/>
      <c r="CI20" s="159"/>
      <c r="CK20" s="166"/>
      <c r="CL20" s="166"/>
      <c r="CM20" s="166"/>
      <c r="CN20" s="166"/>
      <c r="CO20" s="166"/>
      <c r="CP20" s="166"/>
      <c r="CQ20" s="166"/>
      <c r="CR20" s="166"/>
      <c r="CS20" s="166"/>
      <c r="CT20" s="166"/>
      <c r="CU20" s="166"/>
      <c r="CV20" s="166"/>
      <c r="CW20" s="166"/>
      <c r="CX20" s="166"/>
      <c r="CY20" s="166"/>
      <c r="CZ20" s="166"/>
      <c r="DA20" s="166"/>
      <c r="DB20" s="166"/>
      <c r="DC20" s="166"/>
      <c r="DD20" s="118"/>
      <c r="DE20" s="77"/>
      <c r="DH20" s="166"/>
      <c r="DI20" s="166"/>
      <c r="DJ20" s="166"/>
      <c r="DK20" s="166"/>
      <c r="DL20" s="166"/>
      <c r="DM20" s="166"/>
      <c r="DN20" s="166"/>
      <c r="DO20" s="166"/>
      <c r="DP20" s="166"/>
      <c r="DQ20" s="166"/>
      <c r="DR20" s="166"/>
      <c r="DS20" s="166"/>
      <c r="DT20" s="166"/>
      <c r="DU20" s="166"/>
      <c r="DV20" s="166"/>
      <c r="DW20" s="166"/>
      <c r="DX20" s="166"/>
      <c r="DY20" s="166"/>
      <c r="DZ20" s="166"/>
      <c r="EA20" s="118"/>
      <c r="EB20" s="77"/>
      <c r="EH20" s="166"/>
      <c r="EI20" s="166"/>
      <c r="EJ20" s="159"/>
      <c r="EK20" s="166"/>
      <c r="EL20" s="166"/>
      <c r="EM20" s="159"/>
      <c r="EN20" s="166"/>
      <c r="EO20" s="166"/>
      <c r="EP20" s="159"/>
      <c r="EQ20" s="166"/>
      <c r="ER20" s="166"/>
      <c r="ES20" s="159"/>
      <c r="ET20" s="166"/>
      <c r="EU20" s="166"/>
      <c r="EV20" s="159"/>
      <c r="EZ20" s="166"/>
      <c r="FA20" s="166"/>
      <c r="FB20" s="159"/>
      <c r="FD20" s="180"/>
      <c r="FE20" s="160"/>
    </row>
    <row r="21" spans="1:180" s="63" customFormat="1" ht="12" customHeight="1" x14ac:dyDescent="0.25">
      <c r="A21" s="110" t="s">
        <v>78</v>
      </c>
      <c r="B21" s="168">
        <f>Serviceorderfile_Current!$W165</f>
        <v>77.55</v>
      </c>
      <c r="C21" s="169">
        <f>Serviceorderfile_PREVIOUS!$W165</f>
        <v>57.575000000000003</v>
      </c>
      <c r="D21" s="57">
        <f>IF(C21&gt;0,B21/C21-1,1)</f>
        <v>0.34693877551020402</v>
      </c>
      <c r="E21" s="93">
        <f>'YOY Orders'!$J6</f>
        <v>278.47500000000002</v>
      </c>
      <c r="F21" s="93">
        <f>'YOY Orders'!$B6</f>
        <v>178.6</v>
      </c>
      <c r="G21" s="57">
        <f>IF(F21&gt;0,E21/F21-1,1)</f>
        <v>0.5592105263157896</v>
      </c>
      <c r="H21" s="168">
        <f>Serviceorderfile_Current!$W167</f>
        <v>11.75</v>
      </c>
      <c r="I21" s="169">
        <f>Serviceorderfile_PREVIOUS!$W167</f>
        <v>15.275</v>
      </c>
      <c r="J21" s="57">
        <f>IF(I21&gt;0,H21/I21-1,1)</f>
        <v>-0.23076923076923084</v>
      </c>
      <c r="K21" s="93">
        <f>'YOY Orders'!$K6</f>
        <v>139.82500000000002</v>
      </c>
      <c r="L21" s="93">
        <f>'YOY Orders'!$C6</f>
        <v>15.275</v>
      </c>
      <c r="M21" s="57">
        <f>IF(L21&gt;0,K21/L21-1,1)</f>
        <v>8.1538461538461551</v>
      </c>
      <c r="N21" s="168">
        <f>Serviceorderfile_Current!$W166</f>
        <v>0</v>
      </c>
      <c r="O21" s="169">
        <f>Serviceorderfile_PREVIOUS!$W166</f>
        <v>0</v>
      </c>
      <c r="P21" s="57">
        <f>IF(O21&gt;0,N21/O21-1,1)</f>
        <v>1</v>
      </c>
      <c r="Q21" s="93">
        <f>'YOY Orders'!$O6</f>
        <v>65.8</v>
      </c>
      <c r="R21" s="93">
        <f>'YOY Orders'!$G6</f>
        <v>23.5</v>
      </c>
      <c r="S21" s="57">
        <f>IF(R21&gt;0,Q21/R21-1,1)</f>
        <v>1.7999999999999998</v>
      </c>
      <c r="T21" s="168">
        <f>Serviceorderfile_Current!$W168</f>
        <v>28.200000000000003</v>
      </c>
      <c r="U21" s="169">
        <f>Serviceorderfile_PREVIOUS!$W168</f>
        <v>56.400000000000006</v>
      </c>
      <c r="V21" s="57">
        <f>IF(U21&gt;0,T21/U21-1,1)</f>
        <v>-0.5</v>
      </c>
      <c r="W21" s="93">
        <f>'YOY Orders'!$L6</f>
        <v>17.625</v>
      </c>
      <c r="X21" s="93">
        <f>'YOY Orders'!$D6</f>
        <v>55.225000000000001</v>
      </c>
      <c r="Y21" s="57">
        <f>IF(X21&gt;0,W21/X21-1,1)</f>
        <v>-0.68085106382978722</v>
      </c>
      <c r="Z21" s="168">
        <f>Serviceorderfile_Current!$W169</f>
        <v>1.175</v>
      </c>
      <c r="AA21" s="169">
        <f>Serviceorderfile_PREVIOUS!$W169</f>
        <v>1.175</v>
      </c>
      <c r="AB21" s="57">
        <f>IF(AA21&gt;0,Z21/AA21-1,1)</f>
        <v>0</v>
      </c>
      <c r="AC21" s="93">
        <f>'YOY Orders'!$N6</f>
        <v>5.875</v>
      </c>
      <c r="AD21" s="93">
        <f>'YOY Orders'!$F6</f>
        <v>3.5250000000000004</v>
      </c>
      <c r="AE21" s="57">
        <f>IF(AD21&gt;0,AC21/AD21-1,1)</f>
        <v>0.66666666666666652</v>
      </c>
      <c r="AF21" s="168">
        <f>Serviceorderfile_Current!$W163</f>
        <v>4.7</v>
      </c>
      <c r="AG21" s="169">
        <f>Serviceorderfile_PREVIOUS!$W163</f>
        <v>0</v>
      </c>
      <c r="AH21" s="57">
        <f>IF(AG21&gt;0,AF21/AG21-1,1)</f>
        <v>1</v>
      </c>
      <c r="AI21" s="93">
        <f>'YOY Orders'!$M6</f>
        <v>16.45</v>
      </c>
      <c r="AJ21" s="93">
        <f>'YOY Orders'!$E6</f>
        <v>22.324999999999999</v>
      </c>
      <c r="AK21" s="57">
        <f>IF(AJ21&gt;0,AI21/AJ21-1,1)</f>
        <v>-0.26315789473684215</v>
      </c>
      <c r="AL21" s="116">
        <f t="shared" si="54"/>
        <v>123.375</v>
      </c>
      <c r="AM21" s="56">
        <f t="shared" si="55"/>
        <v>130.42500000000001</v>
      </c>
      <c r="AN21" s="57">
        <f>IF(AM21&gt;0,AL21/AM21-1,1)</f>
        <v>-5.4054054054054168E-2</v>
      </c>
      <c r="AO21" s="116">
        <f t="shared" ref="AO21:AO50" si="165">E21+W21+AC21+AI21+Q21+K21</f>
        <v>524.05000000000007</v>
      </c>
      <c r="AP21" s="56">
        <f t="shared" ref="AP21:AP50" si="166">F21+X21+AD21+AJ21+R21+L21</f>
        <v>298.45</v>
      </c>
      <c r="AQ21" s="57">
        <f>IF(AP21&gt;0,AO21/AP21-1,1)</f>
        <v>0.75590551181102383</v>
      </c>
      <c r="AR21" s="72"/>
      <c r="AS21" s="110" t="s">
        <v>78</v>
      </c>
      <c r="AT21" s="168">
        <f>Serviceorderfile_Current!$I165*Serviceorderfile_Current!$U165</f>
        <v>69.325000000000003</v>
      </c>
      <c r="AU21" s="169">
        <f>Serviceorderfile_PREVIOUS!$I165*Serviceorderfile_PREVIOUS!$U165</f>
        <v>57.575000000000003</v>
      </c>
      <c r="AV21" s="57">
        <f>IF(AU21&gt;0,AT21/AU21-1,1)</f>
        <v>0.20408163265306123</v>
      </c>
      <c r="AW21" s="78">
        <f>AT21/B21</f>
        <v>0.89393939393939403</v>
      </c>
      <c r="AX21" s="75">
        <f>AU21/C21</f>
        <v>1</v>
      </c>
      <c r="AY21" s="119">
        <f>(AW21-AX21)*100</f>
        <v>-10.606060606060597</v>
      </c>
      <c r="AZ21" s="168">
        <f>Serviceorderfile_Current!$I167*Serviceorderfile_Current!$U167</f>
        <v>11.75</v>
      </c>
      <c r="BA21" s="169">
        <f>Serviceorderfile_PREVIOUS!$I167*Serviceorderfile_PREVIOUS!$U167</f>
        <v>15.275</v>
      </c>
      <c r="BB21" s="57">
        <f>IF(BA21&gt;0,AZ21/BA21-1,1)</f>
        <v>-0.23076923076923084</v>
      </c>
      <c r="BC21" s="78">
        <f>AZ21/H21</f>
        <v>1</v>
      </c>
      <c r="BD21" s="75">
        <f>BA21/I21</f>
        <v>1</v>
      </c>
      <c r="BE21" s="119">
        <f>(BC21-BD21)*100</f>
        <v>0</v>
      </c>
      <c r="BF21" s="168">
        <f>Serviceorderfile_Current!$I166*Serviceorderfile_Current!$U166</f>
        <v>0</v>
      </c>
      <c r="BG21" s="169">
        <f>Serviceorderfile_PREVIOUS!$I166*Serviceorderfile_PREVIOUS!$U166</f>
        <v>0</v>
      </c>
      <c r="BH21" s="57">
        <f>IF(BG21&gt;0,BF21/BG21-1,1)</f>
        <v>1</v>
      </c>
      <c r="BI21" s="78" t="e">
        <f>BF21/N21</f>
        <v>#DIV/0!</v>
      </c>
      <c r="BJ21" s="75" t="e">
        <f>BG21/O21</f>
        <v>#DIV/0!</v>
      </c>
      <c r="BK21" s="119" t="e">
        <f>(BI21-BJ21)*100</f>
        <v>#DIV/0!</v>
      </c>
      <c r="BL21" s="168">
        <f>Serviceorderfile_Current!$I168*Serviceorderfile_Current!$U168</f>
        <v>9.4</v>
      </c>
      <c r="BM21" s="169">
        <f>Serviceorderfile_PREVIOUS!$I168*Serviceorderfile_PREVIOUS!$U168</f>
        <v>15.275</v>
      </c>
      <c r="BN21" s="57">
        <f>IF(BM21&gt;0,BL21/BM21-1,1)</f>
        <v>-0.38461538461538458</v>
      </c>
      <c r="BO21" s="78">
        <f>BL21/T21</f>
        <v>0.33333333333333331</v>
      </c>
      <c r="BP21" s="75">
        <f>BM21/U21</f>
        <v>0.27083333333333331</v>
      </c>
      <c r="BQ21" s="119">
        <f>(BO21-BP21)*100</f>
        <v>6.25</v>
      </c>
      <c r="BR21" s="168">
        <f>Serviceorderfile_Current!$I169*Serviceorderfile_Current!$U169</f>
        <v>1.175</v>
      </c>
      <c r="BS21" s="169">
        <f>Serviceorderfile_PREVIOUS!$I169*Serviceorderfile_PREVIOUS!$U169</f>
        <v>1.175</v>
      </c>
      <c r="BT21" s="57">
        <f>IF(BS21&gt;0,BR21/BS21-1,1)</f>
        <v>0</v>
      </c>
      <c r="BU21" s="78">
        <f>BR21/Z21</f>
        <v>1</v>
      </c>
      <c r="BV21" s="75">
        <f>BS21/AA21</f>
        <v>1</v>
      </c>
      <c r="BW21" s="119">
        <f>(BU21-BV21)*100</f>
        <v>0</v>
      </c>
      <c r="BX21" s="168">
        <f>Serviceorderfile_Current!$I163*Serviceorderfile_Current!$U165</f>
        <v>4.7</v>
      </c>
      <c r="BY21" s="169">
        <f>Serviceorderfile_PREVIOUS!$I163*Serviceorderfile_PREVIOUS!$U165</f>
        <v>0</v>
      </c>
      <c r="BZ21" s="57">
        <f>IF(BY21&gt;0,BX21/BY21-1,1)</f>
        <v>1</v>
      </c>
      <c r="CA21" s="78">
        <f>BX21/AF21</f>
        <v>1</v>
      </c>
      <c r="CB21" s="75" t="e">
        <f>BY21/AG21</f>
        <v>#DIV/0!</v>
      </c>
      <c r="CC21" s="119" t="e">
        <f>(CA21-CB21)*100</f>
        <v>#DIV/0!</v>
      </c>
      <c r="CD21" s="118">
        <f>AT21+BL21+BR21+BX21+BF21+AZ21</f>
        <v>96.350000000000009</v>
      </c>
      <c r="CE21" s="77">
        <f>AU21+BM21+BS21+BY21+BG21+BA21</f>
        <v>89.300000000000011</v>
      </c>
      <c r="CF21" s="57">
        <f>IF(CE21&gt;0,CD21/CE21-1,1)</f>
        <v>7.8947368421052655E-2</v>
      </c>
      <c r="CG21" s="78">
        <f>CD21/AL21</f>
        <v>0.78095238095238106</v>
      </c>
      <c r="CH21" s="75">
        <f>CE21/AM21</f>
        <v>0.68468468468468469</v>
      </c>
      <c r="CI21" s="119">
        <f>(CG21-CH21)*100</f>
        <v>9.6267696267696383</v>
      </c>
      <c r="CJ21" s="85"/>
      <c r="CK21" s="110" t="s">
        <v>78</v>
      </c>
      <c r="CL21" s="168">
        <f>Serviceorderfile_Current!$J165*Serviceorderfile_Current!$U165</f>
        <v>5.875</v>
      </c>
      <c r="CM21" s="169">
        <f>Serviceorderfile_PREVIOUS!$J165*Serviceorderfile_PREVIOUS!$U165</f>
        <v>0</v>
      </c>
      <c r="CN21" s="57">
        <f>IF(CM21&gt;0,CL21/CM21-1,1)</f>
        <v>1</v>
      </c>
      <c r="CO21" s="168">
        <f>Serviceorderfile_Current!$J167*Serviceorderfile_Current!$U167</f>
        <v>0</v>
      </c>
      <c r="CP21" s="169">
        <f>Serviceorderfile_PREVIOUS!$J167*Serviceorderfile_PREVIOUS!$U167</f>
        <v>0</v>
      </c>
      <c r="CQ21" s="57">
        <f>IF(CP21&gt;0,CO21/CP21-1,1)</f>
        <v>1</v>
      </c>
      <c r="CR21" s="168">
        <f>Serviceorderfile_Current!$J166*Serviceorderfile_Current!$U166</f>
        <v>0</v>
      </c>
      <c r="CS21" s="169">
        <f>Serviceorderfile_PREVIOUS!$J166*Serviceorderfile_PREVIOUS!$U166</f>
        <v>0</v>
      </c>
      <c r="CT21" s="57">
        <f>IF(CS21&gt;0,CR21/CS21-1,1)</f>
        <v>1</v>
      </c>
      <c r="CU21" s="168">
        <f>Serviceorderfile_Current!$J168*Serviceorderfile_Current!$U168</f>
        <v>7.0500000000000007</v>
      </c>
      <c r="CV21" s="169">
        <f>Serviceorderfile_PREVIOUS!$J168*Serviceorderfile_PREVIOUS!$U168</f>
        <v>2.35</v>
      </c>
      <c r="CW21" s="57">
        <f>IF(CV21&gt;0,CU21/CV21-1,1)</f>
        <v>2</v>
      </c>
      <c r="CX21" s="168">
        <f>Serviceorderfile_Current!$J169*Serviceorderfile_Current!$U169</f>
        <v>0</v>
      </c>
      <c r="CY21" s="169">
        <f>Serviceorderfile_PREVIOUS!$J169*Serviceorderfile_PREVIOUS!$U169</f>
        <v>0</v>
      </c>
      <c r="CZ21" s="57">
        <f>IF(CY21&gt;0,CX21/CY21-1,1)</f>
        <v>1</v>
      </c>
      <c r="DA21" s="168">
        <f>Serviceorderfile_Current!$J163*Serviceorderfile_Current!$U165</f>
        <v>0</v>
      </c>
      <c r="DB21" s="169">
        <f>Serviceorderfile_PREVIOUS!$J163*Serviceorderfile_PREVIOUS!$U165</f>
        <v>0</v>
      </c>
      <c r="DC21" s="57">
        <f>IF(DB21&gt;0,DA21/DB21-1,1)</f>
        <v>1</v>
      </c>
      <c r="DD21" s="132">
        <f t="shared" ref="DD21:DD56" si="167">CL21+CO21+CR21+CU21+CX21+DA21</f>
        <v>12.925000000000001</v>
      </c>
      <c r="DE21" s="73">
        <f t="shared" ref="DE21:DE56" si="168">CM21+CP21+CS21+CV21+CY21+DB21</f>
        <v>2.35</v>
      </c>
      <c r="DF21" s="59">
        <f>IF(DE21&gt;0,DD21/DE21-1,1)</f>
        <v>4.5</v>
      </c>
      <c r="DG21" s="86"/>
      <c r="DH21" s="110" t="s">
        <v>78</v>
      </c>
      <c r="DI21" s="168">
        <f>Serviceorderfile_Current!$K165*Serviceorderfile_Current!$U165</f>
        <v>1.175</v>
      </c>
      <c r="DJ21" s="169">
        <f>Serviceorderfile_PREVIOUS!$K165*Serviceorderfile_PREVIOUS!$U165</f>
        <v>0</v>
      </c>
      <c r="DK21" s="57">
        <f>IF(DJ21&gt;0,DI21/DJ21-1,1)</f>
        <v>1</v>
      </c>
      <c r="DL21" s="168">
        <f>Serviceorderfile_Current!$K167*Serviceorderfile_Current!$U167</f>
        <v>0</v>
      </c>
      <c r="DM21" s="169">
        <f>Serviceorderfile_PREVIOUS!$K167*Serviceorderfile_PREVIOUS!$U167</f>
        <v>0</v>
      </c>
      <c r="DN21" s="57">
        <f>IF(DM21&gt;0,DL21/DM21-1,1)</f>
        <v>1</v>
      </c>
      <c r="DO21" s="168">
        <f>Serviceorderfile_Current!$K166*Serviceorderfile_Current!$U166</f>
        <v>0</v>
      </c>
      <c r="DP21" s="169">
        <f>Serviceorderfile_PREVIOUS!$K166*Serviceorderfile_PREVIOUS!$U166</f>
        <v>0</v>
      </c>
      <c r="DQ21" s="57">
        <f>IF(DP21&gt;0,DO21/DP21-1,1)</f>
        <v>1</v>
      </c>
      <c r="DR21" s="168">
        <f>Serviceorderfile_Current!$K168*Serviceorderfile_Current!$U168</f>
        <v>0</v>
      </c>
      <c r="DS21" s="169">
        <f>Serviceorderfile_PREVIOUS!$K168*Serviceorderfile_PREVIOUS!$U168</f>
        <v>2.35</v>
      </c>
      <c r="DT21" s="57">
        <f>IF(DS21&gt;0,DR21/DS21-1,1)</f>
        <v>-1</v>
      </c>
      <c r="DU21" s="168">
        <f>Serviceorderfile_Current!$K169*Serviceorderfile_Current!$U169</f>
        <v>0</v>
      </c>
      <c r="DV21" s="169">
        <f>Serviceorderfile_PREVIOUS!$K169*Serviceorderfile_PREVIOUS!$U169</f>
        <v>0</v>
      </c>
      <c r="DW21" s="57">
        <f>IF(DV21&gt;0,DU21/DV21-1,1)</f>
        <v>1</v>
      </c>
      <c r="DX21" s="168">
        <f>Serviceorderfile_Current!$K163*Serviceorderfile_Current!$U165</f>
        <v>0</v>
      </c>
      <c r="DY21" s="169">
        <f>Serviceorderfile_PREVIOUS!$K163*Serviceorderfile_PREVIOUS!$U165</f>
        <v>0</v>
      </c>
      <c r="DZ21" s="57">
        <f>IF(DY21&gt;0,DX21/DY21-1,1)</f>
        <v>1</v>
      </c>
      <c r="EA21" s="132">
        <f t="shared" ref="EA21:EA50" si="169">DI21+DL21+DO21+DR21+DU21+DX21</f>
        <v>1.175</v>
      </c>
      <c r="EB21" s="73">
        <f t="shared" ref="EB21:EB50" si="170">DJ21+DM21+DP21+DS21+DV21+DY21</f>
        <v>2.35</v>
      </c>
      <c r="EC21" s="59">
        <f>IF(EB21&gt;0,EA21/EB21-1,1)</f>
        <v>-0.5</v>
      </c>
      <c r="ED21" s="94"/>
      <c r="EE21" s="123" t="s">
        <v>78</v>
      </c>
      <c r="EF21" s="126">
        <f>Serviceorderfile_Current!$V162</f>
        <v>0.98192771084337349</v>
      </c>
      <c r="EG21" s="59">
        <f>Aged!E11</f>
        <v>0.56999999999999995</v>
      </c>
      <c r="EH21" s="99">
        <f>Serviceorderfile_Current!$U157*Serviceorderfile_Current!$H157</f>
        <v>129.25</v>
      </c>
      <c r="EI21" s="93">
        <f>Serviceorderfile_PREVIOUS!$U157*Serviceorderfile_PREVIOUS!$H157</f>
        <v>185.65</v>
      </c>
      <c r="EJ21" s="57">
        <f>IF(EI21&gt;0,EH21/EI21-1,1)</f>
        <v>-0.30379746835443044</v>
      </c>
      <c r="EK21" s="99">
        <f>Serviceorderfile_Current!$U159*Serviceorderfile_Current!$H159</f>
        <v>304.32499999999999</v>
      </c>
      <c r="EL21" s="93">
        <f>Serviceorderfile_PREVIOUS!$U159*Serviceorderfile_PREVIOUS!$H159</f>
        <v>210.32500000000002</v>
      </c>
      <c r="EM21" s="57">
        <f>IF(EL21&gt;0,EK21/EL21-1,1)</f>
        <v>0.44692737430167573</v>
      </c>
      <c r="EN21" s="99">
        <f>Serviceorderfile_Current!$U158*Serviceorderfile_Current!$H158</f>
        <v>125.72500000000001</v>
      </c>
      <c r="EO21" s="93">
        <f>Serviceorderfile_PREVIOUS!$U158*Serviceorderfile_PREVIOUS!$H158</f>
        <v>89.3</v>
      </c>
      <c r="EP21" s="57">
        <f>IF(EO21&gt;0,EN21/EO21-1,1)</f>
        <v>0.40789473684210531</v>
      </c>
      <c r="EQ21" s="99">
        <f>Serviceorderfile_Current!$U160*Serviceorderfile_Current!$H160</f>
        <v>25.85</v>
      </c>
      <c r="ER21" s="93">
        <f>Serviceorderfile_PREVIOUS!$U160*Serviceorderfile_PREVIOUS!$H160</f>
        <v>29.375</v>
      </c>
      <c r="ES21" s="57">
        <f>IF(ER21&gt;0,EQ21/ER21-1,1)</f>
        <v>-0.12</v>
      </c>
      <c r="ET21" s="168">
        <f>Serviceorderfile_Current!$U161*Serviceorderfile_Current!$H161</f>
        <v>3.5250000000000004</v>
      </c>
      <c r="EU21" s="169">
        <f>Serviceorderfile_PREVIOUS!$U161*Serviceorderfile_PREVIOUS!$H161</f>
        <v>1.175</v>
      </c>
      <c r="EV21" s="57">
        <f>IF(EU21&gt;0,ET21/EU21-1,1)</f>
        <v>2</v>
      </c>
      <c r="EW21" s="84"/>
      <c r="EX21" s="126">
        <f>Serviceorderfile_Current!$V155</f>
        <v>0.95959595959595956</v>
      </c>
      <c r="EY21" s="133">
        <f>Aged!E64</f>
        <v>0.04</v>
      </c>
      <c r="EZ21" s="99">
        <f>Serviceorderfile_Current!$U155*Serviceorderfile_Current!$H155</f>
        <v>116.325</v>
      </c>
      <c r="FA21" s="93">
        <f>Serviceorderfile_PREVIOUS!$U155*Serviceorderfile_PREVIOUS!$H155</f>
        <v>146.875</v>
      </c>
      <c r="FB21" s="57">
        <f>IF(FA21&gt;0,EZ21/FA21-1,1)</f>
        <v>-0.20799999999999996</v>
      </c>
      <c r="FC21" s="84"/>
      <c r="FD21" s="132">
        <f t="shared" si="66"/>
        <v>705</v>
      </c>
      <c r="FE21" s="77">
        <f t="shared" si="67"/>
        <v>662.7</v>
      </c>
      <c r="FF21" s="59">
        <f>IF(FE21&gt;0,FD21/FE21-1,1)</f>
        <v>6.3829787234042534E-2</v>
      </c>
      <c r="FG21" s="94"/>
      <c r="FH21" s="84"/>
      <c r="FI21" s="84"/>
      <c r="FJ21" s="84"/>
      <c r="FK21" s="84"/>
      <c r="FL21" s="84"/>
      <c r="FM21" s="84"/>
      <c r="FN21" s="84"/>
      <c r="FO21" s="84"/>
      <c r="FP21" s="84"/>
      <c r="FQ21" s="84"/>
      <c r="FR21" s="84"/>
      <c r="FS21" s="84"/>
      <c r="FT21" s="84"/>
      <c r="FU21" s="84"/>
      <c r="FV21" s="84"/>
      <c r="FW21" s="84"/>
      <c r="FX21" s="84"/>
    </row>
    <row r="22" spans="1:180" s="63" customFormat="1" ht="12" customHeight="1" x14ac:dyDescent="0.25">
      <c r="A22" s="110" t="s">
        <v>14</v>
      </c>
      <c r="B22" s="99">
        <f>Serviceorderfile_Current!$W182</f>
        <v>410.68799999999999</v>
      </c>
      <c r="C22" s="93">
        <f>Serviceorderfile_PREVIOUS!$W182</f>
        <v>163.00800000000001</v>
      </c>
      <c r="D22" s="57">
        <f>IF(C22&gt;0,B22/C22-1,1)</f>
        <v>1.5194346289752647</v>
      </c>
      <c r="E22" s="93">
        <f>'YOY Orders'!$J7</f>
        <v>818.06399999999996</v>
      </c>
      <c r="F22" s="93">
        <f>'YOY Orders'!$B7</f>
        <v>689.80799999999999</v>
      </c>
      <c r="G22" s="57">
        <f>IF(F22&gt;0,E22/F22-1,1)</f>
        <v>0.18592999791246245</v>
      </c>
      <c r="H22" s="99">
        <f>Serviceorderfile_Current!$W184</f>
        <v>1005.84</v>
      </c>
      <c r="I22" s="93">
        <f>Serviceorderfile_PREVIOUS!$W184</f>
        <v>283.96800000000002</v>
      </c>
      <c r="J22" s="57">
        <f>IF(I22&gt;0,H22/I22-1,1)</f>
        <v>2.5420892494929004</v>
      </c>
      <c r="K22" s="93">
        <f>'YOY Orders'!$K7</f>
        <v>1909.5360000000001</v>
      </c>
      <c r="L22" s="93">
        <f>'YOY Orders'!$C7</f>
        <v>735.6</v>
      </c>
      <c r="M22" s="57">
        <f>IF(L22&gt;0,K22/L22-1,1)</f>
        <v>1.5958890701468191</v>
      </c>
      <c r="N22" s="99">
        <f>Serviceorderfile_Current!$W183</f>
        <v>1825.44</v>
      </c>
      <c r="O22" s="93">
        <f>Serviceorderfile_PREVIOUS!$W183</f>
        <v>765.6</v>
      </c>
      <c r="P22" s="57">
        <f>IF(O22&gt;0,N22/O22-1,1)</f>
        <v>1.3843260188087774</v>
      </c>
      <c r="Q22" s="93">
        <f>'YOY Orders'!$O7</f>
        <v>2619.7440000000001</v>
      </c>
      <c r="R22" s="93">
        <f>'YOY Orders'!$G7</f>
        <v>1573.68</v>
      </c>
      <c r="S22" s="57">
        <f>IF(R22&gt;0,Q22/R22-1,1)</f>
        <v>0.66472472167149621</v>
      </c>
      <c r="T22" s="99">
        <f>Serviceorderfile_Current!$W185</f>
        <v>1759.2</v>
      </c>
      <c r="U22" s="93">
        <f>Serviceorderfile_PREVIOUS!$W185</f>
        <v>1317.4080000000001</v>
      </c>
      <c r="V22" s="57">
        <f>IF(U22&gt;0,T22/U22-1,1)</f>
        <v>0.33534941339357283</v>
      </c>
      <c r="W22" s="93">
        <f>'YOY Orders'!$L7</f>
        <v>1619.76</v>
      </c>
      <c r="X22" s="93">
        <f>'YOY Orders'!$D7</f>
        <v>1370.9280000000001</v>
      </c>
      <c r="Y22" s="57">
        <f>IF(X22&gt;0,W22/X22-1,1)</f>
        <v>0.18150624978116991</v>
      </c>
      <c r="Z22" s="99">
        <f>Serviceorderfile_Current!$W186</f>
        <v>66.623999999999995</v>
      </c>
      <c r="AA22" s="93">
        <f>Serviceorderfile_PREVIOUS!$W186</f>
        <v>29.04</v>
      </c>
      <c r="AB22" s="57">
        <f>IF(AA22&gt;0,Z22/AA22-1,1)</f>
        <v>1.2942148760330578</v>
      </c>
      <c r="AC22" s="93">
        <f>'YOY Orders'!$N7</f>
        <v>61.872</v>
      </c>
      <c r="AD22" s="93">
        <f>'YOY Orders'!$F7</f>
        <v>59.28</v>
      </c>
      <c r="AE22" s="57">
        <f>IF(AD22&gt;0,AC22/AD22-1,1)</f>
        <v>4.3724696356275183E-2</v>
      </c>
      <c r="AF22" s="99">
        <f>Serviceorderfile_Current!$W180</f>
        <v>0</v>
      </c>
      <c r="AG22" s="93">
        <f>Serviceorderfile_PREVIOUS!$W180</f>
        <v>0</v>
      </c>
      <c r="AH22" s="57">
        <f>IF(AG22&gt;0,AF22/AG22-1,1)</f>
        <v>1</v>
      </c>
      <c r="AI22" s="93">
        <f>'YOY Orders'!$M7</f>
        <v>0</v>
      </c>
      <c r="AJ22" s="93">
        <f>'YOY Orders'!$E7</f>
        <v>0</v>
      </c>
      <c r="AK22" s="57">
        <f>IF(AJ22&gt;0,AI22/AJ22-1,1)</f>
        <v>1</v>
      </c>
      <c r="AL22" s="116">
        <f t="shared" si="54"/>
        <v>5067.7919999999995</v>
      </c>
      <c r="AM22" s="56">
        <f t="shared" si="55"/>
        <v>2559.0239999999999</v>
      </c>
      <c r="AN22" s="57">
        <f>IF(AM22&gt;0,AL22/AM22-1,1)</f>
        <v>0.98036126273141622</v>
      </c>
      <c r="AO22" s="116">
        <f t="shared" si="165"/>
        <v>7028.9760000000006</v>
      </c>
      <c r="AP22" s="56">
        <f t="shared" si="166"/>
        <v>4429.2960000000003</v>
      </c>
      <c r="AQ22" s="57">
        <f>IF(AP22&gt;0,AO22/AP22-1,1)</f>
        <v>0.58692848705527934</v>
      </c>
      <c r="AR22" s="72"/>
      <c r="AS22" s="110" t="s">
        <v>14</v>
      </c>
      <c r="AT22" s="99">
        <f>Serviceorderfile_Current!$I182*Serviceorderfile_Current!$U182</f>
        <v>85.536000000000001</v>
      </c>
      <c r="AU22" s="93">
        <f>Serviceorderfile_PREVIOUS!$I182*Serviceorderfile_PREVIOUS!$U182</f>
        <v>137.66400000000002</v>
      </c>
      <c r="AV22" s="57">
        <f>IF(AU22&gt;0,AT22/AU22-1,1)</f>
        <v>-0.37866108786610886</v>
      </c>
      <c r="AW22" s="78">
        <f>AT22/B22</f>
        <v>0.20827489481065919</v>
      </c>
      <c r="AX22" s="75">
        <f>AU22/C22</f>
        <v>0.84452296819787986</v>
      </c>
      <c r="AY22" s="119">
        <f>(AW22-AX22)*100</f>
        <v>-63.624807338722064</v>
      </c>
      <c r="AZ22" s="99">
        <f>Serviceorderfile_Current!$I184*Serviceorderfile_Current!$U184</f>
        <v>342.76800000000003</v>
      </c>
      <c r="BA22" s="93">
        <f>Serviceorderfile_PREVIOUS!$I184*Serviceorderfile_PREVIOUS!$U184</f>
        <v>156.91200000000001</v>
      </c>
      <c r="BB22" s="57">
        <f>IF(BA22&gt;0,AZ22/BA22-1,1)</f>
        <v>1.1844600795350262</v>
      </c>
      <c r="BC22" s="78">
        <f>AZ22/H22</f>
        <v>0.34077785731329041</v>
      </c>
      <c r="BD22" s="75">
        <f>BA22/I22</f>
        <v>0.55256930358350231</v>
      </c>
      <c r="BE22" s="119">
        <f>(BC22-BD22)*100</f>
        <v>-21.179144627021191</v>
      </c>
      <c r="BF22" s="99">
        <f>Serviceorderfile_Current!$I183*Serviceorderfile_Current!$U183</f>
        <v>233.85599999999999</v>
      </c>
      <c r="BG22" s="93">
        <f>Serviceorderfile_PREVIOUS!$I183*Serviceorderfile_PREVIOUS!$U183</f>
        <v>174.43200000000002</v>
      </c>
      <c r="BH22" s="57">
        <f>IF(BG22&gt;0,BF22/BG22-1,1)</f>
        <v>0.34067143643368181</v>
      </c>
      <c r="BI22" s="78">
        <f>BF22/N22</f>
        <v>0.12810938732579541</v>
      </c>
      <c r="BJ22" s="75">
        <f>BG22/O22</f>
        <v>0.2278369905956113</v>
      </c>
      <c r="BK22" s="119">
        <f>(BI22-BJ22)*100</f>
        <v>-9.9727603269815894</v>
      </c>
      <c r="BL22" s="99">
        <f>Serviceorderfile_Current!$I185*Serviceorderfile_Current!$U185</f>
        <v>399.6</v>
      </c>
      <c r="BM22" s="93">
        <f>Serviceorderfile_PREVIOUS!$I185*Serviceorderfile_PREVIOUS!$U185</f>
        <v>214.99200000000002</v>
      </c>
      <c r="BN22" s="57">
        <f>IF(BM22&gt;0,BL22/BM22-1,1)</f>
        <v>0.85867381111855323</v>
      </c>
      <c r="BO22" s="78">
        <f>BL22/T22</f>
        <v>0.22714870395634379</v>
      </c>
      <c r="BP22" s="75">
        <f>BM22/U22</f>
        <v>0.16319317933396488</v>
      </c>
      <c r="BQ22" s="119">
        <f>(BO22-BP22)*100</f>
        <v>6.395552462237891</v>
      </c>
      <c r="BR22" s="99">
        <f>Serviceorderfile_Current!$I186*Serviceorderfile_Current!$U186</f>
        <v>17.327999999999999</v>
      </c>
      <c r="BS22" s="93">
        <f>Serviceorderfile_PREVIOUS!$I186*Serviceorderfile_PREVIOUS!$U186</f>
        <v>20.88</v>
      </c>
      <c r="BT22" s="57">
        <f>IF(BS22&gt;0,BR22/BS22-1,1)</f>
        <v>-0.1701149425287356</v>
      </c>
      <c r="BU22" s="78">
        <f>BR22/Z22</f>
        <v>0.26008645533141211</v>
      </c>
      <c r="BV22" s="75">
        <f>BS22/AA22</f>
        <v>0.71900826446280985</v>
      </c>
      <c r="BW22" s="119">
        <f>(BU22-BV22)*100</f>
        <v>-45.892180913139775</v>
      </c>
      <c r="BX22" s="99">
        <f>Serviceorderfile_Current!$I180*Serviceorderfile_Current!$U182</f>
        <v>0</v>
      </c>
      <c r="BY22" s="93">
        <f>Serviceorderfile_PREVIOUS!$I180*Serviceorderfile_PREVIOUS!$U182</f>
        <v>0</v>
      </c>
      <c r="BZ22" s="57">
        <f>IF(BY22&gt;0,BX22/BY22-1,1)</f>
        <v>1</v>
      </c>
      <c r="CA22" s="78" t="e">
        <f>BX22/AF22</f>
        <v>#DIV/0!</v>
      </c>
      <c r="CB22" s="75" t="e">
        <f>BY22/AG22</f>
        <v>#DIV/0!</v>
      </c>
      <c r="CC22" s="119" t="e">
        <f>(CA22-CB22)*100</f>
        <v>#DIV/0!</v>
      </c>
      <c r="CD22" s="118">
        <f>AT22+BL22+BR22+BX22+BF22+AZ22</f>
        <v>1079.088</v>
      </c>
      <c r="CE22" s="77">
        <f>AU22+BM22+BS22+BY22+BG22+BA22</f>
        <v>704.88000000000011</v>
      </c>
      <c r="CF22" s="57">
        <f>IF(CE22&gt;0,CD22/CE22-1,1)</f>
        <v>0.5308818522301666</v>
      </c>
      <c r="CG22" s="78">
        <f>CD22/AL22</f>
        <v>0.21293060172951062</v>
      </c>
      <c r="CH22" s="75">
        <f>CE22/AM22</f>
        <v>0.27544876484159592</v>
      </c>
      <c r="CI22" s="119">
        <f>(CG22-CH22)*100</f>
        <v>-6.2518163112085299</v>
      </c>
      <c r="CJ22" s="85"/>
      <c r="CK22" s="110" t="s">
        <v>14</v>
      </c>
      <c r="CL22" s="99">
        <f>Serviceorderfile_Current!$J182*Serviceorderfile_Current!$U182</f>
        <v>221.328</v>
      </c>
      <c r="CM22" s="93">
        <f>Serviceorderfile_PREVIOUS!$J182*Serviceorderfile_PREVIOUS!$U182</f>
        <v>21.408000000000001</v>
      </c>
      <c r="CN22" s="57">
        <f>IF(CM22&gt;0,CL22/CM22-1,1)</f>
        <v>9.3385650224215233</v>
      </c>
      <c r="CO22" s="99">
        <f>Serviceorderfile_Current!$J184*Serviceorderfile_Current!$U184</f>
        <v>252.28800000000001</v>
      </c>
      <c r="CP22" s="93">
        <f>Serviceorderfile_PREVIOUS!$J184*Serviceorderfile_PREVIOUS!$U184</f>
        <v>32.832000000000001</v>
      </c>
      <c r="CQ22" s="57">
        <f>IF(CP22&gt;0,CO22/CP22-1,1)</f>
        <v>6.6842105263157894</v>
      </c>
      <c r="CR22" s="99">
        <f>Serviceorderfile_Current!$J183*Serviceorderfile_Current!$U183</f>
        <v>551.61599999999999</v>
      </c>
      <c r="CS22" s="93">
        <f>Serviceorderfile_PREVIOUS!$J183*Serviceorderfile_PREVIOUS!$U183</f>
        <v>91.536000000000001</v>
      </c>
      <c r="CT22" s="57">
        <f>IF(CS22&gt;0,CR22/CS22-1,1)</f>
        <v>5.0262191924488722</v>
      </c>
      <c r="CU22" s="99">
        <f>Serviceorderfile_Current!$J185*Serviceorderfile_Current!$U185</f>
        <v>219.93600000000001</v>
      </c>
      <c r="CV22" s="93">
        <f>Serviceorderfile_PREVIOUS!$J185*Serviceorderfile_PREVIOUS!$U185</f>
        <v>151.488</v>
      </c>
      <c r="CW22" s="57">
        <f>IF(CV22&gt;0,CU22/CV22-1,1)</f>
        <v>0.45183776932826358</v>
      </c>
      <c r="CX22" s="99">
        <f>Serviceorderfile_Current!$J186*Serviceorderfile_Current!$U186</f>
        <v>22.943999999999999</v>
      </c>
      <c r="CY22" s="93">
        <f>Serviceorderfile_PREVIOUS!$J186*Serviceorderfile_PREVIOUS!$U186</f>
        <v>6.5280000000000005</v>
      </c>
      <c r="CZ22" s="57">
        <f>IF(CY22&gt;0,CX22/CY22-1,1)</f>
        <v>2.5147058823529407</v>
      </c>
      <c r="DA22" s="99">
        <f>Serviceorderfile_Current!$J180*Serviceorderfile_Current!$U182</f>
        <v>0</v>
      </c>
      <c r="DB22" s="93">
        <f>Serviceorderfile_PREVIOUS!$J180*Serviceorderfile_PREVIOUS!$U182</f>
        <v>0</v>
      </c>
      <c r="DC22" s="57">
        <f>IF(DB22&gt;0,DA22/DB22-1,1)</f>
        <v>1</v>
      </c>
      <c r="DD22" s="118">
        <f t="shared" si="167"/>
        <v>1268.1119999999999</v>
      </c>
      <c r="DE22" s="77">
        <f t="shared" si="168"/>
        <v>303.79200000000003</v>
      </c>
      <c r="DF22" s="57">
        <f>IF(DE22&gt;0,DD22/DE22-1,1)</f>
        <v>3.174277136988465</v>
      </c>
      <c r="DG22" s="86"/>
      <c r="DH22" s="110" t="s">
        <v>14</v>
      </c>
      <c r="DI22" s="99">
        <f>Serviceorderfile_Current!$K182*Serviceorderfile_Current!$U182</f>
        <v>70.224000000000004</v>
      </c>
      <c r="DJ22" s="93">
        <f>Serviceorderfile_PREVIOUS!$K182*Serviceorderfile_PREVIOUS!$U182</f>
        <v>0.38400000000000001</v>
      </c>
      <c r="DK22" s="57">
        <f>IF(DJ22&gt;0,DI22/DJ22-1,1)</f>
        <v>181.875</v>
      </c>
      <c r="DL22" s="99">
        <f>Serviceorderfile_Current!$K184*Serviceorderfile_Current!$U184</f>
        <v>151.15200000000002</v>
      </c>
      <c r="DM22" s="93">
        <f>Serviceorderfile_PREVIOUS!$K184*Serviceorderfile_PREVIOUS!$U184</f>
        <v>17.04</v>
      </c>
      <c r="DN22" s="57">
        <f>IF(DM22&gt;0,DL22/DM22-1,1)</f>
        <v>7.8704225352112687</v>
      </c>
      <c r="DO22" s="99">
        <f>Serviceorderfile_Current!$K183*Serviceorderfile_Current!$U183</f>
        <v>155.61600000000001</v>
      </c>
      <c r="DP22" s="93">
        <f>Serviceorderfile_PREVIOUS!$K183*Serviceorderfile_PREVIOUS!$U183</f>
        <v>103.248</v>
      </c>
      <c r="DQ22" s="57">
        <f>IF(DP22&gt;0,DO22/DP22-1,1)</f>
        <v>0.50720595072059504</v>
      </c>
      <c r="DR22" s="99">
        <f>Serviceorderfile_Current!$K185*Serviceorderfile_Current!$U185</f>
        <v>164.44800000000001</v>
      </c>
      <c r="DS22" s="93">
        <f>Serviceorderfile_PREVIOUS!$K185*Serviceorderfile_PREVIOUS!$U185</f>
        <v>142.99199999999999</v>
      </c>
      <c r="DT22" s="57">
        <f>IF(DS22&gt;0,DR22/DS22-1,1)</f>
        <v>0.15005035246727094</v>
      </c>
      <c r="DU22" s="99">
        <f>Serviceorderfile_Current!$K186*Serviceorderfile_Current!$U186</f>
        <v>8.7840000000000007</v>
      </c>
      <c r="DV22" s="93">
        <f>Serviceorderfile_PREVIOUS!$K186*Serviceorderfile_PREVIOUS!$U186</f>
        <v>0.48</v>
      </c>
      <c r="DW22" s="57">
        <f>IF(DV22&gt;0,DU22/DV22-1,1)</f>
        <v>17.3</v>
      </c>
      <c r="DX22" s="99">
        <f>Serviceorderfile_Current!$K180*Serviceorderfile_Current!$U182</f>
        <v>0</v>
      </c>
      <c r="DY22" s="93">
        <f>Serviceorderfile_PREVIOUS!$K180*Serviceorderfile_PREVIOUS!$U182</f>
        <v>0</v>
      </c>
      <c r="DZ22" s="57">
        <f>IF(DY22&gt;0,DX22/DY22-1,1)</f>
        <v>1</v>
      </c>
      <c r="EA22" s="118">
        <f t="shared" si="169"/>
        <v>550.22400000000005</v>
      </c>
      <c r="EB22" s="77">
        <f t="shared" si="170"/>
        <v>264.14400000000001</v>
      </c>
      <c r="EC22" s="57">
        <f>IF(EB22&gt;0,EA22/EB22-1,1)</f>
        <v>1.083045611484645</v>
      </c>
      <c r="ED22" s="94"/>
      <c r="EE22" s="124" t="s">
        <v>14</v>
      </c>
      <c r="EF22" s="76">
        <f>Serviceorderfile_Current!$V179</f>
        <v>0.96613237063778579</v>
      </c>
      <c r="EG22" s="57">
        <f>Aged!E12</f>
        <v>0.89</v>
      </c>
      <c r="EH22" s="99">
        <f>Serviceorderfile_Current!$U174*Serviceorderfile_Current!$H174</f>
        <v>936.43200000000002</v>
      </c>
      <c r="EI22" s="93">
        <f>Serviceorderfile_PREVIOUS!$U191*Serviceorderfile_PREVIOUS!$H191</f>
        <v>1910.8788588759999</v>
      </c>
      <c r="EJ22" s="57">
        <f>IF(EI22&gt;0,EH22/EI22-1,1)</f>
        <v>-0.50994695678886748</v>
      </c>
      <c r="EK22" s="99">
        <f>Serviceorderfile_Current!$U176*Serviceorderfile_Current!$H176</f>
        <v>6083.3280000000004</v>
      </c>
      <c r="EL22" s="93">
        <f>Serviceorderfile_PREVIOUS!$U193*Serviceorderfile_PREVIOUS!$H193</f>
        <v>47.554402310999997</v>
      </c>
      <c r="EM22" s="57">
        <f>IF(EL22&gt;0,EK22/EL22-1,1)</f>
        <v>126.9235508043141</v>
      </c>
      <c r="EN22" s="99">
        <f>Serviceorderfile_Current!$U175*Serviceorderfile_Current!$H175</f>
        <v>2548.1280000000002</v>
      </c>
      <c r="EO22" s="93">
        <f>Serviceorderfile_PREVIOUS!$U175*Serviceorderfile_PREVIOUS!$H175</f>
        <v>641.85599999999999</v>
      </c>
      <c r="EP22" s="57">
        <f>IF(EO22&gt;0,EN22/EO22-1,1)</f>
        <v>2.9699371821717024</v>
      </c>
      <c r="EQ22" s="99">
        <f>Serviceorderfile_Current!$U177*Serviceorderfile_Current!$H177</f>
        <v>404.11200000000002</v>
      </c>
      <c r="ER22" s="93">
        <f>Serviceorderfile_PREVIOUS!$U177*Serviceorderfile_PREVIOUS!$H177</f>
        <v>517.44000000000005</v>
      </c>
      <c r="ES22" s="57">
        <f>IF(ER22&gt;0,EQ22/ER22-1,1)</f>
        <v>-0.21901669758812625</v>
      </c>
      <c r="ET22" s="99">
        <f>Serviceorderfile_Current!$U178*Serviceorderfile_Current!$H178</f>
        <v>3.6480000000000001</v>
      </c>
      <c r="EU22" s="93">
        <f>Serviceorderfile_PREVIOUS!$U178*Serviceorderfile_PREVIOUS!$H178</f>
        <v>1.8240000000000001</v>
      </c>
      <c r="EV22" s="57">
        <f>IF(EU22&gt;0,ET22/EU22-1,1)</f>
        <v>1</v>
      </c>
      <c r="EW22" s="84"/>
      <c r="EX22" s="76" t="e">
        <f>Serviceorderfile_Current!$V172</f>
        <v>#DIV/0!</v>
      </c>
      <c r="EY22" s="47">
        <f>Aged!E65</f>
        <v>0</v>
      </c>
      <c r="EZ22" s="99">
        <f>Serviceorderfile_Current!$U172*Serviceorderfile_Current!$H172</f>
        <v>0</v>
      </c>
      <c r="FA22" s="93">
        <f>Serviceorderfile_PREVIOUS!$U172*Serviceorderfile_PREVIOUS!$H172</f>
        <v>0</v>
      </c>
      <c r="FB22" s="57">
        <f>IF(FA22&gt;0,EZ22/FA22-1,1)</f>
        <v>1</v>
      </c>
      <c r="FC22" s="84"/>
      <c r="FD22" s="118">
        <f t="shared" si="66"/>
        <v>9975.648000000001</v>
      </c>
      <c r="FE22" s="77">
        <f t="shared" si="67"/>
        <v>3119.5532611869999</v>
      </c>
      <c r="FF22" s="57">
        <f>IF(FE22&gt;0,FD22/FE22-1,1)</f>
        <v>2.197780952842022</v>
      </c>
      <c r="FG22" s="94"/>
      <c r="FH22" s="84"/>
      <c r="FI22" s="84"/>
      <c r="FJ22" s="84"/>
      <c r="FK22" s="84"/>
      <c r="FL22" s="84"/>
      <c r="FM22" s="84"/>
      <c r="FN22" s="84"/>
      <c r="FO22" s="84"/>
      <c r="FP22" s="84"/>
      <c r="FQ22" s="84"/>
      <c r="FR22" s="84"/>
      <c r="FS22" s="84"/>
      <c r="FT22" s="84"/>
      <c r="FU22" s="84"/>
      <c r="FV22" s="84"/>
      <c r="FW22" s="84"/>
      <c r="FX22" s="84"/>
    </row>
    <row r="23" spans="1:180" s="63" customFormat="1" ht="12" customHeight="1" x14ac:dyDescent="0.25">
      <c r="A23" s="110" t="s">
        <v>8</v>
      </c>
      <c r="B23" s="99">
        <f>Serviceorderfile_Current!$W148</f>
        <v>392.97324659559996</v>
      </c>
      <c r="C23" s="93">
        <f>Serviceorderfile_PREVIOUS!$W148</f>
        <v>179.16190478779998</v>
      </c>
      <c r="D23" s="57">
        <f t="shared" si="152"/>
        <v>1.1933973467241206</v>
      </c>
      <c r="E23" s="93">
        <f>'YOY Orders'!$J16</f>
        <v>1232.8300085958999</v>
      </c>
      <c r="F23" s="93">
        <f>'YOY Orders'!$B16</f>
        <v>920.17050970349999</v>
      </c>
      <c r="G23" s="57">
        <f t="shared" ref="G23:G45" si="171">IF(F23&gt;0,E23/F23-1,1)</f>
        <v>0.33978430692496975</v>
      </c>
      <c r="H23" s="99">
        <f>Serviceorderfile_Current!$W150</f>
        <v>629.48300907579994</v>
      </c>
      <c r="I23" s="93">
        <f>Serviceorderfile_PREVIOUS!$W150</f>
        <v>124.9628906702</v>
      </c>
      <c r="J23" s="57">
        <f t="shared" si="2"/>
        <v>4.0373595368974069</v>
      </c>
      <c r="K23" s="93">
        <f>'YOY Orders'!$K16</f>
        <v>1340.264539328</v>
      </c>
      <c r="L23" s="93">
        <f>'YOY Orders'!$C16</f>
        <v>969.23289675410001</v>
      </c>
      <c r="M23" s="57">
        <f t="shared" ref="M23:M41" si="172">IF(L23&gt;0,K23/L23-1,1)</f>
        <v>0.38280958458638947</v>
      </c>
      <c r="N23" s="99">
        <f>Serviceorderfile_Current!$W149</f>
        <v>853.87458687189996</v>
      </c>
      <c r="O23" s="93">
        <f>Serviceorderfile_PREVIOUS!$W149</f>
        <v>569.14131844789995</v>
      </c>
      <c r="P23" s="57">
        <f t="shared" si="4"/>
        <v>0.50028570970825581</v>
      </c>
      <c r="Q23" s="93">
        <f>'YOY Orders'!$O16</f>
        <v>769.62478470019994</v>
      </c>
      <c r="R23" s="93">
        <f>'YOY Orders'!$G16</f>
        <v>983.90723727449995</v>
      </c>
      <c r="S23" s="57">
        <f t="shared" ref="S23:S41" si="173">IF(R23&gt;0,Q23/R23-1,1)</f>
        <v>-0.21778725113139652</v>
      </c>
      <c r="T23" s="99">
        <f>Serviceorderfile_Current!$W151</f>
        <v>1380.9107604919</v>
      </c>
      <c r="U23" s="93">
        <f>Serviceorderfile_PREVIOUS!$W151</f>
        <v>1033.4164196971999</v>
      </c>
      <c r="V23" s="57">
        <f t="shared" si="6"/>
        <v>0.33625780873166211</v>
      </c>
      <c r="W23" s="93">
        <f>'YOY Orders'!$L16</f>
        <v>1559.2459418700998</v>
      </c>
      <c r="X23" s="93">
        <f>'YOY Orders'!$D16</f>
        <v>1126.4076061557</v>
      </c>
      <c r="Y23" s="57">
        <f t="shared" ref="Y23:Y41" si="174">IF(X23&gt;0,W23/X23-1,1)</f>
        <v>0.38426439358983688</v>
      </c>
      <c r="Z23" s="99">
        <f>Serviceorderfile_Current!$W152</f>
        <v>59.4359421865</v>
      </c>
      <c r="AA23" s="93">
        <f>Serviceorderfile_PREVIOUS!$W152</f>
        <v>36.612905117799997</v>
      </c>
      <c r="AB23" s="57">
        <f t="shared" si="8"/>
        <v>0.62336045160219178</v>
      </c>
      <c r="AC23" s="93">
        <f>'YOY Orders'!$N16</f>
        <v>11.1090958165</v>
      </c>
      <c r="AD23" s="93">
        <f>'YOY Orders'!$F16</f>
        <v>77.961233295</v>
      </c>
      <c r="AE23" s="57">
        <f t="shared" ref="AE23:AE41" si="175">IF(AD23&gt;0,AC23/AD23-1,1)</f>
        <v>-0.85750487329434699</v>
      </c>
      <c r="AF23" s="99">
        <f>Serviceorderfile_Current!$W146</f>
        <v>0</v>
      </c>
      <c r="AG23" s="93">
        <f>Serviceorderfile_PREVIOUS!$W146</f>
        <v>0</v>
      </c>
      <c r="AH23" s="57">
        <f t="shared" si="10"/>
        <v>1</v>
      </c>
      <c r="AI23" s="93">
        <f>'YOY Orders'!$M16</f>
        <v>0</v>
      </c>
      <c r="AJ23" s="93">
        <f>'YOY Orders'!$E16</f>
        <v>0</v>
      </c>
      <c r="AK23" s="57">
        <f t="shared" ref="AK23:AK41" si="176">IF(AJ23&gt;0,AI23/AJ23-1,1)</f>
        <v>1</v>
      </c>
      <c r="AL23" s="116">
        <f t="shared" si="54"/>
        <v>3316.6775452216998</v>
      </c>
      <c r="AM23" s="56">
        <f t="shared" si="55"/>
        <v>1943.2954387208999</v>
      </c>
      <c r="AN23" s="57">
        <f t="shared" si="12"/>
        <v>0.70672841562617794</v>
      </c>
      <c r="AO23" s="116">
        <f t="shared" si="165"/>
        <v>4913.0743703107</v>
      </c>
      <c r="AP23" s="56">
        <f t="shared" si="166"/>
        <v>4077.6794831828001</v>
      </c>
      <c r="AQ23" s="57">
        <f t="shared" ref="AQ23:AQ41" si="177">IF(AP23&gt;0,AO23/AP23-1,1)</f>
        <v>0.20487016955924142</v>
      </c>
      <c r="AR23" s="72"/>
      <c r="AS23" s="110" t="s">
        <v>8</v>
      </c>
      <c r="AT23" s="99">
        <f>Serviceorderfile_Current!$I148*Serviceorderfile_Current!$U148</f>
        <v>197.2343216756</v>
      </c>
      <c r="AU23" s="93">
        <f>Serviceorderfile_PREVIOUS!$I148*Serviceorderfile_PREVIOUS!$U148</f>
        <v>169.3688796932</v>
      </c>
      <c r="AV23" s="57">
        <f t="shared" ref="AV23:AV41" si="178">IF(AU23&gt;0,AT23/AU23-1,1)</f>
        <v>0.16452515971574178</v>
      </c>
      <c r="AW23" s="78">
        <f t="shared" ref="AW23:AW44" si="179">AT23/B23</f>
        <v>0.50190266992544019</v>
      </c>
      <c r="AX23" s="75">
        <f t="shared" si="16"/>
        <v>0.94533980253113026</v>
      </c>
      <c r="AY23" s="119">
        <f t="shared" ref="AY23:AY50" si="180">(AW23-AX23)*100</f>
        <v>-44.343713260569004</v>
      </c>
      <c r="AZ23" s="99">
        <f>Serviceorderfile_Current!$I150*Serviceorderfile_Current!$U150</f>
        <v>219.24583245619999</v>
      </c>
      <c r="BA23" s="93">
        <f>Serviceorderfile_PREVIOUS!$I150*Serviceorderfile_PREVIOUS!$U150</f>
        <v>117.39776358749999</v>
      </c>
      <c r="BB23" s="57">
        <f t="shared" ref="BB23:BB41" si="181">IF(BA23&gt;0,AZ23/BA23-1,1)</f>
        <v>0.86754692556634305</v>
      </c>
      <c r="BC23" s="78">
        <f t="shared" ref="BC23:BC41" si="182">AZ23/H23</f>
        <v>0.34829507595144515</v>
      </c>
      <c r="BD23" s="75">
        <f t="shared" ref="BD23:BD41" si="183">BA23/I23</f>
        <v>0.93946101084788636</v>
      </c>
      <c r="BE23" s="119">
        <f t="shared" ref="BE23:BE41" si="184">(BC23-BD23)*100</f>
        <v>-59.116593489644117</v>
      </c>
      <c r="BF23" s="99">
        <f>Serviceorderfile_Current!$I149*Serviceorderfile_Current!$U149</f>
        <v>166.7823296139</v>
      </c>
      <c r="BG23" s="93">
        <f>Serviceorderfile_PREVIOUS!$I149*Serviceorderfile_PREVIOUS!$U149</f>
        <v>124.7562098178</v>
      </c>
      <c r="BH23" s="57">
        <f t="shared" ref="BH23:BH41" si="185">IF(BG23&gt;0,BF23/BG23-1,1)</f>
        <v>0.33686595526969754</v>
      </c>
      <c r="BI23" s="78">
        <f t="shared" ref="BI23:BI41" si="186">BF23/N23</f>
        <v>0.19532415202201237</v>
      </c>
      <c r="BJ23" s="75">
        <f t="shared" ref="BJ23:BJ41" si="187">BG23/O23</f>
        <v>0.21920076046845713</v>
      </c>
      <c r="BK23" s="119">
        <f t="shared" ref="BK23:BK41" si="188">(BI23-BJ23)*100</f>
        <v>-2.3876608446444765</v>
      </c>
      <c r="BL23" s="99">
        <f>Serviceorderfile_Current!$I151*Serviceorderfile_Current!$U151</f>
        <v>208.7446214997</v>
      </c>
      <c r="BM23" s="93">
        <f>Serviceorderfile_PREVIOUS!$I151*Serviceorderfile_PREVIOUS!$U151</f>
        <v>235.9839420763</v>
      </c>
      <c r="BN23" s="57">
        <f t="shared" ref="BN23:BN41" si="189">IF(BM23&gt;0,BL23/BM23-1,1)</f>
        <v>-0.11542870390644111</v>
      </c>
      <c r="BO23" s="78">
        <f t="shared" ref="BO23:BO41" si="190">BL23/T23</f>
        <v>0.1511644542659239</v>
      </c>
      <c r="BP23" s="75">
        <f t="shared" ref="BP23:BP41" si="191">BM23/U23</f>
        <v>0.22835319584475477</v>
      </c>
      <c r="BQ23" s="119">
        <f t="shared" ref="BQ23:BQ41" si="192">(BO23-BP23)*100</f>
        <v>-7.7188741578830875</v>
      </c>
      <c r="BR23" s="99">
        <f>Serviceorderfile_Current!$I152*Serviceorderfile_Current!$U152</f>
        <v>10.212465648</v>
      </c>
      <c r="BS23" s="93">
        <f>Serviceorderfile_PREVIOUS!$I152*Serviceorderfile_PREVIOUS!$U152</f>
        <v>31.5917761742</v>
      </c>
      <c r="BT23" s="57">
        <f t="shared" ref="BT23:BT41" si="193">IF(BS23&gt;0,BR23/BS23-1,1)</f>
        <v>-0.6767365787954589</v>
      </c>
      <c r="BU23" s="78">
        <f t="shared" ref="BU23:BU41" si="194">BR23/Z23</f>
        <v>0.17182306315520327</v>
      </c>
      <c r="BV23" s="75">
        <f t="shared" ref="BV23:BV41" si="195">BS23/AA23</f>
        <v>0.86285904034534289</v>
      </c>
      <c r="BW23" s="119">
        <f t="shared" ref="BW23:BW41" si="196">(BU23-BV23)*100</f>
        <v>-69.103597719013962</v>
      </c>
      <c r="BX23" s="99">
        <f>Serviceorderfile_Current!$I146*Serviceorderfile_Current!$U148</f>
        <v>0</v>
      </c>
      <c r="BY23" s="93">
        <f>Serviceorderfile_PREVIOUS!$I146*Serviceorderfile_PREVIOUS!$U148</f>
        <v>0</v>
      </c>
      <c r="BZ23" s="57">
        <f t="shared" ref="BZ23:BZ41" si="197">IF(BY23&gt;0,BX23/BY23-1,1)</f>
        <v>1</v>
      </c>
      <c r="CA23" s="78" t="e">
        <f t="shared" ref="CA23:CA41" si="198">BX23/AF23</f>
        <v>#DIV/0!</v>
      </c>
      <c r="CB23" s="75" t="e">
        <f t="shared" ref="CB23:CB41" si="199">BY23/AG23</f>
        <v>#DIV/0!</v>
      </c>
      <c r="CC23" s="119" t="e">
        <f t="shared" ref="CC23:CC41" si="200">(CA23-CB23)*100</f>
        <v>#DIV/0!</v>
      </c>
      <c r="CD23" s="118">
        <f t="shared" ref="CD23:CD50" si="201">AT23+BL23+BR23+BX23+BF23+AZ23</f>
        <v>802.21957089339992</v>
      </c>
      <c r="CE23" s="77">
        <f t="shared" ref="CE23:CE50" si="202">AU23+BM23+BS23+BY23+BG23+BA23</f>
        <v>679.09857134899994</v>
      </c>
      <c r="CF23" s="57">
        <f t="shared" ref="CF23:CF44" si="203">IF(CE23&gt;0,CD23/CE23-1,1)</f>
        <v>0.18130063107013372</v>
      </c>
      <c r="CG23" s="78">
        <f t="shared" ref="CG23:CG44" si="204">CD23/AL23</f>
        <v>0.24187445416547915</v>
      </c>
      <c r="CH23" s="75">
        <f t="shared" si="154"/>
        <v>0.34945719411351611</v>
      </c>
      <c r="CI23" s="119">
        <f t="shared" ref="CI23:CI44" si="205">(CG23-CH23)*100</f>
        <v>-10.758273994803696</v>
      </c>
      <c r="CJ23" s="85"/>
      <c r="CK23" s="110" t="s">
        <v>8</v>
      </c>
      <c r="CL23" s="99">
        <f>Serviceorderfile_Current!$J148*Serviceorderfile_Current!$U148</f>
        <v>191.87277721039999</v>
      </c>
      <c r="CM23" s="93">
        <f>Serviceorderfile_PREVIOUS!$J148*Serviceorderfile_PREVIOUS!$U148</f>
        <v>5.2490857660999994</v>
      </c>
      <c r="CN23" s="57">
        <f t="shared" ref="CN23:CN41" si="206">IF(CM23&gt;0,CL23/CM23-1,1)</f>
        <v>35.553561088592936</v>
      </c>
      <c r="CO23" s="99">
        <f>Serviceorderfile_Current!$J150*Serviceorderfile_Current!$U150</f>
        <v>286.7909586751</v>
      </c>
      <c r="CP23" s="93">
        <f>Serviceorderfile_PREVIOUS!$J150*Serviceorderfile_PREVIOUS!$U150</f>
        <v>0</v>
      </c>
      <c r="CQ23" s="57">
        <f t="shared" ref="CQ23:CQ41" si="207">IF(CP23&gt;0,CO23/CP23-1,1)</f>
        <v>1</v>
      </c>
      <c r="CR23" s="99">
        <f>Serviceorderfile_Current!$J149*Serviceorderfile_Current!$U149</f>
        <v>150.5244490332</v>
      </c>
      <c r="CS23" s="93">
        <f>Serviceorderfile_PREVIOUS!$J149*Serviceorderfile_PREVIOUS!$U149</f>
        <v>80.08275145639999</v>
      </c>
      <c r="CT23" s="57">
        <f t="shared" ref="CT23:CT41" si="208">IF(CS23&gt;0,CR23/CS23-1,1)</f>
        <v>0.87961135570062265</v>
      </c>
      <c r="CU23" s="99">
        <f>Serviceorderfile_Current!$J151*Serviceorderfile_Current!$U151</f>
        <v>262.14426702639997</v>
      </c>
      <c r="CV23" s="93">
        <f>Serviceorderfile_PREVIOUS!$J151*Serviceorderfile_PREVIOUS!$U151</f>
        <v>102.1307353286</v>
      </c>
      <c r="CW23" s="57">
        <f t="shared" ref="CW23:CW41" si="209">IF(CV23&gt;0,CU23/CV23-1,1)</f>
        <v>1.566751979048866</v>
      </c>
      <c r="CX23" s="99">
        <f>Serviceorderfile_Current!$J152*Serviceorderfile_Current!$U152</f>
        <v>42.8467643571</v>
      </c>
      <c r="CY23" s="93">
        <f>Serviceorderfile_PREVIOUS!$J152*Serviceorderfile_PREVIOUS!$U152</f>
        <v>5.0211289435999999</v>
      </c>
      <c r="CZ23" s="57">
        <f t="shared" ref="CZ23:CZ41" si="210">IF(CY23&gt;0,CX23/CY23-1,1)</f>
        <v>7.5332929782082321</v>
      </c>
      <c r="DA23" s="99">
        <f>Serviceorderfile_Current!$J146*Serviceorderfile_Current!$U148</f>
        <v>0</v>
      </c>
      <c r="DB23" s="93">
        <f>Serviceorderfile_PREVIOUS!$J146*Serviceorderfile_PREVIOUS!$U148</f>
        <v>0</v>
      </c>
      <c r="DC23" s="57">
        <f t="shared" ref="DC23:DC41" si="211">IF(DB23&gt;0,DA23/DB23-1,1)</f>
        <v>1</v>
      </c>
      <c r="DD23" s="118">
        <f t="shared" si="167"/>
        <v>934.17921630220008</v>
      </c>
      <c r="DE23" s="77">
        <f t="shared" si="168"/>
        <v>192.48370149469997</v>
      </c>
      <c r="DF23" s="57">
        <f t="shared" ref="DF23:DF41" si="212">IF(DE23&gt;0,DD23/DE23-1,1)</f>
        <v>3.8532899619447658</v>
      </c>
      <c r="DG23" s="86"/>
      <c r="DH23" s="110" t="s">
        <v>8</v>
      </c>
      <c r="DI23" s="99">
        <f>Serviceorderfile_Current!$K148*Serviceorderfile_Current!$U148</f>
        <v>3.0181483298999998</v>
      </c>
      <c r="DJ23" s="93">
        <f>Serviceorderfile_PREVIOUS!$K148*Serviceorderfile_PREVIOUS!$U148</f>
        <v>0</v>
      </c>
      <c r="DK23" s="57">
        <f t="shared" ref="DK23:DK41" si="213">IF(DJ23&gt;0,DI23/DJ23-1,1)</f>
        <v>1</v>
      </c>
      <c r="DL23" s="99">
        <f>Serviceorderfile_Current!$K150*Serviceorderfile_Current!$U150</f>
        <v>123.44621794449999</v>
      </c>
      <c r="DM23" s="93">
        <f>Serviceorderfile_PREVIOUS!$K150*Serviceorderfile_PREVIOUS!$U150</f>
        <v>0</v>
      </c>
      <c r="DN23" s="57">
        <f t="shared" ref="DN23:DN41" si="214">IF(DM23&gt;0,DL23/DM23-1,1)</f>
        <v>1</v>
      </c>
      <c r="DO23" s="99">
        <f>Serviceorderfile_Current!$K149*Serviceorderfile_Current!$U149</f>
        <v>111.23685053139999</v>
      </c>
      <c r="DP23" s="93">
        <f>Serviceorderfile_PREVIOUS!$K149*Serviceorderfile_PREVIOUS!$U149</f>
        <v>62.223094269599997</v>
      </c>
      <c r="DQ23" s="57">
        <f t="shared" ref="DQ23:DQ41" si="215">IF(DP23&gt;0,DO23/DP23-1,1)</f>
        <v>0.78771004298554126</v>
      </c>
      <c r="DR23" s="99">
        <f>Serviceorderfile_Current!$K151*Serviceorderfile_Current!$U151</f>
        <v>130.18158219329999</v>
      </c>
      <c r="DS23" s="93">
        <f>Serviceorderfile_PREVIOUS!$K151*Serviceorderfile_PREVIOUS!$U151</f>
        <v>97.225104508399994</v>
      </c>
      <c r="DT23" s="57">
        <f t="shared" ref="DT23:DT41" si="216">IF(DS23&gt;0,DR23/DS23-1,1)</f>
        <v>0.33897086407402766</v>
      </c>
      <c r="DU23" s="99">
        <f>Serviceorderfile_Current!$K152*Serviceorderfile_Current!$U152</f>
        <v>5.6776445924000001</v>
      </c>
      <c r="DV23" s="93">
        <f>Serviceorderfile_PREVIOUS!$K152*Serviceorderfile_PREVIOUS!$U152</f>
        <v>0</v>
      </c>
      <c r="DW23" s="57">
        <f t="shared" ref="DW23:DW41" si="217">IF(DV23&gt;0,DU23/DV23-1,1)</f>
        <v>1</v>
      </c>
      <c r="DX23" s="99">
        <f>Serviceorderfile_Current!$K146*Serviceorderfile_Current!$U148</f>
        <v>0</v>
      </c>
      <c r="DY23" s="93">
        <f>Serviceorderfile_PREVIOUS!$K146*Serviceorderfile_PREVIOUS!$U148</f>
        <v>0</v>
      </c>
      <c r="DZ23" s="57">
        <f t="shared" ref="DZ23:DZ41" si="218">IF(DY23&gt;0,DX23/DY23-1,1)</f>
        <v>1</v>
      </c>
      <c r="EA23" s="118">
        <f t="shared" si="169"/>
        <v>373.56044359149996</v>
      </c>
      <c r="EB23" s="77">
        <f t="shared" si="170"/>
        <v>159.44819877800001</v>
      </c>
      <c r="EC23" s="57">
        <f t="shared" ref="EC23:EC41" si="219">IF(EB23&gt;0,EA23/EB23-1,1)</f>
        <v>1.3428326343881047</v>
      </c>
      <c r="ED23" s="94"/>
      <c r="EE23" s="124" t="s">
        <v>8</v>
      </c>
      <c r="EF23" s="76">
        <f>Serviceorderfile_Current!$V145</f>
        <v>0.96334478448865846</v>
      </c>
      <c r="EG23" s="57">
        <f>Aged!E10</f>
        <v>0.56000000000000005</v>
      </c>
      <c r="EH23" s="99">
        <f>Serviceorderfile_Current!$U140*Serviceorderfile_Current!$H140</f>
        <v>2300.3122958475001</v>
      </c>
      <c r="EI23" s="93">
        <f>Serviceorderfile_PREVIOUS!$U140*Serviceorderfile_PREVIOUS!$H140</f>
        <v>1825.1742921499999</v>
      </c>
      <c r="EJ23" s="57">
        <f t="shared" si="47"/>
        <v>0.26032472939217333</v>
      </c>
      <c r="EK23" s="99">
        <f>Serviceorderfile_Current!$U142*Serviceorderfile_Current!$H142</f>
        <v>5426.6124606143994</v>
      </c>
      <c r="EL23" s="93">
        <f>Serviceorderfile_PREVIOUS!$U142*Serviceorderfile_PREVIOUS!$H142</f>
        <v>4987.5098714177002</v>
      </c>
      <c r="EM23" s="57">
        <f t="shared" ref="EM23:EM41" si="220">IF(EL23&gt;0,EK23/EL23-1,1)</f>
        <v>8.8040445135376677E-2</v>
      </c>
      <c r="EN23" s="99">
        <f>Serviceorderfile_Current!$U141*Serviceorderfile_Current!$H141</f>
        <v>4994.3637732141997</v>
      </c>
      <c r="EO23" s="93">
        <f>Serviceorderfile_PREVIOUS!$U141*Serviceorderfile_PREVIOUS!$H141</f>
        <v>4879.5008894928997</v>
      </c>
      <c r="EP23" s="57">
        <f t="shared" ref="EP23:EP41" si="221">IF(EO23&gt;0,EN23/EO23-1,1)</f>
        <v>2.3539883755044677E-2</v>
      </c>
      <c r="EQ23" s="99">
        <f>Serviceorderfile_Current!$U143*Serviceorderfile_Current!$H143</f>
        <v>824.24019994690002</v>
      </c>
      <c r="ER23" s="93">
        <f>Serviceorderfile_PREVIOUS!$U143*Serviceorderfile_PREVIOUS!$H143</f>
        <v>393.93674409869999</v>
      </c>
      <c r="ES23" s="57">
        <f t="shared" ref="ES23:ES41" si="222">IF(ER23&gt;0,EQ23/ER23-1,1)</f>
        <v>1.0923161200225295</v>
      </c>
      <c r="ET23" s="99">
        <f>Serviceorderfile_Current!$U144*Serviceorderfile_Current!$H144</f>
        <v>2.1367152829</v>
      </c>
      <c r="EU23" s="93">
        <f>Serviceorderfile_PREVIOUS!$U144*Serviceorderfile_PREVIOUS!$H144</f>
        <v>4.2886276873</v>
      </c>
      <c r="EV23" s="57">
        <f t="shared" ref="EV23:EV41" si="223">IF(EU23&gt;0,ET23/EU23-1,1)</f>
        <v>-0.5017717930545712</v>
      </c>
      <c r="EW23" s="84"/>
      <c r="EX23" s="76">
        <f>Serviceorderfile_Current!$V138</f>
        <v>0.96239831182335311</v>
      </c>
      <c r="EY23" s="47">
        <f>Aged!E63</f>
        <v>0.64</v>
      </c>
      <c r="EZ23" s="99">
        <f>Serviceorderfile_Current!$U138*Serviceorderfile_Current!$H138</f>
        <v>596.2985745684</v>
      </c>
      <c r="FA23" s="93">
        <f>Serviceorderfile_PREVIOUS!$U138*Serviceorderfile_PREVIOUS!$H138</f>
        <v>319.261128472</v>
      </c>
      <c r="FB23" s="57">
        <f t="shared" ref="FB23:FB41" si="224">IF(FA23&gt;0,EZ23/FA23-1,1)</f>
        <v>0.86774562071591776</v>
      </c>
      <c r="FC23" s="84"/>
      <c r="FD23" s="118">
        <f t="shared" si="66"/>
        <v>14143.964019474299</v>
      </c>
      <c r="FE23" s="77">
        <f t="shared" si="67"/>
        <v>12409.6715533186</v>
      </c>
      <c r="FF23" s="57">
        <f t="shared" si="53"/>
        <v>0.13975329312337159</v>
      </c>
      <c r="FG23" s="94"/>
      <c r="FH23" s="84"/>
      <c r="FI23" s="84"/>
      <c r="FJ23" s="84"/>
      <c r="FK23" s="84"/>
      <c r="FL23" s="84"/>
      <c r="FM23" s="84"/>
      <c r="FN23" s="84"/>
      <c r="FO23" s="84"/>
      <c r="FP23" s="84"/>
      <c r="FQ23" s="84"/>
      <c r="FR23" s="84"/>
      <c r="FS23" s="84"/>
      <c r="FT23" s="84"/>
      <c r="FU23" s="84"/>
      <c r="FV23" s="84"/>
      <c r="FW23" s="84"/>
      <c r="FX23" s="84"/>
    </row>
    <row r="24" spans="1:180" s="63" customFormat="1" ht="12" customHeight="1" x14ac:dyDescent="0.25">
      <c r="A24" s="110" t="s">
        <v>7</v>
      </c>
      <c r="B24" s="99">
        <f>Serviceorderfile_Current!$W284</f>
        <v>371.24553146459999</v>
      </c>
      <c r="C24" s="93">
        <f>Serviceorderfile_PREVIOUS!$W284</f>
        <v>315.79436918459999</v>
      </c>
      <c r="D24" s="57">
        <f t="shared" si="152"/>
        <v>0.17559262510974549</v>
      </c>
      <c r="E24" s="93">
        <f>'YOY Orders'!$J25</f>
        <v>1187.4866402262001</v>
      </c>
      <c r="F24" s="93">
        <f>'YOY Orders'!$B25</f>
        <v>899.41785218159998</v>
      </c>
      <c r="G24" s="57">
        <f t="shared" si="171"/>
        <v>0.32028360049321836</v>
      </c>
      <c r="H24" s="99">
        <f>Serviceorderfile_Current!$W286</f>
        <v>1389.3288709254</v>
      </c>
      <c r="I24" s="93">
        <f>Serviceorderfile_PREVIOUS!$W286</f>
        <v>739.71850481519994</v>
      </c>
      <c r="J24" s="57">
        <f t="shared" si="2"/>
        <v>0.87818590704647703</v>
      </c>
      <c r="K24" s="93">
        <f>'YOY Orders'!$K25</f>
        <v>2401.5898383467998</v>
      </c>
      <c r="L24" s="93">
        <f>'YOY Orders'!$C25</f>
        <v>1075.1980366092</v>
      </c>
      <c r="M24" s="57">
        <f t="shared" si="172"/>
        <v>1.233625580195977</v>
      </c>
      <c r="N24" s="99">
        <f>Serviceorderfile_Current!$W285</f>
        <v>922.98459615059994</v>
      </c>
      <c r="O24" s="93">
        <f>Serviceorderfile_PREVIOUS!$W285</f>
        <v>1594.22091555</v>
      </c>
      <c r="P24" s="57">
        <f t="shared" si="4"/>
        <v>-0.42104347826086963</v>
      </c>
      <c r="Q24" s="93">
        <f>'YOY Orders'!$O25</f>
        <v>8983.3655451714003</v>
      </c>
      <c r="R24" s="93">
        <f>'YOY Orders'!$G25</f>
        <v>1621.3919850672</v>
      </c>
      <c r="S24" s="57">
        <f t="shared" si="173"/>
        <v>4.5405266757865936</v>
      </c>
      <c r="T24" s="99">
        <f>Serviceorderfile_Current!$W287</f>
        <v>2058.3471438336001</v>
      </c>
      <c r="U24" s="93">
        <f>Serviceorderfile_PREVIOUS!$W287</f>
        <v>1716.7679841888</v>
      </c>
      <c r="V24" s="57">
        <f t="shared" si="6"/>
        <v>0.19896640826873391</v>
      </c>
      <c r="W24" s="93">
        <f>'YOY Orders'!$L25</f>
        <v>2185.3303054548001</v>
      </c>
      <c r="X24" s="93">
        <f>'YOY Orders'!$D25</f>
        <v>1845.6919364897999</v>
      </c>
      <c r="Y24" s="57">
        <f t="shared" si="174"/>
        <v>0.18401682439537348</v>
      </c>
      <c r="Z24" s="99">
        <f>Serviceorderfile_Current!$W288</f>
        <v>17.7443719296</v>
      </c>
      <c r="AA24" s="93">
        <f>Serviceorderfile_PREVIOUS!$W288</f>
        <v>26.6165578944</v>
      </c>
      <c r="AB24" s="57">
        <f t="shared" si="8"/>
        <v>-0.33333333333333337</v>
      </c>
      <c r="AC24" s="93">
        <f>'YOY Orders'!$N25</f>
        <v>47.133487938000002</v>
      </c>
      <c r="AD24" s="93">
        <f>'YOY Orders'!$F25</f>
        <v>43.806418201199996</v>
      </c>
      <c r="AE24" s="57">
        <f t="shared" si="175"/>
        <v>7.5949367088607778E-2</v>
      </c>
      <c r="AF24" s="99">
        <f>Serviceorderfile_Current!$W282</f>
        <v>76.522603946399997</v>
      </c>
      <c r="AG24" s="93">
        <f>Serviceorderfile_PREVIOUS!$W282</f>
        <v>0</v>
      </c>
      <c r="AH24" s="57">
        <f t="shared" si="10"/>
        <v>1</v>
      </c>
      <c r="AI24" s="93">
        <f>'YOY Orders'!$M25</f>
        <v>371.24553146459999</v>
      </c>
      <c r="AJ24" s="93">
        <f>'YOY Orders'!$E25</f>
        <v>302.20883442600001</v>
      </c>
      <c r="AK24" s="57">
        <f t="shared" si="176"/>
        <v>0.22844036697247705</v>
      </c>
      <c r="AL24" s="116">
        <f t="shared" si="54"/>
        <v>4836.1731182501999</v>
      </c>
      <c r="AM24" s="56">
        <f t="shared" si="55"/>
        <v>4393.1183316329998</v>
      </c>
      <c r="AN24" s="57">
        <f t="shared" si="12"/>
        <v>0.10085200378668358</v>
      </c>
      <c r="AO24" s="116">
        <f t="shared" si="165"/>
        <v>15176.151348601799</v>
      </c>
      <c r="AP24" s="56">
        <f t="shared" si="166"/>
        <v>5787.7150629750004</v>
      </c>
      <c r="AQ24" s="57">
        <f t="shared" si="177"/>
        <v>1.6221317365269456</v>
      </c>
      <c r="AR24" s="72"/>
      <c r="AS24" s="110" t="s">
        <v>7</v>
      </c>
      <c r="AT24" s="99">
        <f>Serviceorderfile_Current!$I284*Serviceorderfile_Current!$U284</f>
        <v>181.87981227840001</v>
      </c>
      <c r="AU24" s="93">
        <f>Serviceorderfile_PREVIOUS!$I284*Serviceorderfile_PREVIOUS!$U284</f>
        <v>271.15618354920002</v>
      </c>
      <c r="AV24" s="57">
        <f t="shared" si="178"/>
        <v>-0.32924335378323111</v>
      </c>
      <c r="AW24" s="78">
        <f t="shared" si="179"/>
        <v>0.48991784914115016</v>
      </c>
      <c r="AX24" s="75">
        <f t="shared" si="16"/>
        <v>0.85864793678665507</v>
      </c>
      <c r="AY24" s="119">
        <f t="shared" si="180"/>
        <v>-36.873008764550491</v>
      </c>
      <c r="AZ24" s="99">
        <f>Serviceorderfile_Current!$I286*Serviceorderfile_Current!$U286</f>
        <v>480.4843211562</v>
      </c>
      <c r="BA24" s="93">
        <f>Serviceorderfile_PREVIOUS!$I286*Serviceorderfile_PREVIOUS!$U286</f>
        <v>538.70804155019994</v>
      </c>
      <c r="BB24" s="57">
        <f t="shared" si="181"/>
        <v>-0.10808028821410176</v>
      </c>
      <c r="BC24" s="78">
        <f t="shared" si="182"/>
        <v>0.34583915386150471</v>
      </c>
      <c r="BD24" s="75">
        <f t="shared" si="183"/>
        <v>0.72826086956521741</v>
      </c>
      <c r="BE24" s="119">
        <f t="shared" si="184"/>
        <v>-38.242171570371269</v>
      </c>
      <c r="BF24" s="99">
        <f>Serviceorderfile_Current!$I285*Serviceorderfile_Current!$U285</f>
        <v>773.26645799460005</v>
      </c>
      <c r="BG24" s="93">
        <f>Serviceorderfile_PREVIOUS!$I285*Serviceorderfile_PREVIOUS!$U285</f>
        <v>1133.4217570031999</v>
      </c>
      <c r="BH24" s="57">
        <f t="shared" si="185"/>
        <v>-0.31775929549902138</v>
      </c>
      <c r="BI24" s="78">
        <f t="shared" si="186"/>
        <v>0.83778912586362286</v>
      </c>
      <c r="BJ24" s="75">
        <f t="shared" si="187"/>
        <v>0.71095652173913038</v>
      </c>
      <c r="BK24" s="119">
        <f t="shared" si="188"/>
        <v>12.683260412449249</v>
      </c>
      <c r="BL24" s="99">
        <f>Serviceorderfile_Current!$I287*Serviceorderfile_Current!$U287</f>
        <v>535.65822762480002</v>
      </c>
      <c r="BM24" s="93">
        <f>Serviceorderfile_PREVIOUS!$I287*Serviceorderfile_PREVIOUS!$U287</f>
        <v>214.87325383499999</v>
      </c>
      <c r="BN24" s="57">
        <f t="shared" si="189"/>
        <v>1.4929032258064519</v>
      </c>
      <c r="BO24" s="78">
        <f t="shared" si="190"/>
        <v>0.26023706896551724</v>
      </c>
      <c r="BP24" s="75">
        <f t="shared" si="191"/>
        <v>0.12516149870801033</v>
      </c>
      <c r="BQ24" s="119">
        <f t="shared" si="192"/>
        <v>13.507557025750691</v>
      </c>
      <c r="BR24" s="99">
        <f>Serviceorderfile_Current!$I288*Serviceorderfile_Current!$U288</f>
        <v>11.644744078800001</v>
      </c>
      <c r="BS24" s="93">
        <f>Serviceorderfile_PREVIOUS!$I288*Serviceorderfile_PREVIOUS!$U288</f>
        <v>26.6165578944</v>
      </c>
      <c r="BT24" s="57">
        <f t="shared" si="193"/>
        <v>-0.5625</v>
      </c>
      <c r="BU24" s="78">
        <f t="shared" si="194"/>
        <v>0.65625</v>
      </c>
      <c r="BV24" s="75">
        <f t="shared" si="195"/>
        <v>1</v>
      </c>
      <c r="BW24" s="119">
        <f t="shared" si="196"/>
        <v>-34.375</v>
      </c>
      <c r="BX24" s="99">
        <f>Serviceorderfile_Current!$I282*Serviceorderfile_Current!$U284</f>
        <v>76.245348135</v>
      </c>
      <c r="BY24" s="93">
        <f>Serviceorderfile_PREVIOUS!$I282*Serviceorderfile_PREVIOUS!$U284</f>
        <v>0</v>
      </c>
      <c r="BZ24" s="57">
        <f t="shared" si="197"/>
        <v>1</v>
      </c>
      <c r="CA24" s="78">
        <f t="shared" si="198"/>
        <v>0.99637681159420299</v>
      </c>
      <c r="CB24" s="75" t="e">
        <f t="shared" si="199"/>
        <v>#DIV/0!</v>
      </c>
      <c r="CC24" s="119" t="e">
        <f t="shared" si="200"/>
        <v>#DIV/0!</v>
      </c>
      <c r="CD24" s="118">
        <f t="shared" si="201"/>
        <v>2059.1789112678002</v>
      </c>
      <c r="CE24" s="77">
        <f t="shared" si="202"/>
        <v>2184.7757938320001</v>
      </c>
      <c r="CF24" s="57">
        <f t="shared" si="203"/>
        <v>-5.7487309644669971E-2</v>
      </c>
      <c r="CG24" s="78">
        <f t="shared" si="204"/>
        <v>0.42578684859255866</v>
      </c>
      <c r="CH24" s="75">
        <f t="shared" si="154"/>
        <v>0.4973177658567372</v>
      </c>
      <c r="CI24" s="119">
        <f t="shared" si="205"/>
        <v>-7.1530917264178537</v>
      </c>
      <c r="CJ24" s="85"/>
      <c r="CK24" s="110" t="s">
        <v>7</v>
      </c>
      <c r="CL24" s="99">
        <f>Serviceorderfile_Current!$J284*Serviceorderfile_Current!$U284</f>
        <v>178.82999835300001</v>
      </c>
      <c r="CM24" s="93">
        <f>Serviceorderfile_PREVIOUS!$J284*Serviceorderfile_PREVIOUS!$U284</f>
        <v>30.220883442599998</v>
      </c>
      <c r="CN24" s="57">
        <f t="shared" si="206"/>
        <v>4.9174311926605512</v>
      </c>
      <c r="CO24" s="99">
        <f>Serviceorderfile_Current!$J286*Serviceorderfile_Current!$U286</f>
        <v>368.75022916199998</v>
      </c>
      <c r="CP24" s="93">
        <f>Serviceorderfile_PREVIOUS!$J286*Serviceorderfile_PREVIOUS!$U286</f>
        <v>73.195534209599998</v>
      </c>
      <c r="CQ24" s="57">
        <f t="shared" si="207"/>
        <v>4.0378787878787881</v>
      </c>
      <c r="CR24" s="99">
        <f>Serviceorderfile_Current!$J285*Serviceorderfile_Current!$U285</f>
        <v>128.6466964896</v>
      </c>
      <c r="CS24" s="93">
        <f>Serviceorderfile_PREVIOUS!$J285*Serviceorderfile_PREVIOUS!$U285</f>
        <v>26.0620462716</v>
      </c>
      <c r="CT24" s="57">
        <f t="shared" si="208"/>
        <v>3.9361702127659575</v>
      </c>
      <c r="CU24" s="99">
        <f>Serviceorderfile_Current!$J287*Serviceorderfile_Current!$U287</f>
        <v>180.21627741</v>
      </c>
      <c r="CV24" s="93">
        <f>Serviceorderfile_PREVIOUS!$J287*Serviceorderfile_PREVIOUS!$U287</f>
        <v>158.59032412080001</v>
      </c>
      <c r="CW24" s="57">
        <f t="shared" si="209"/>
        <v>0.13636363636363624</v>
      </c>
      <c r="CX24" s="99">
        <f>Serviceorderfile_Current!$J288*Serviceorderfile_Current!$U288</f>
        <v>6.0996278508000001</v>
      </c>
      <c r="CY24" s="93">
        <f>Serviceorderfile_PREVIOUS!$J288*Serviceorderfile_PREVIOUS!$U288</f>
        <v>0</v>
      </c>
      <c r="CZ24" s="57">
        <f t="shared" si="210"/>
        <v>1</v>
      </c>
      <c r="DA24" s="99">
        <f>Serviceorderfile_Current!$J282*Serviceorderfile_Current!$U284</f>
        <v>0</v>
      </c>
      <c r="DB24" s="93">
        <f>Serviceorderfile_PREVIOUS!$J282*Serviceorderfile_PREVIOUS!$U284</f>
        <v>0</v>
      </c>
      <c r="DC24" s="57">
        <f t="shared" si="211"/>
        <v>1</v>
      </c>
      <c r="DD24" s="118">
        <f t="shared" si="167"/>
        <v>862.54282926539986</v>
      </c>
      <c r="DE24" s="77">
        <f t="shared" si="168"/>
        <v>288.06878804460001</v>
      </c>
      <c r="DF24" s="57">
        <f t="shared" si="212"/>
        <v>1.9942252165543786</v>
      </c>
      <c r="DG24" s="86"/>
      <c r="DH24" s="110" t="s">
        <v>7</v>
      </c>
      <c r="DI24" s="99">
        <f>Serviceorderfile_Current!$K284*Serviceorderfile_Current!$U284</f>
        <v>0</v>
      </c>
      <c r="DJ24" s="93">
        <f>Serviceorderfile_PREVIOUS!$K284*Serviceorderfile_PREVIOUS!$U284</f>
        <v>13.5855347586</v>
      </c>
      <c r="DK24" s="57">
        <f t="shared" si="213"/>
        <v>-1</v>
      </c>
      <c r="DL24" s="99">
        <f>Serviceorderfile_Current!$K286*Serviceorderfile_Current!$U286</f>
        <v>17.1898603068</v>
      </c>
      <c r="DM24" s="93">
        <f>Serviceorderfile_PREVIOUS!$K286*Serviceorderfile_PREVIOUS!$U286</f>
        <v>35.4887438592</v>
      </c>
      <c r="DN24" s="57">
        <f t="shared" si="214"/>
        <v>-0.515625</v>
      </c>
      <c r="DO24" s="99">
        <f>Serviceorderfile_Current!$K285*Serviceorderfile_Current!$U285</f>
        <v>5.2678604165999996</v>
      </c>
      <c r="DP24" s="93">
        <f>Serviceorderfile_PREVIOUS!$K285*Serviceorderfile_PREVIOUS!$U285</f>
        <v>42.142883332799997</v>
      </c>
      <c r="DQ24" s="57">
        <f t="shared" si="215"/>
        <v>-0.875</v>
      </c>
      <c r="DR24" s="99">
        <f>Serviceorderfile_Current!$K287*Serviceorderfile_Current!$U287</f>
        <v>125.5968825642</v>
      </c>
      <c r="DS24" s="93">
        <f>Serviceorderfile_PREVIOUS!$K287*Serviceorderfile_PREVIOUS!$U287</f>
        <v>91.494417761999998</v>
      </c>
      <c r="DT24" s="57">
        <f t="shared" si="216"/>
        <v>0.3727272727272728</v>
      </c>
      <c r="DU24" s="99">
        <f>Serviceorderfile_Current!$K288*Serviceorderfile_Current!$U288</f>
        <v>0</v>
      </c>
      <c r="DV24" s="93">
        <f>Serviceorderfile_PREVIOUS!$K288*Serviceorderfile_PREVIOUS!$U288</f>
        <v>0</v>
      </c>
      <c r="DW24" s="57">
        <f t="shared" si="217"/>
        <v>1</v>
      </c>
      <c r="DX24" s="99">
        <f>Serviceorderfile_Current!$K282*Serviceorderfile_Current!$U284</f>
        <v>0</v>
      </c>
      <c r="DY24" s="93">
        <f>Serviceorderfile_PREVIOUS!$K282*Serviceorderfile_PREVIOUS!$U284</f>
        <v>0</v>
      </c>
      <c r="DZ24" s="57">
        <f t="shared" si="218"/>
        <v>1</v>
      </c>
      <c r="EA24" s="118">
        <f t="shared" si="169"/>
        <v>148.0546032876</v>
      </c>
      <c r="EB24" s="77">
        <f t="shared" si="170"/>
        <v>182.71157971259998</v>
      </c>
      <c r="EC24" s="57">
        <f t="shared" si="219"/>
        <v>-0.18968133535660081</v>
      </c>
      <c r="ED24" s="94"/>
      <c r="EE24" s="124" t="s">
        <v>7</v>
      </c>
      <c r="EF24" s="76">
        <f>Serviceorderfile_Current!$V281</f>
        <v>0.94517315091919629</v>
      </c>
      <c r="EG24" s="57">
        <f>Aged!E18</f>
        <v>0.44</v>
      </c>
      <c r="EH24" s="99">
        <f>Serviceorderfile_Current!$U276*Serviceorderfile_Current!$H276</f>
        <v>2011.4909117069999</v>
      </c>
      <c r="EI24" s="93">
        <f>Serviceorderfile_PREVIOUS!$U276*Serviceorderfile_PREVIOUS!$H276</f>
        <v>2541.0495114810001</v>
      </c>
      <c r="EJ24" s="57">
        <f t="shared" si="47"/>
        <v>-0.20840152755046382</v>
      </c>
      <c r="EK24" s="99">
        <f>Serviceorderfile_Current!$U278*Serviceorderfile_Current!$H278</f>
        <v>10372.4171602854</v>
      </c>
      <c r="EL24" s="93">
        <f>Serviceorderfile_PREVIOUS!$U278*Serviceorderfile_PREVIOUS!$H278</f>
        <v>8591.6030836631999</v>
      </c>
      <c r="EM24" s="57">
        <f t="shared" si="220"/>
        <v>0.20727378340002578</v>
      </c>
      <c r="EN24" s="99">
        <f>Serviceorderfile_Current!$U277*Serviceorderfile_Current!$H277</f>
        <v>2395.4902104960001</v>
      </c>
      <c r="EO24" s="93">
        <f>Serviceorderfile_PREVIOUS!$U277*Serviceorderfile_PREVIOUS!$H277</f>
        <v>1373.8025454870001</v>
      </c>
      <c r="EP24" s="57">
        <f t="shared" si="221"/>
        <v>0.7436932391523714</v>
      </c>
      <c r="EQ24" s="99">
        <f>Serviceorderfile_Current!$U279*Serviceorderfile_Current!$H279</f>
        <v>1433.1352891265999</v>
      </c>
      <c r="ER24" s="93">
        <f>Serviceorderfile_PREVIOUS!$U279*Serviceorderfile_PREVIOUS!$H279</f>
        <v>2002.0642141194</v>
      </c>
      <c r="ES24" s="57">
        <f t="shared" si="222"/>
        <v>-0.28417116742833415</v>
      </c>
      <c r="ET24" s="99">
        <f>Serviceorderfile_Current!$U280*Serviceorderfile_Current!$H280</f>
        <v>11.090232455999999</v>
      </c>
      <c r="EU24" s="93">
        <f>Serviceorderfile_PREVIOUS!$U280*Serviceorderfile_PREVIOUS!$H280</f>
        <v>0</v>
      </c>
      <c r="EV24" s="57">
        <f t="shared" si="223"/>
        <v>1</v>
      </c>
      <c r="EW24" s="84"/>
      <c r="EX24" s="76">
        <f>Serviceorderfile_Current!$V274</f>
        <v>1</v>
      </c>
      <c r="EY24" s="47">
        <f>Aged!E71</f>
        <v>1</v>
      </c>
      <c r="EZ24" s="99">
        <f>Serviceorderfile_Current!$U274*Serviceorderfile_Current!$H274</f>
        <v>1222.1436166512001</v>
      </c>
      <c r="FA24" s="93">
        <f>Serviceorderfile_PREVIOUS!$U274*Serviceorderfile_PREVIOUS!$H274</f>
        <v>1264.2864999839999</v>
      </c>
      <c r="FB24" s="57">
        <f t="shared" si="224"/>
        <v>-3.3333333333333215E-2</v>
      </c>
      <c r="FC24" s="84"/>
      <c r="FD24" s="118">
        <f t="shared" si="66"/>
        <v>17445.767420722201</v>
      </c>
      <c r="FE24" s="77">
        <f t="shared" si="67"/>
        <v>15772.805854734601</v>
      </c>
      <c r="FF24" s="57">
        <f t="shared" si="53"/>
        <v>0.10606619908945492</v>
      </c>
      <c r="FG24" s="94"/>
      <c r="FH24" s="84"/>
      <c r="FI24" s="84"/>
      <c r="FJ24" s="84"/>
      <c r="FK24" s="84"/>
      <c r="FL24" s="84"/>
      <c r="FM24" s="84"/>
      <c r="FN24" s="84"/>
      <c r="FO24" s="84"/>
      <c r="FP24" s="84"/>
      <c r="FQ24" s="84"/>
      <c r="FR24" s="84"/>
      <c r="FS24" s="84"/>
      <c r="FT24" s="84"/>
      <c r="FU24" s="84"/>
      <c r="FV24" s="84"/>
      <c r="FW24" s="84"/>
      <c r="FX24" s="84"/>
    </row>
    <row r="25" spans="1:180" s="63" customFormat="1" ht="12" customHeight="1" x14ac:dyDescent="0.25">
      <c r="A25" s="110" t="s">
        <v>10</v>
      </c>
      <c r="B25" s="99">
        <f>Serviceorderfile_Current!$W216</f>
        <v>512.08617434600001</v>
      </c>
      <c r="C25" s="93">
        <f>Serviceorderfile_PREVIOUS!$W216</f>
        <v>341.00754223399997</v>
      </c>
      <c r="D25" s="57">
        <f t="shared" si="152"/>
        <v>0.50168577208361453</v>
      </c>
      <c r="E25" s="93">
        <f>'YOY Orders'!$J28</f>
        <v>1060.503563576</v>
      </c>
      <c r="F25" s="93">
        <f>'YOY Orders'!$B28</f>
        <v>808.71444776600003</v>
      </c>
      <c r="G25" s="57">
        <f t="shared" si="171"/>
        <v>0.31134489621836781</v>
      </c>
      <c r="H25" s="99">
        <f>Serviceorderfile_Current!$W218</f>
        <v>955.878862486</v>
      </c>
      <c r="I25" s="93">
        <f>Serviceorderfile_PREVIOUS!$W218</f>
        <v>521.97378345999994</v>
      </c>
      <c r="J25" s="57">
        <f t="shared" si="2"/>
        <v>0.8312775330396478</v>
      </c>
      <c r="K25" s="93">
        <f>'YOY Orders'!$K28</f>
        <v>1085.3375585599999</v>
      </c>
      <c r="L25" s="93">
        <f>'YOY Orders'!$C28</f>
        <v>1201.689423948</v>
      </c>
      <c r="M25" s="57">
        <f t="shared" si="172"/>
        <v>-9.6823574435514814E-2</v>
      </c>
      <c r="N25" s="99">
        <f>Serviceorderfile_Current!$W217</f>
        <v>124.859808114</v>
      </c>
      <c r="O25" s="93">
        <f>Serviceorderfile_PREVIOUS!$W217</f>
        <v>141.18586037200001</v>
      </c>
      <c r="P25" s="57">
        <f t="shared" si="4"/>
        <v>-0.11563517915309451</v>
      </c>
      <c r="Q25" s="93">
        <f>'YOY Orders'!$O28</f>
        <v>110.60325543799999</v>
      </c>
      <c r="R25" s="93">
        <f>'YOY Orders'!$G28</f>
        <v>234.77323035800001</v>
      </c>
      <c r="S25" s="57">
        <f t="shared" si="173"/>
        <v>-0.52889324191968656</v>
      </c>
      <c r="T25" s="99">
        <f>Serviceorderfile_Current!$W219</f>
        <v>842.97616306800001</v>
      </c>
      <c r="U25" s="93">
        <f>Serviceorderfile_PREVIOUS!$W219</f>
        <v>537.61000252400004</v>
      </c>
      <c r="V25" s="57">
        <f t="shared" si="6"/>
        <v>0.5680068434559451</v>
      </c>
      <c r="W25" s="93">
        <f>'YOY Orders'!$L28</f>
        <v>1081.1985593960001</v>
      </c>
      <c r="X25" s="93">
        <f>'YOY Orders'!$D28</f>
        <v>650.05281314599995</v>
      </c>
      <c r="Y25" s="57">
        <f t="shared" si="174"/>
        <v>0.66324725857799804</v>
      </c>
      <c r="Z25" s="99">
        <f>Serviceorderfile_Current!$W220</f>
        <v>102.32525711</v>
      </c>
      <c r="AA25" s="93">
        <f>Serviceorderfile_PREVIOUS!$W220</f>
        <v>25.063939382000001</v>
      </c>
      <c r="AB25" s="57">
        <f t="shared" si="8"/>
        <v>3.0825688073394488</v>
      </c>
      <c r="AC25" s="93">
        <f>'YOY Orders'!$N28</f>
        <v>144.175137546</v>
      </c>
      <c r="AD25" s="93">
        <f>'YOY Orders'!$F28</f>
        <v>236.15289674599998</v>
      </c>
      <c r="AE25" s="57">
        <f t="shared" si="175"/>
        <v>-0.38948393378773116</v>
      </c>
      <c r="AF25" s="99">
        <f>Serviceorderfile_Current!$W214</f>
        <v>42.539713630000001</v>
      </c>
      <c r="AG25" s="93">
        <f>Serviceorderfile_PREVIOUS!$W214</f>
        <v>40.010325252000001</v>
      </c>
      <c r="AH25" s="57">
        <f t="shared" si="10"/>
        <v>6.321839080459779E-2</v>
      </c>
      <c r="AI25" s="93">
        <f>'YOY Orders'!$M28</f>
        <v>156.822079436</v>
      </c>
      <c r="AJ25" s="93">
        <f>'YOY Orders'!$E28</f>
        <v>148.544081108</v>
      </c>
      <c r="AK25" s="57">
        <f t="shared" si="176"/>
        <v>5.5727554179566541E-2</v>
      </c>
      <c r="AL25" s="116">
        <f t="shared" si="54"/>
        <v>2580.6659787540002</v>
      </c>
      <c r="AM25" s="56">
        <f t="shared" si="55"/>
        <v>1606.8514532240001</v>
      </c>
      <c r="AN25" s="57">
        <f t="shared" si="12"/>
        <v>0.60603892386949054</v>
      </c>
      <c r="AO25" s="116">
        <f t="shared" si="165"/>
        <v>3638.6401539520002</v>
      </c>
      <c r="AP25" s="56">
        <f t="shared" si="166"/>
        <v>3279.926893072</v>
      </c>
      <c r="AQ25" s="57">
        <f t="shared" si="177"/>
        <v>0.1093662366797532</v>
      </c>
      <c r="AR25" s="72"/>
      <c r="AS25" s="110" t="s">
        <v>10</v>
      </c>
      <c r="AT25" s="99">
        <f>Serviceorderfile_Current!$I216*Serviceorderfile_Current!$U216</f>
        <v>203.040903434</v>
      </c>
      <c r="AU25" s="93">
        <f>Serviceorderfile_PREVIOUS!$I216*Serviceorderfile_PREVIOUS!$U216</f>
        <v>306.28593813599997</v>
      </c>
      <c r="AV25" s="57">
        <f t="shared" si="178"/>
        <v>-0.33708708708708701</v>
      </c>
      <c r="AW25" s="78">
        <f t="shared" si="179"/>
        <v>0.39649753030983387</v>
      </c>
      <c r="AX25" s="75">
        <f t="shared" si="16"/>
        <v>0.89817936614969651</v>
      </c>
      <c r="AY25" s="119">
        <f t="shared" si="180"/>
        <v>-50.16818358398627</v>
      </c>
      <c r="AZ25" s="99">
        <f>Serviceorderfile_Current!$I218*Serviceorderfile_Current!$U218</f>
        <v>125.08975251199999</v>
      </c>
      <c r="BA25" s="93">
        <f>Serviceorderfile_PREVIOUS!$I218*Serviceorderfile_PREVIOUS!$U218</f>
        <v>460.34868479599999</v>
      </c>
      <c r="BB25" s="57">
        <f t="shared" si="181"/>
        <v>-0.72827172827172826</v>
      </c>
      <c r="BC25" s="78">
        <f t="shared" si="182"/>
        <v>0.13086360356025978</v>
      </c>
      <c r="BD25" s="75">
        <f t="shared" si="183"/>
        <v>0.88193832599118949</v>
      </c>
      <c r="BE25" s="119">
        <f t="shared" si="184"/>
        <v>-75.107472243092971</v>
      </c>
      <c r="BF25" s="99">
        <f>Serviceorderfile_Current!$I217*Serviceorderfile_Current!$U217</f>
        <v>23.914217391999998</v>
      </c>
      <c r="BG25" s="93">
        <f>Serviceorderfile_PREVIOUS!$I217*Serviceorderfile_PREVIOUS!$U217</f>
        <v>15.866163461999999</v>
      </c>
      <c r="BH25" s="57">
        <f t="shared" si="185"/>
        <v>0.50724637681159401</v>
      </c>
      <c r="BI25" s="78">
        <f t="shared" si="186"/>
        <v>0.19152854511970532</v>
      </c>
      <c r="BJ25" s="75">
        <f t="shared" si="187"/>
        <v>0.11237785016286644</v>
      </c>
      <c r="BK25" s="119">
        <f t="shared" si="188"/>
        <v>7.9150694956838876</v>
      </c>
      <c r="BL25" s="99">
        <f>Serviceorderfile_Current!$I219*Serviceorderfile_Current!$U219</f>
        <v>203.50079223</v>
      </c>
      <c r="BM25" s="93">
        <f>Serviceorderfile_PREVIOUS!$I219*Serviceorderfile_PREVIOUS!$U219</f>
        <v>181.886018818</v>
      </c>
      <c r="BN25" s="57">
        <f t="shared" si="189"/>
        <v>0.11883691529709228</v>
      </c>
      <c r="BO25" s="78">
        <f t="shared" si="190"/>
        <v>0.2414075286415712</v>
      </c>
      <c r="BP25" s="75">
        <f t="shared" si="191"/>
        <v>0.33832335329341312</v>
      </c>
      <c r="BQ25" s="119">
        <f t="shared" si="192"/>
        <v>-9.691582465184192</v>
      </c>
      <c r="BR25" s="99">
        <f>Serviceorderfile_Current!$I220*Serviceorderfile_Current!$U220</f>
        <v>23.684272994000001</v>
      </c>
      <c r="BS25" s="93">
        <f>Serviceorderfile_PREVIOUS!$I220*Serviceorderfile_PREVIOUS!$U220</f>
        <v>21.844717809999999</v>
      </c>
      <c r="BT25" s="57">
        <f t="shared" si="193"/>
        <v>8.4210526315789513E-2</v>
      </c>
      <c r="BU25" s="78">
        <f t="shared" si="194"/>
        <v>0.2314606741573034</v>
      </c>
      <c r="BV25" s="75">
        <f t="shared" si="195"/>
        <v>0.87155963302752282</v>
      </c>
      <c r="BW25" s="119">
        <f t="shared" si="196"/>
        <v>-64.009895887021941</v>
      </c>
      <c r="BX25" s="99">
        <f>Serviceorderfile_Current!$I214*Serviceorderfile_Current!$U216</f>
        <v>23.914217391999998</v>
      </c>
      <c r="BY25" s="93">
        <f>Serviceorderfile_PREVIOUS!$I214*Serviceorderfile_PREVIOUS!$U216</f>
        <v>40.010325252000001</v>
      </c>
      <c r="BZ25" s="57">
        <f t="shared" si="197"/>
        <v>-0.40229885057471271</v>
      </c>
      <c r="CA25" s="78">
        <f t="shared" si="198"/>
        <v>0.56216216216216208</v>
      </c>
      <c r="CB25" s="75">
        <f t="shared" si="199"/>
        <v>1</v>
      </c>
      <c r="CC25" s="119">
        <f t="shared" si="200"/>
        <v>-43.78378378378379</v>
      </c>
      <c r="CD25" s="118">
        <f t="shared" si="201"/>
        <v>603.1441559540001</v>
      </c>
      <c r="CE25" s="77">
        <f t="shared" si="202"/>
        <v>1026.2418482739999</v>
      </c>
      <c r="CF25" s="57">
        <f t="shared" si="203"/>
        <v>-0.41227873627604739</v>
      </c>
      <c r="CG25" s="78">
        <f t="shared" si="204"/>
        <v>0.23371647509578547</v>
      </c>
      <c r="CH25" s="75">
        <f t="shared" si="154"/>
        <v>0.63866628506010292</v>
      </c>
      <c r="CI25" s="119">
        <f t="shared" si="205"/>
        <v>-40.494980996431742</v>
      </c>
      <c r="CJ25" s="85"/>
      <c r="CK25" s="110" t="s">
        <v>10</v>
      </c>
      <c r="CL25" s="99">
        <f>Serviceorderfile_Current!$J216*Serviceorderfile_Current!$U216</f>
        <v>211.318901762</v>
      </c>
      <c r="CM25" s="93">
        <f>Serviceorderfile_PREVIOUS!$J216*Serviceorderfile_PREVIOUS!$U216</f>
        <v>34.261715301999999</v>
      </c>
      <c r="CN25" s="57">
        <f t="shared" si="206"/>
        <v>5.1677852348993287</v>
      </c>
      <c r="CO25" s="99">
        <f>Serviceorderfile_Current!$J218*Serviceorderfile_Current!$U218</f>
        <v>464.48768395999997</v>
      </c>
      <c r="CP25" s="93">
        <f>Serviceorderfile_PREVIOUS!$J218*Serviceorderfile_PREVIOUS!$U218</f>
        <v>0.91977759199999998</v>
      </c>
      <c r="CQ25" s="57">
        <f t="shared" si="207"/>
        <v>504</v>
      </c>
      <c r="CR25" s="99">
        <f>Serviceorderfile_Current!$J217*Serviceorderfile_Current!$U217</f>
        <v>23.914217391999998</v>
      </c>
      <c r="CS25" s="93">
        <f>Serviceorderfile_PREVIOUS!$J217*Serviceorderfile_PREVIOUS!$U217</f>
        <v>22.994439799999999</v>
      </c>
      <c r="CT25" s="57">
        <f t="shared" si="208"/>
        <v>4.0000000000000036E-2</v>
      </c>
      <c r="CU25" s="99">
        <f>Serviceorderfile_Current!$J219*Serviceorderfile_Current!$U219</f>
        <v>239.60206271600001</v>
      </c>
      <c r="CV25" s="93">
        <f>Serviceorderfile_PREVIOUS!$J219*Serviceorderfile_PREVIOUS!$U219</f>
        <v>37.250992476</v>
      </c>
      <c r="CW25" s="57">
        <f t="shared" si="209"/>
        <v>5.4320987654320989</v>
      </c>
      <c r="CX25" s="99">
        <f>Serviceorderfile_Current!$J220*Serviceorderfile_Current!$U220</f>
        <v>49.43804557</v>
      </c>
      <c r="CY25" s="93">
        <f>Serviceorderfile_PREVIOUS!$J220*Serviceorderfile_PREVIOUS!$U220</f>
        <v>3.2192215719999999</v>
      </c>
      <c r="CZ25" s="57">
        <f t="shared" si="210"/>
        <v>14.357142857142858</v>
      </c>
      <c r="DA25" s="99">
        <f>Serviceorderfile_Current!$J214*Serviceorderfile_Current!$U216</f>
        <v>18.625496238</v>
      </c>
      <c r="DB25" s="93">
        <f>Serviceorderfile_PREVIOUS!$J214*Serviceorderfile_PREVIOUS!$U216</f>
        <v>0</v>
      </c>
      <c r="DC25" s="57">
        <f t="shared" si="211"/>
        <v>1</v>
      </c>
      <c r="DD25" s="118">
        <f t="shared" si="167"/>
        <v>1007.3864076379998</v>
      </c>
      <c r="DE25" s="77">
        <f t="shared" si="168"/>
        <v>98.646146741999999</v>
      </c>
      <c r="DF25" s="57">
        <f t="shared" si="212"/>
        <v>9.212121212121211</v>
      </c>
      <c r="DG25" s="86"/>
      <c r="DH25" s="110" t="s">
        <v>10</v>
      </c>
      <c r="DI25" s="99">
        <f>Serviceorderfile_Current!$K216*Serviceorderfile_Current!$U216</f>
        <v>97.036535955999994</v>
      </c>
      <c r="DJ25" s="93">
        <f>Serviceorderfile_PREVIOUS!$K216*Serviceorderfile_PREVIOUS!$U216</f>
        <v>0</v>
      </c>
      <c r="DK25" s="57">
        <f t="shared" si="213"/>
        <v>1</v>
      </c>
      <c r="DL25" s="99">
        <f>Serviceorderfile_Current!$K218*Serviceorderfile_Current!$U218</f>
        <v>313.414214474</v>
      </c>
      <c r="DM25" s="93">
        <f>Serviceorderfile_PREVIOUS!$K218*Serviceorderfile_PREVIOUS!$U218</f>
        <v>10.34749791</v>
      </c>
      <c r="DN25" s="57">
        <f t="shared" si="214"/>
        <v>29.288888888888891</v>
      </c>
      <c r="DO25" s="99">
        <f>Serviceorderfile_Current!$K217*Serviceorderfile_Current!$U217</f>
        <v>13.796663880000001</v>
      </c>
      <c r="DP25" s="93">
        <f>Serviceorderfile_PREVIOUS!$K217*Serviceorderfile_PREVIOUS!$U217</f>
        <v>18.855440636000001</v>
      </c>
      <c r="DQ25" s="57">
        <f t="shared" si="215"/>
        <v>-0.26829268292682928</v>
      </c>
      <c r="DR25" s="99">
        <f>Serviceorderfile_Current!$K219*Serviceorderfile_Current!$U219</f>
        <v>29.202938545999999</v>
      </c>
      <c r="DS25" s="93">
        <f>Serviceorderfile_PREVIOUS!$K219*Serviceorderfile_PREVIOUS!$U219</f>
        <v>26.443605769999998</v>
      </c>
      <c r="DT25" s="57">
        <f t="shared" si="216"/>
        <v>0.10434782608695659</v>
      </c>
      <c r="DU25" s="99">
        <f>Serviceorderfile_Current!$K220*Serviceorderfile_Current!$U220</f>
        <v>25.983716974</v>
      </c>
      <c r="DV25" s="93">
        <f>Serviceorderfile_PREVIOUS!$K220*Serviceorderfile_PREVIOUS!$U220</f>
        <v>0</v>
      </c>
      <c r="DW25" s="57">
        <f t="shared" si="217"/>
        <v>1</v>
      </c>
      <c r="DX25" s="99">
        <f>Serviceorderfile_Current!$K214*Serviceorderfile_Current!$U216</f>
        <v>0</v>
      </c>
      <c r="DY25" s="93">
        <f>Serviceorderfile_PREVIOUS!$K214*Serviceorderfile_PREVIOUS!$U216</f>
        <v>0</v>
      </c>
      <c r="DZ25" s="57">
        <f t="shared" si="218"/>
        <v>1</v>
      </c>
      <c r="EA25" s="118">
        <f t="shared" si="169"/>
        <v>479.43406982999994</v>
      </c>
      <c r="EB25" s="77">
        <f t="shared" si="170"/>
        <v>55.646544315999996</v>
      </c>
      <c r="EC25" s="57">
        <f t="shared" si="219"/>
        <v>7.615702479338843</v>
      </c>
      <c r="ED25" s="94"/>
      <c r="EE25" s="124" t="s">
        <v>10</v>
      </c>
      <c r="EF25" s="76">
        <f>Serviceorderfile_Current!$V213</f>
        <v>0.92586398094787936</v>
      </c>
      <c r="EG25" s="57">
        <f>Aged!E14</f>
        <v>0.74</v>
      </c>
      <c r="EH25" s="99">
        <f>Serviceorderfile_Current!$U208*Serviceorderfile_Current!$H208</f>
        <v>2524.3296012440001</v>
      </c>
      <c r="EI25" s="93">
        <f>Serviceorderfile_PREVIOUS!$U208*Serviceorderfile_PREVIOUS!$H208</f>
        <v>2305.6524787459998</v>
      </c>
      <c r="EJ25" s="57">
        <f t="shared" si="47"/>
        <v>9.4843921412187226E-2</v>
      </c>
      <c r="EK25" s="99">
        <f>Serviceorderfile_Current!$U210*Serviceorderfile_Current!$H210</f>
        <v>5672.9582430579994</v>
      </c>
      <c r="EL25" s="93">
        <f>Serviceorderfile_PREVIOUS!$U210*Serviceorderfile_PREVIOUS!$H210</f>
        <v>5081.7711958</v>
      </c>
      <c r="EM25" s="57">
        <f t="shared" si="220"/>
        <v>0.11633484162895913</v>
      </c>
      <c r="EN25" s="99">
        <f>Serviceorderfile_Current!$U209*Serviceorderfile_Current!$H209</f>
        <v>4179.6993224460002</v>
      </c>
      <c r="EO25" s="93">
        <f>Serviceorderfile_PREVIOUS!$U209*Serviceorderfile_PREVIOUS!$H209</f>
        <v>2809.230710366</v>
      </c>
      <c r="EP25" s="57">
        <f t="shared" si="221"/>
        <v>0.48784480641728734</v>
      </c>
      <c r="EQ25" s="99">
        <f>Serviceorderfile_Current!$U211*Serviceorderfile_Current!$H211</f>
        <v>271.56433403799997</v>
      </c>
      <c r="ER25" s="93">
        <f>Serviceorderfile_PREVIOUS!$U211*Serviceorderfile_PREVIOUS!$H211</f>
        <v>336.17870987599997</v>
      </c>
      <c r="ES25" s="57">
        <f t="shared" si="222"/>
        <v>-0.19220246238030103</v>
      </c>
      <c r="ET25" s="99">
        <f>Serviceorderfile_Current!$U212*Serviceorderfile_Current!$H212</f>
        <v>0</v>
      </c>
      <c r="EU25" s="93">
        <f>Serviceorderfile_PREVIOUS!$U212*Serviceorderfile_PREVIOUS!$H212</f>
        <v>0</v>
      </c>
      <c r="EV25" s="57">
        <f t="shared" si="223"/>
        <v>1</v>
      </c>
      <c r="EW25" s="84"/>
      <c r="EX25" s="76">
        <f>Serviceorderfile_Current!$V206</f>
        <v>1</v>
      </c>
      <c r="EY25" s="47">
        <f>Aged!E67</f>
        <v>1</v>
      </c>
      <c r="EZ25" s="99">
        <f>Serviceorderfile_Current!$U206*Serviceorderfile_Current!$H206</f>
        <v>342.84709741799998</v>
      </c>
      <c r="FA25" s="93">
        <f>Serviceorderfile_PREVIOUS!$U206*Serviceorderfile_PREVIOUS!$H206</f>
        <v>378.48847910799998</v>
      </c>
      <c r="FB25" s="57">
        <f t="shared" si="224"/>
        <v>-9.4167679222357248E-2</v>
      </c>
      <c r="FC25" s="84"/>
      <c r="FD25" s="118">
        <f t="shared" si="66"/>
        <v>12991.398598203999</v>
      </c>
      <c r="FE25" s="77">
        <f t="shared" si="67"/>
        <v>10911.321573896001</v>
      </c>
      <c r="FF25" s="57">
        <f t="shared" si="53"/>
        <v>0.19063474669139335</v>
      </c>
      <c r="FG25" s="94"/>
      <c r="FH25" s="84"/>
      <c r="FI25" s="84"/>
      <c r="FJ25" s="84"/>
      <c r="FK25" s="84"/>
      <c r="FL25" s="84"/>
      <c r="FM25" s="84"/>
      <c r="FN25" s="84"/>
      <c r="FO25" s="84"/>
      <c r="FP25" s="84"/>
      <c r="FQ25" s="84"/>
      <c r="FR25" s="84"/>
      <c r="FS25" s="84"/>
      <c r="FT25" s="84"/>
      <c r="FU25" s="84"/>
      <c r="FV25" s="84"/>
      <c r="FW25" s="84"/>
      <c r="FX25" s="84"/>
    </row>
    <row r="26" spans="1:180" s="63" customFormat="1" ht="12" customHeight="1" x14ac:dyDescent="0.25">
      <c r="A26" s="110" t="s">
        <v>79</v>
      </c>
      <c r="B26" s="99">
        <f>Serviceorderfile_Current!$W250</f>
        <v>94</v>
      </c>
      <c r="C26" s="93">
        <f>Serviceorderfile_PREVIOUS!$W250</f>
        <v>22.324999999999999</v>
      </c>
      <c r="D26" s="57">
        <f t="shared" ref="D26" si="225">IF(C26&gt;0,B26/C26-1,1)</f>
        <v>3.2105263157894735</v>
      </c>
      <c r="E26" s="93">
        <f>'YOY Orders'!$J30</f>
        <v>229.125</v>
      </c>
      <c r="F26" s="93">
        <f>'YOY Orders'!$B30</f>
        <v>142.17500000000001</v>
      </c>
      <c r="G26" s="57">
        <f t="shared" ref="G26" si="226">IF(F26&gt;0,E26/F26-1,1)</f>
        <v>0.61157024793388426</v>
      </c>
      <c r="H26" s="99">
        <f>Serviceorderfile_Current!$W252</f>
        <v>160.97499999999999</v>
      </c>
      <c r="I26" s="93">
        <f>Serviceorderfile_PREVIOUS!$W252</f>
        <v>5.875</v>
      </c>
      <c r="J26" s="57">
        <f t="shared" si="2"/>
        <v>26.4</v>
      </c>
      <c r="K26" s="93">
        <f>'YOY Orders'!$K30</f>
        <v>472.35</v>
      </c>
      <c r="L26" s="93">
        <f>'YOY Orders'!$C30</f>
        <v>301.97500000000002</v>
      </c>
      <c r="M26" s="57">
        <f t="shared" si="172"/>
        <v>0.56420233463035019</v>
      </c>
      <c r="N26" s="99">
        <f>Serviceorderfile_Current!$W251</f>
        <v>242.05</v>
      </c>
      <c r="O26" s="93">
        <f>Serviceorderfile_PREVIOUS!$W251</f>
        <v>118.67500000000001</v>
      </c>
      <c r="P26" s="57">
        <f t="shared" si="4"/>
        <v>1.0396039603960396</v>
      </c>
      <c r="Q26" s="93">
        <f>'YOY Orders'!$O30</f>
        <v>327.82499999999999</v>
      </c>
      <c r="R26" s="93">
        <f>'YOY Orders'!$G30</f>
        <v>165.67500000000001</v>
      </c>
      <c r="S26" s="57">
        <f t="shared" si="173"/>
        <v>0.97872340425531901</v>
      </c>
      <c r="T26" s="99">
        <f>Serviceorderfile_Current!$W253</f>
        <v>669.75</v>
      </c>
      <c r="U26" s="93">
        <f>Serviceorderfile_PREVIOUS!$W253</f>
        <v>393.625</v>
      </c>
      <c r="V26" s="57">
        <f t="shared" si="6"/>
        <v>0.70149253731343286</v>
      </c>
      <c r="W26" s="93">
        <f>'YOY Orders'!$L30</f>
        <v>662.7</v>
      </c>
      <c r="X26" s="93">
        <f>'YOY Orders'!$D30</f>
        <v>401.85</v>
      </c>
      <c r="Y26" s="57">
        <f t="shared" si="174"/>
        <v>0.64912280701754388</v>
      </c>
      <c r="Z26" s="99">
        <f>Serviceorderfile_Current!$W254</f>
        <v>0</v>
      </c>
      <c r="AA26" s="93">
        <f>Serviceorderfile_PREVIOUS!$W254</f>
        <v>2.35</v>
      </c>
      <c r="AB26" s="57">
        <f t="shared" si="8"/>
        <v>-1</v>
      </c>
      <c r="AC26" s="93">
        <f>'YOY Orders'!$N30</f>
        <v>16.45</v>
      </c>
      <c r="AD26" s="93">
        <f>'YOY Orders'!$F30</f>
        <v>10.575000000000001</v>
      </c>
      <c r="AE26" s="57">
        <f t="shared" si="175"/>
        <v>0.55555555555555536</v>
      </c>
      <c r="AF26" s="99">
        <f>Serviceorderfile_Current!$W248</f>
        <v>0</v>
      </c>
      <c r="AG26" s="93">
        <f>Serviceorderfile_PREVIOUS!$W248</f>
        <v>0</v>
      </c>
      <c r="AH26" s="57">
        <f t="shared" si="10"/>
        <v>1</v>
      </c>
      <c r="AI26" s="93">
        <f>'YOY Orders'!$M30</f>
        <v>0</v>
      </c>
      <c r="AJ26" s="93">
        <f>'YOY Orders'!$E30</f>
        <v>0</v>
      </c>
      <c r="AK26" s="57">
        <f t="shared" si="176"/>
        <v>1</v>
      </c>
      <c r="AL26" s="116">
        <f t="shared" si="54"/>
        <v>1166.7749999999999</v>
      </c>
      <c r="AM26" s="56">
        <f t="shared" si="55"/>
        <v>542.85</v>
      </c>
      <c r="AN26" s="57">
        <f t="shared" si="12"/>
        <v>1.1493506493506489</v>
      </c>
      <c r="AO26" s="116">
        <f t="shared" si="165"/>
        <v>1708.4500000000003</v>
      </c>
      <c r="AP26" s="56">
        <f t="shared" si="166"/>
        <v>1022.2500000000001</v>
      </c>
      <c r="AQ26" s="57">
        <f t="shared" si="177"/>
        <v>0.67126436781609211</v>
      </c>
      <c r="AR26" s="72"/>
      <c r="AS26" s="110" t="s">
        <v>79</v>
      </c>
      <c r="AT26" s="99">
        <f>Serviceorderfile_Current!$I250*Serviceorderfile_Current!$U250</f>
        <v>48.175000000000004</v>
      </c>
      <c r="AU26" s="93">
        <f>Serviceorderfile_PREVIOUS!$I250*Serviceorderfile_PREVIOUS!$U250</f>
        <v>22.324999999999999</v>
      </c>
      <c r="AV26" s="57">
        <f t="shared" si="178"/>
        <v>1.1578947368421053</v>
      </c>
      <c r="AW26" s="78">
        <f t="shared" ref="AW26" si="227">AT26/B26</f>
        <v>0.51250000000000007</v>
      </c>
      <c r="AX26" s="75">
        <f t="shared" ref="AX26" si="228">AU26/C26</f>
        <v>1</v>
      </c>
      <c r="AY26" s="119">
        <f t="shared" ref="AY26" si="229">(AW26-AX26)*100</f>
        <v>-48.749999999999993</v>
      </c>
      <c r="AZ26" s="99">
        <f>Serviceorderfile_Current!$I252*Serviceorderfile_Current!$U252</f>
        <v>85.775000000000006</v>
      </c>
      <c r="BA26" s="93">
        <f>Serviceorderfile_PREVIOUS!$I252*Serviceorderfile_PREVIOUS!$U252</f>
        <v>5.875</v>
      </c>
      <c r="BB26" s="57">
        <f t="shared" si="181"/>
        <v>13.600000000000001</v>
      </c>
      <c r="BC26" s="78">
        <f t="shared" si="182"/>
        <v>0.53284671532846717</v>
      </c>
      <c r="BD26" s="75">
        <f t="shared" si="183"/>
        <v>1</v>
      </c>
      <c r="BE26" s="119">
        <f t="shared" si="184"/>
        <v>-46.715328467153284</v>
      </c>
      <c r="BF26" s="99">
        <f>Serviceorderfile_Current!$I251*Serviceorderfile_Current!$U251</f>
        <v>86.95</v>
      </c>
      <c r="BG26" s="93">
        <f>Serviceorderfile_PREVIOUS!$I251*Serviceorderfile_PREVIOUS!$U251</f>
        <v>16.45</v>
      </c>
      <c r="BH26" s="57">
        <f t="shared" si="185"/>
        <v>4.2857142857142865</v>
      </c>
      <c r="BI26" s="78">
        <f t="shared" si="186"/>
        <v>0.35922330097087379</v>
      </c>
      <c r="BJ26" s="75">
        <f t="shared" si="187"/>
        <v>0.1386138613861386</v>
      </c>
      <c r="BK26" s="119">
        <f t="shared" si="188"/>
        <v>22.060943958473519</v>
      </c>
      <c r="BL26" s="99">
        <f>Serviceorderfile_Current!$I253*Serviceorderfile_Current!$U253</f>
        <v>103.4</v>
      </c>
      <c r="BM26" s="93">
        <f>Serviceorderfile_PREVIOUS!$I253*Serviceorderfile_PREVIOUS!$U253</f>
        <v>102.22500000000001</v>
      </c>
      <c r="BN26" s="57">
        <f t="shared" si="189"/>
        <v>1.1494252873563093E-2</v>
      </c>
      <c r="BO26" s="78">
        <f t="shared" si="190"/>
        <v>0.15438596491228071</v>
      </c>
      <c r="BP26" s="75">
        <f t="shared" si="191"/>
        <v>0.25970149253731345</v>
      </c>
      <c r="BQ26" s="119">
        <f t="shared" si="192"/>
        <v>-10.531552762503274</v>
      </c>
      <c r="BR26" s="99">
        <f>Serviceorderfile_Current!$I254*Serviceorderfile_Current!$U254</f>
        <v>0</v>
      </c>
      <c r="BS26" s="93">
        <f>Serviceorderfile_PREVIOUS!$I254*Serviceorderfile_PREVIOUS!$U254</f>
        <v>2.35</v>
      </c>
      <c r="BT26" s="57">
        <f t="shared" si="193"/>
        <v>-1</v>
      </c>
      <c r="BU26" s="78" t="e">
        <f t="shared" si="194"/>
        <v>#DIV/0!</v>
      </c>
      <c r="BV26" s="75">
        <f t="shared" si="195"/>
        <v>1</v>
      </c>
      <c r="BW26" s="119" t="e">
        <f t="shared" si="196"/>
        <v>#DIV/0!</v>
      </c>
      <c r="BX26" s="99">
        <f>Serviceorderfile_Current!$I248*Serviceorderfile_Current!$U250</f>
        <v>0</v>
      </c>
      <c r="BY26" s="93">
        <f>Serviceorderfile_PREVIOUS!$I248*Serviceorderfile_PREVIOUS!$U250</f>
        <v>0</v>
      </c>
      <c r="BZ26" s="57">
        <f t="shared" si="197"/>
        <v>1</v>
      </c>
      <c r="CA26" s="78" t="e">
        <f t="shared" si="198"/>
        <v>#DIV/0!</v>
      </c>
      <c r="CB26" s="75" t="e">
        <f t="shared" si="199"/>
        <v>#DIV/0!</v>
      </c>
      <c r="CC26" s="119" t="e">
        <f t="shared" si="200"/>
        <v>#DIV/0!</v>
      </c>
      <c r="CD26" s="118">
        <f t="shared" ref="CD26" si="230">AT26+BL26+BR26+BX26+BF26+AZ26</f>
        <v>324.30000000000007</v>
      </c>
      <c r="CE26" s="77">
        <f t="shared" ref="CE26" si="231">AU26+BM26+BS26+BY26+BG26+BA26</f>
        <v>149.22499999999999</v>
      </c>
      <c r="CF26" s="57">
        <f t="shared" ref="CF26" si="232">IF(CE26&gt;0,CD26/CE26-1,1)</f>
        <v>1.1732283464566935</v>
      </c>
      <c r="CG26" s="78">
        <f t="shared" ref="CG26" si="233">CD26/AL26</f>
        <v>0.2779456193353475</v>
      </c>
      <c r="CH26" s="75">
        <f t="shared" ref="CH26" si="234">CE26/AM26</f>
        <v>0.27489177489177485</v>
      </c>
      <c r="CI26" s="119">
        <f t="shared" ref="CI26" si="235">(CG26-CH26)*100</f>
        <v>0.30538444435726508</v>
      </c>
      <c r="CJ26" s="85"/>
      <c r="CK26" s="110" t="s">
        <v>79</v>
      </c>
      <c r="CL26" s="99">
        <f>Serviceorderfile_Current!$J250*Serviceorderfile_Current!$U250</f>
        <v>23.5</v>
      </c>
      <c r="CM26" s="93">
        <f>Serviceorderfile_PREVIOUS!$J250*Serviceorderfile_PREVIOUS!$U250</f>
        <v>0</v>
      </c>
      <c r="CN26" s="57">
        <f t="shared" si="206"/>
        <v>1</v>
      </c>
      <c r="CO26" s="99">
        <f>Serviceorderfile_Current!$J252*Serviceorderfile_Current!$U252</f>
        <v>75.2</v>
      </c>
      <c r="CP26" s="93">
        <f>Serviceorderfile_PREVIOUS!$J252*Serviceorderfile_PREVIOUS!$U252</f>
        <v>0</v>
      </c>
      <c r="CQ26" s="57">
        <f t="shared" si="207"/>
        <v>1</v>
      </c>
      <c r="CR26" s="99">
        <f>Serviceorderfile_Current!$J251*Serviceorderfile_Current!$U251</f>
        <v>28.200000000000003</v>
      </c>
      <c r="CS26" s="93">
        <f>Serviceorderfile_PREVIOUS!$J251*Serviceorderfile_PREVIOUS!$U251</f>
        <v>30.55</v>
      </c>
      <c r="CT26" s="57">
        <f t="shared" si="208"/>
        <v>-7.6923076923076872E-2</v>
      </c>
      <c r="CU26" s="99">
        <f>Serviceorderfile_Current!$J253*Serviceorderfile_Current!$U253</f>
        <v>102.22500000000001</v>
      </c>
      <c r="CV26" s="93">
        <f>Serviceorderfile_PREVIOUS!$J253*Serviceorderfile_PREVIOUS!$U253</f>
        <v>39.950000000000003</v>
      </c>
      <c r="CW26" s="57">
        <f t="shared" si="209"/>
        <v>1.5588235294117649</v>
      </c>
      <c r="CX26" s="99">
        <f>Serviceorderfile_Current!$J254*Serviceorderfile_Current!$U254</f>
        <v>0</v>
      </c>
      <c r="CY26" s="93">
        <f>Serviceorderfile_PREVIOUS!$J254*Serviceorderfile_PREVIOUS!$U254</f>
        <v>0</v>
      </c>
      <c r="CZ26" s="57">
        <f t="shared" si="210"/>
        <v>1</v>
      </c>
      <c r="DA26" s="99">
        <f>Serviceorderfile_Current!$J248*Serviceorderfile_Current!$U250</f>
        <v>0</v>
      </c>
      <c r="DB26" s="93">
        <f>Serviceorderfile_PREVIOUS!$J248*Serviceorderfile_PREVIOUS!$U250</f>
        <v>0</v>
      </c>
      <c r="DC26" s="57">
        <f t="shared" si="211"/>
        <v>1</v>
      </c>
      <c r="DD26" s="118">
        <f t="shared" si="167"/>
        <v>229.125</v>
      </c>
      <c r="DE26" s="77">
        <f t="shared" si="168"/>
        <v>70.5</v>
      </c>
      <c r="DF26" s="57">
        <f t="shared" si="212"/>
        <v>2.25</v>
      </c>
      <c r="DG26" s="86"/>
      <c r="DH26" s="110" t="s">
        <v>79</v>
      </c>
      <c r="DI26" s="99">
        <f>Serviceorderfile_Current!$K250*Serviceorderfile_Current!$U250</f>
        <v>0</v>
      </c>
      <c r="DJ26" s="93">
        <f>Serviceorderfile_PREVIOUS!$K250*Serviceorderfile_PREVIOUS!$U250</f>
        <v>0</v>
      </c>
      <c r="DK26" s="57">
        <f t="shared" si="213"/>
        <v>1</v>
      </c>
      <c r="DL26" s="99">
        <f>Serviceorderfile_Current!$K252*Serviceorderfile_Current!$U252</f>
        <v>0</v>
      </c>
      <c r="DM26" s="93">
        <f>Serviceorderfile_PREVIOUS!$K252*Serviceorderfile_PREVIOUS!$U252</f>
        <v>0</v>
      </c>
      <c r="DN26" s="57">
        <f t="shared" si="214"/>
        <v>1</v>
      </c>
      <c r="DO26" s="99">
        <f>Serviceorderfile_Current!$K251*Serviceorderfile_Current!$U251</f>
        <v>39.950000000000003</v>
      </c>
      <c r="DP26" s="93">
        <f>Serviceorderfile_PREVIOUS!$K251*Serviceorderfile_PREVIOUS!$U251</f>
        <v>24.675000000000001</v>
      </c>
      <c r="DQ26" s="57">
        <f t="shared" si="215"/>
        <v>0.61904761904761907</v>
      </c>
      <c r="DR26" s="99">
        <f>Serviceorderfile_Current!$K253*Serviceorderfile_Current!$U253</f>
        <v>86.95</v>
      </c>
      <c r="DS26" s="93">
        <f>Serviceorderfile_PREVIOUS!$K253*Serviceorderfile_PREVIOUS!$U253</f>
        <v>38.774999999999999</v>
      </c>
      <c r="DT26" s="57">
        <f t="shared" si="216"/>
        <v>1.2424242424242427</v>
      </c>
      <c r="DU26" s="99">
        <f>Serviceorderfile_Current!$K254*Serviceorderfile_Current!$U254</f>
        <v>0</v>
      </c>
      <c r="DV26" s="93">
        <f>Serviceorderfile_PREVIOUS!$K254*Serviceorderfile_PREVIOUS!$U254</f>
        <v>0</v>
      </c>
      <c r="DW26" s="57">
        <f t="shared" si="217"/>
        <v>1</v>
      </c>
      <c r="DX26" s="99">
        <f>Serviceorderfile_Current!$K248*Serviceorderfile_Current!$U250</f>
        <v>0</v>
      </c>
      <c r="DY26" s="93">
        <f>Serviceorderfile_PREVIOUS!$K248*Serviceorderfile_PREVIOUS!$U250</f>
        <v>0</v>
      </c>
      <c r="DZ26" s="57">
        <f t="shared" si="218"/>
        <v>1</v>
      </c>
      <c r="EA26" s="118">
        <f t="shared" si="169"/>
        <v>126.9</v>
      </c>
      <c r="EB26" s="77">
        <f t="shared" si="170"/>
        <v>63.45</v>
      </c>
      <c r="EC26" s="57">
        <f t="shared" si="219"/>
        <v>1</v>
      </c>
      <c r="ED26" s="94"/>
      <c r="EE26" s="124" t="s">
        <v>79</v>
      </c>
      <c r="EF26" s="76">
        <f>Serviceorderfile_Current!$V247</f>
        <v>0.88514285714285712</v>
      </c>
      <c r="EG26" s="57">
        <f>Aged!E16</f>
        <v>0.94</v>
      </c>
      <c r="EH26" s="99">
        <f>Serviceorderfile_Current!$U242*Serviceorderfile_Current!$H242</f>
        <v>392.45</v>
      </c>
      <c r="EI26" s="93">
        <f>Serviceorderfile_PREVIOUS!$U242*Serviceorderfile_PREVIOUS!$H242</f>
        <v>190.35</v>
      </c>
      <c r="EJ26" s="57">
        <f t="shared" ref="EJ26" si="236">IF(EI26&gt;0,EH26/EI26-1,1)</f>
        <v>1.0617283950617282</v>
      </c>
      <c r="EK26" s="99">
        <f>Serviceorderfile_Current!$U244*Serviceorderfile_Current!$H244</f>
        <v>1038.7</v>
      </c>
      <c r="EL26" s="93">
        <f>Serviceorderfile_PREVIOUS!$U244*Serviceorderfile_PREVIOUS!$H244</f>
        <v>1311.3</v>
      </c>
      <c r="EM26" s="57">
        <f t="shared" si="220"/>
        <v>-0.20788530465949817</v>
      </c>
      <c r="EN26" s="99">
        <f>Serviceorderfile_Current!$U243*Serviceorderfile_Current!$H243</f>
        <v>493.5</v>
      </c>
      <c r="EO26" s="93">
        <f>Serviceorderfile_PREVIOUS!$U243*Serviceorderfile_PREVIOUS!$H243</f>
        <v>944.7</v>
      </c>
      <c r="EP26" s="57">
        <f t="shared" si="221"/>
        <v>-0.47761194029850751</v>
      </c>
      <c r="EQ26" s="99">
        <f>Serviceorderfile_Current!$U245*Serviceorderfile_Current!$H245</f>
        <v>131.6</v>
      </c>
      <c r="ER26" s="93">
        <f>Serviceorderfile_PREVIOUS!$U245*Serviceorderfile_PREVIOUS!$H245</f>
        <v>240.875</v>
      </c>
      <c r="ES26" s="57">
        <f t="shared" si="222"/>
        <v>-0.45365853658536592</v>
      </c>
      <c r="ET26" s="99">
        <f>Serviceorderfile_Current!$U246*Serviceorderfile_Current!$H246</f>
        <v>0</v>
      </c>
      <c r="EU26" s="93">
        <f>Serviceorderfile_PREVIOUS!$U246*Serviceorderfile_PREVIOUS!$H246</f>
        <v>3.5250000000000004</v>
      </c>
      <c r="EV26" s="57">
        <f t="shared" si="223"/>
        <v>-1</v>
      </c>
      <c r="EW26" s="84"/>
      <c r="EX26" s="76">
        <f>Serviceorderfile_Current!$V240</f>
        <v>0</v>
      </c>
      <c r="EY26" s="47">
        <f>Aged!E69</f>
        <v>0</v>
      </c>
      <c r="EZ26" s="99">
        <f>Serviceorderfile_Current!$U240*Serviceorderfile_Current!$H240</f>
        <v>18.8</v>
      </c>
      <c r="FA26" s="93">
        <f>Serviceorderfile_PREVIOUS!$U240*Serviceorderfile_PREVIOUS!$H240</f>
        <v>18.8</v>
      </c>
      <c r="FB26" s="57">
        <f t="shared" si="224"/>
        <v>0</v>
      </c>
      <c r="FC26" s="84"/>
      <c r="FD26" s="118">
        <f t="shared" si="66"/>
        <v>2075.0499999999997</v>
      </c>
      <c r="FE26" s="77">
        <f t="shared" si="67"/>
        <v>2709.5499999999997</v>
      </c>
      <c r="FF26" s="57">
        <f t="shared" ref="FF26" si="237">IF(FE26&gt;0,FD26/FE26-1,1)</f>
        <v>-0.23417172593235036</v>
      </c>
      <c r="FG26" s="94"/>
      <c r="FH26" s="84"/>
      <c r="FI26" s="84"/>
      <c r="FJ26" s="84"/>
      <c r="FK26" s="84"/>
      <c r="FL26" s="84"/>
      <c r="FM26" s="84"/>
      <c r="FN26" s="84"/>
      <c r="FO26" s="84"/>
      <c r="FP26" s="84"/>
      <c r="FQ26" s="84"/>
      <c r="FR26" s="84"/>
      <c r="FS26" s="84"/>
      <c r="FT26" s="84"/>
      <c r="FU26" s="84"/>
      <c r="FV26" s="84"/>
      <c r="FW26" s="84"/>
      <c r="FX26" s="84"/>
    </row>
    <row r="27" spans="1:180" s="63" customFormat="1" ht="12" customHeight="1" x14ac:dyDescent="0.25">
      <c r="A27" s="110" t="s">
        <v>5</v>
      </c>
      <c r="B27" s="99">
        <f>Serviceorderfile_Current!$W420</f>
        <v>1280.75</v>
      </c>
      <c r="C27" s="93">
        <f>Serviceorderfile_PREVIOUS!$W420</f>
        <v>1602.7</v>
      </c>
      <c r="D27" s="57">
        <f t="shared" si="152"/>
        <v>-0.20087976539589447</v>
      </c>
      <c r="E27" s="93">
        <f>'YOY Orders'!$J14</f>
        <v>2953.9500000000003</v>
      </c>
      <c r="F27" s="93">
        <f>'YOY Orders'!$B14</f>
        <v>4348.6750000000002</v>
      </c>
      <c r="G27" s="57">
        <f t="shared" si="171"/>
        <v>-0.3207241286138881</v>
      </c>
      <c r="H27" s="99">
        <f>Serviceorderfile_Current!$W422</f>
        <v>4858.625</v>
      </c>
      <c r="I27" s="93">
        <f>Serviceorderfile_PREVIOUS!$W422</f>
        <v>2816.4749999999999</v>
      </c>
      <c r="J27" s="57">
        <f t="shared" si="2"/>
        <v>0.72507300792657503</v>
      </c>
      <c r="K27" s="93">
        <f>'YOY Orders'!$K14</f>
        <v>8135.7000000000007</v>
      </c>
      <c r="L27" s="93">
        <f>'YOY Orders'!$C14</f>
        <v>4869.2</v>
      </c>
      <c r="M27" s="57">
        <f t="shared" si="172"/>
        <v>0.67084942084942112</v>
      </c>
      <c r="N27" s="99">
        <f>Serviceorderfile_Current!$W421</f>
        <v>8801.9250000000011</v>
      </c>
      <c r="O27" s="93">
        <f>Serviceorderfile_PREVIOUS!$W421</f>
        <v>7824.3250000000007</v>
      </c>
      <c r="P27" s="57">
        <f t="shared" si="4"/>
        <v>0.12494368523802368</v>
      </c>
      <c r="Q27" s="93">
        <f>'YOY Orders'!$O14</f>
        <v>10934.550000000001</v>
      </c>
      <c r="R27" s="93">
        <f>'YOY Orders'!$G14</f>
        <v>9396.4750000000004</v>
      </c>
      <c r="S27" s="57">
        <f t="shared" si="173"/>
        <v>0.16368638239339761</v>
      </c>
      <c r="T27" s="99">
        <f>Serviceorderfile_Current!$W423</f>
        <v>12700.575000000001</v>
      </c>
      <c r="U27" s="93">
        <f>Serviceorderfile_PREVIOUS!$W423</f>
        <v>7937.125</v>
      </c>
      <c r="V27" s="57">
        <f t="shared" si="6"/>
        <v>0.60014803849000753</v>
      </c>
      <c r="W27" s="93">
        <f>'YOY Orders'!$L14</f>
        <v>9431.7250000000004</v>
      </c>
      <c r="X27" s="93">
        <f>'YOY Orders'!$D14</f>
        <v>7750.3</v>
      </c>
      <c r="Y27" s="57">
        <f t="shared" si="174"/>
        <v>0.21694966646452407</v>
      </c>
      <c r="Z27" s="99">
        <f>Serviceorderfile_Current!$W424</f>
        <v>949.40000000000009</v>
      </c>
      <c r="AA27" s="93">
        <f>Serviceorderfile_PREVIOUS!$W424</f>
        <v>654.47500000000002</v>
      </c>
      <c r="AB27" s="57">
        <f t="shared" si="8"/>
        <v>0.45062836624775593</v>
      </c>
      <c r="AC27" s="93">
        <f>'YOY Orders'!$N14</f>
        <v>1632.075</v>
      </c>
      <c r="AD27" s="93">
        <f>'YOY Orders'!$F14</f>
        <v>1243.1500000000001</v>
      </c>
      <c r="AE27" s="57">
        <f t="shared" si="175"/>
        <v>0.31285444234404536</v>
      </c>
      <c r="AF27" s="99">
        <f>Serviceorderfile_Current!$W418</f>
        <v>258.5</v>
      </c>
      <c r="AG27" s="93">
        <f>Serviceorderfile_PREVIOUS!$W418</f>
        <v>85.775000000000006</v>
      </c>
      <c r="AH27" s="57">
        <f t="shared" si="10"/>
        <v>2.0136986301369859</v>
      </c>
      <c r="AI27" s="93">
        <f>'YOY Orders'!$M14</f>
        <v>1102.1500000000001</v>
      </c>
      <c r="AJ27" s="93">
        <f>'YOY Orders'!$E14</f>
        <v>1076.3</v>
      </c>
      <c r="AK27" s="57">
        <f t="shared" si="176"/>
        <v>2.4017467248908408E-2</v>
      </c>
      <c r="AL27" s="116">
        <f t="shared" si="54"/>
        <v>28849.775000000001</v>
      </c>
      <c r="AM27" s="56">
        <f t="shared" si="55"/>
        <v>20920.875</v>
      </c>
      <c r="AN27" s="57">
        <f t="shared" si="12"/>
        <v>0.37899466442010676</v>
      </c>
      <c r="AO27" s="116">
        <f t="shared" si="165"/>
        <v>34190.150000000009</v>
      </c>
      <c r="AP27" s="56">
        <f t="shared" si="166"/>
        <v>28684.100000000002</v>
      </c>
      <c r="AQ27" s="57">
        <f t="shared" si="177"/>
        <v>0.19195477633950531</v>
      </c>
      <c r="AR27" s="72"/>
      <c r="AS27" s="110" t="s">
        <v>5</v>
      </c>
      <c r="AT27" s="99">
        <f>Serviceorderfile_Current!$I420*Serviceorderfile_Current!$U420</f>
        <v>606.30000000000007</v>
      </c>
      <c r="AU27" s="93">
        <f>Serviceorderfile_PREVIOUS!$I420*Serviceorderfile_PREVIOUS!$U420</f>
        <v>1156.2</v>
      </c>
      <c r="AV27" s="57">
        <f t="shared" si="178"/>
        <v>-0.47560975609756095</v>
      </c>
      <c r="AW27" s="78">
        <f t="shared" si="179"/>
        <v>0.47339449541284406</v>
      </c>
      <c r="AX27" s="75">
        <f t="shared" si="16"/>
        <v>0.72140762463343111</v>
      </c>
      <c r="AY27" s="119">
        <f t="shared" si="180"/>
        <v>-24.801312922058706</v>
      </c>
      <c r="AZ27" s="99">
        <f>Serviceorderfile_Current!$I422*Serviceorderfile_Current!$U422</f>
        <v>1542.7750000000001</v>
      </c>
      <c r="BA27" s="93">
        <f>Serviceorderfile_PREVIOUS!$I422*Serviceorderfile_PREVIOUS!$U422</f>
        <v>1160.9000000000001</v>
      </c>
      <c r="BB27" s="57">
        <f t="shared" si="181"/>
        <v>0.32894736842105265</v>
      </c>
      <c r="BC27" s="78">
        <f t="shared" si="182"/>
        <v>0.31753325272067717</v>
      </c>
      <c r="BD27" s="75">
        <f t="shared" si="183"/>
        <v>0.41218189403420946</v>
      </c>
      <c r="BE27" s="119">
        <f t="shared" si="184"/>
        <v>-9.4648641313532291</v>
      </c>
      <c r="BF27" s="99">
        <f>Serviceorderfile_Current!$I421*Serviceorderfile_Current!$U421</f>
        <v>1863.5500000000002</v>
      </c>
      <c r="BG27" s="93">
        <f>Serviceorderfile_PREVIOUS!$I421*Serviceorderfile_PREVIOUS!$U421</f>
        <v>1535.7250000000001</v>
      </c>
      <c r="BH27" s="57">
        <f t="shared" si="185"/>
        <v>0.21346595256312173</v>
      </c>
      <c r="BI27" s="78">
        <f t="shared" si="186"/>
        <v>0.21172073154452009</v>
      </c>
      <c r="BJ27" s="75">
        <f t="shared" si="187"/>
        <v>0.19627571707463584</v>
      </c>
      <c r="BK27" s="119">
        <f t="shared" si="188"/>
        <v>1.5445014469884248</v>
      </c>
      <c r="BL27" s="99">
        <f>Serviceorderfile_Current!$I423*Serviceorderfile_Current!$U423</f>
        <v>4007.9250000000002</v>
      </c>
      <c r="BM27" s="93">
        <f>Serviceorderfile_PREVIOUS!$I423*Serviceorderfile_PREVIOUS!$U423</f>
        <v>1874.125</v>
      </c>
      <c r="BN27" s="57">
        <f t="shared" si="189"/>
        <v>1.1385579937304078</v>
      </c>
      <c r="BO27" s="78">
        <f t="shared" si="190"/>
        <v>0.31557035803497085</v>
      </c>
      <c r="BP27" s="75">
        <f t="shared" si="191"/>
        <v>0.23612139156180606</v>
      </c>
      <c r="BQ27" s="119">
        <f t="shared" si="192"/>
        <v>7.9448966473164795</v>
      </c>
      <c r="BR27" s="99">
        <f>Serviceorderfile_Current!$I424*Serviceorderfile_Current!$U424</f>
        <v>179.77500000000001</v>
      </c>
      <c r="BS27" s="93">
        <f>Serviceorderfile_PREVIOUS!$I424*Serviceorderfile_PREVIOUS!$U424</f>
        <v>213.85</v>
      </c>
      <c r="BT27" s="57">
        <f t="shared" si="193"/>
        <v>-0.15934065934065933</v>
      </c>
      <c r="BU27" s="78">
        <f t="shared" si="194"/>
        <v>0.18935643564356436</v>
      </c>
      <c r="BV27" s="75">
        <f t="shared" si="195"/>
        <v>0.32675044883303411</v>
      </c>
      <c r="BW27" s="119">
        <f t="shared" si="196"/>
        <v>-13.739401318946975</v>
      </c>
      <c r="BX27" s="99">
        <f>Serviceorderfile_Current!$I418*Serviceorderfile_Current!$U420</f>
        <v>231.47500000000002</v>
      </c>
      <c r="BY27" s="93">
        <f>Serviceorderfile_PREVIOUS!$I418*Serviceorderfile_PREVIOUS!$U420</f>
        <v>68.150000000000006</v>
      </c>
      <c r="BZ27" s="57">
        <f t="shared" si="197"/>
        <v>2.396551724137931</v>
      </c>
      <c r="CA27" s="78">
        <f t="shared" si="198"/>
        <v>0.8954545454545455</v>
      </c>
      <c r="CB27" s="75">
        <f t="shared" si="199"/>
        <v>0.79452054794520555</v>
      </c>
      <c r="CC27" s="119">
        <f t="shared" si="200"/>
        <v>10.093399750933996</v>
      </c>
      <c r="CD27" s="118">
        <f t="shared" si="201"/>
        <v>8431.8000000000011</v>
      </c>
      <c r="CE27" s="77">
        <f t="shared" si="202"/>
        <v>6008.9500000000007</v>
      </c>
      <c r="CF27" s="57">
        <f t="shared" si="203"/>
        <v>0.40320688306609309</v>
      </c>
      <c r="CG27" s="78">
        <f t="shared" si="204"/>
        <v>0.29226571091109033</v>
      </c>
      <c r="CH27" s="75">
        <f t="shared" si="154"/>
        <v>0.28722269025554625</v>
      </c>
      <c r="CI27" s="119">
        <f t="shared" si="205"/>
        <v>0.50430206555440726</v>
      </c>
      <c r="CJ27" s="85"/>
      <c r="CK27" s="110" t="s">
        <v>5</v>
      </c>
      <c r="CL27" s="99">
        <f>Serviceorderfile_Current!$J420*Serviceorderfile_Current!$U420</f>
        <v>383.05</v>
      </c>
      <c r="CM27" s="93">
        <f>Serviceorderfile_PREVIOUS!$J420*Serviceorderfile_PREVIOUS!$U420</f>
        <v>292.57499999999999</v>
      </c>
      <c r="CN27" s="57">
        <f t="shared" si="206"/>
        <v>0.30923694779116473</v>
      </c>
      <c r="CO27" s="99">
        <f>Serviceorderfile_Current!$J422*Serviceorderfile_Current!$U422</f>
        <v>1273.7</v>
      </c>
      <c r="CP27" s="93">
        <f>Serviceorderfile_PREVIOUS!$J422*Serviceorderfile_PREVIOUS!$U422</f>
        <v>612.17500000000007</v>
      </c>
      <c r="CQ27" s="57">
        <f t="shared" si="207"/>
        <v>1.0806142034548945</v>
      </c>
      <c r="CR27" s="99">
        <f>Serviceorderfile_Current!$J421*Serviceorderfile_Current!$U421</f>
        <v>1259.6000000000001</v>
      </c>
      <c r="CS27" s="93">
        <f>Serviceorderfile_PREVIOUS!$J421*Serviceorderfile_PREVIOUS!$U421</f>
        <v>1348.9</v>
      </c>
      <c r="CT27" s="57">
        <f t="shared" si="208"/>
        <v>-6.6202090592334506E-2</v>
      </c>
      <c r="CU27" s="99">
        <f>Serviceorderfile_Current!$J423*Serviceorderfile_Current!$U423</f>
        <v>2044.5</v>
      </c>
      <c r="CV27" s="93">
        <f>Serviceorderfile_PREVIOUS!$J423*Serviceorderfile_PREVIOUS!$U423</f>
        <v>1009.325</v>
      </c>
      <c r="CW27" s="57">
        <f t="shared" si="209"/>
        <v>1.0256111757857975</v>
      </c>
      <c r="CX27" s="99">
        <f>Serviceorderfile_Current!$J424*Serviceorderfile_Current!$U424</f>
        <v>205.625</v>
      </c>
      <c r="CY27" s="93">
        <f>Serviceorderfile_PREVIOUS!$J424*Serviceorderfile_PREVIOUS!$U424</f>
        <v>267.90000000000003</v>
      </c>
      <c r="CZ27" s="57">
        <f t="shared" si="210"/>
        <v>-0.23245614035087725</v>
      </c>
      <c r="DA27" s="99">
        <f>Serviceorderfile_Current!$J418*Serviceorderfile_Current!$U420</f>
        <v>27.025000000000002</v>
      </c>
      <c r="DB27" s="93">
        <f>Serviceorderfile_PREVIOUS!$J418*Serviceorderfile_PREVIOUS!$U420</f>
        <v>9.4</v>
      </c>
      <c r="DC27" s="57">
        <f t="shared" si="211"/>
        <v>1.875</v>
      </c>
      <c r="DD27" s="118">
        <f t="shared" si="167"/>
        <v>5193.5</v>
      </c>
      <c r="DE27" s="77">
        <f t="shared" si="168"/>
        <v>3540.2750000000005</v>
      </c>
      <c r="DF27" s="57">
        <f t="shared" si="212"/>
        <v>0.46697643544639877</v>
      </c>
      <c r="DG27" s="86"/>
      <c r="DH27" s="110" t="s">
        <v>5</v>
      </c>
      <c r="DI27" s="99">
        <f>Serviceorderfile_Current!$K420*Serviceorderfile_Current!$U420</f>
        <v>191.52500000000001</v>
      </c>
      <c r="DJ27" s="93">
        <f>Serviceorderfile_PREVIOUS!$K420*Serviceorderfile_PREVIOUS!$U420</f>
        <v>89.3</v>
      </c>
      <c r="DK27" s="57">
        <f t="shared" si="213"/>
        <v>1.1447368421052633</v>
      </c>
      <c r="DL27" s="99">
        <f>Serviceorderfile_Current!$K422*Serviceorderfile_Current!$U422</f>
        <v>794.30000000000007</v>
      </c>
      <c r="DM27" s="93">
        <f>Serviceorderfile_PREVIOUS!$K422*Serviceorderfile_PREVIOUS!$U422</f>
        <v>344.27500000000003</v>
      </c>
      <c r="DN27" s="57">
        <f t="shared" si="214"/>
        <v>1.3071672354948807</v>
      </c>
      <c r="DO27" s="99">
        <f>Serviceorderfile_Current!$K421*Serviceorderfile_Current!$U421</f>
        <v>1236.1000000000001</v>
      </c>
      <c r="DP27" s="93">
        <f>Serviceorderfile_PREVIOUS!$K421*Serviceorderfile_PREVIOUS!$U421</f>
        <v>1320.7</v>
      </c>
      <c r="DQ27" s="57">
        <f t="shared" si="215"/>
        <v>-6.4056939501779264E-2</v>
      </c>
      <c r="DR27" s="99">
        <f>Serviceorderfile_Current!$K423*Serviceorderfile_Current!$U423</f>
        <v>1078.6500000000001</v>
      </c>
      <c r="DS27" s="93">
        <f>Serviceorderfile_PREVIOUS!$K423*Serviceorderfile_PREVIOUS!$U423</f>
        <v>673.27499999999998</v>
      </c>
      <c r="DT27" s="57">
        <f t="shared" si="216"/>
        <v>0.60209424083769658</v>
      </c>
      <c r="DU27" s="99">
        <f>Serviceorderfile_Current!$K424*Serviceorderfile_Current!$U424</f>
        <v>256.15000000000003</v>
      </c>
      <c r="DV27" s="93">
        <f>Serviceorderfile_PREVIOUS!$K424*Serviceorderfile_PREVIOUS!$U424</f>
        <v>82.25</v>
      </c>
      <c r="DW27" s="57">
        <f t="shared" si="217"/>
        <v>2.1142857142857148</v>
      </c>
      <c r="DX27" s="99">
        <f>Serviceorderfile_Current!$K418*Serviceorderfile_Current!$U420</f>
        <v>0</v>
      </c>
      <c r="DY27" s="93">
        <f>Serviceorderfile_PREVIOUS!$K418*Serviceorderfile_PREVIOUS!$U420</f>
        <v>8.2249999999999996</v>
      </c>
      <c r="DZ27" s="57">
        <f t="shared" si="218"/>
        <v>-1</v>
      </c>
      <c r="EA27" s="118">
        <f t="shared" si="169"/>
        <v>3556.7250000000004</v>
      </c>
      <c r="EB27" s="77">
        <f t="shared" si="170"/>
        <v>2518.0250000000001</v>
      </c>
      <c r="EC27" s="57">
        <f t="shared" si="219"/>
        <v>0.41250583294447041</v>
      </c>
      <c r="ED27" s="94"/>
      <c r="EE27" s="124" t="s">
        <v>5</v>
      </c>
      <c r="EF27" s="76">
        <f>Serviceorderfile_Current!$V417</f>
        <v>0.91922976671445322</v>
      </c>
      <c r="EG27" s="57">
        <f>Aged!E26</f>
        <v>0.61</v>
      </c>
      <c r="EH27" s="99">
        <f>Serviceorderfile_Current!$U412*Serviceorderfile_Current!$H412</f>
        <v>4313.4250000000002</v>
      </c>
      <c r="EI27" s="93">
        <f>Serviceorderfile_PREVIOUS!$U412*Serviceorderfile_PREVIOUS!$H412</f>
        <v>6684.5749999999998</v>
      </c>
      <c r="EJ27" s="57">
        <f t="shared" si="47"/>
        <v>-0.35471963438214094</v>
      </c>
      <c r="EK27" s="99">
        <f>Serviceorderfile_Current!$U414*Serviceorderfile_Current!$H414</f>
        <v>14843.775000000001</v>
      </c>
      <c r="EL27" s="93">
        <f>Serviceorderfile_PREVIOUS!$U414*Serviceorderfile_PREVIOUS!$H414</f>
        <v>12096.625</v>
      </c>
      <c r="EM27" s="57">
        <f t="shared" si="220"/>
        <v>0.22710053423992238</v>
      </c>
      <c r="EN27" s="99">
        <f>Serviceorderfile_Current!$U413*Serviceorderfile_Current!$H413</f>
        <v>12337.5</v>
      </c>
      <c r="EO27" s="93">
        <f>Serviceorderfile_PREVIOUS!$U413*Serviceorderfile_PREVIOUS!$H413</f>
        <v>8911.2000000000007</v>
      </c>
      <c r="EP27" s="57">
        <f t="shared" si="221"/>
        <v>0.38449367088607578</v>
      </c>
      <c r="EQ27" s="99">
        <f>Serviceorderfile_Current!$U415*Serviceorderfile_Current!$H415</f>
        <v>4568.4000000000005</v>
      </c>
      <c r="ER27" s="93">
        <f>Serviceorderfile_PREVIOUS!$U415*Serviceorderfile_PREVIOUS!$H415</f>
        <v>4524.9250000000002</v>
      </c>
      <c r="ES27" s="57">
        <f t="shared" si="222"/>
        <v>9.607894053492716E-3</v>
      </c>
      <c r="ET27" s="99">
        <f>Serviceorderfile_Current!$U416*Serviceorderfile_Current!$H416</f>
        <v>82.25</v>
      </c>
      <c r="EU27" s="93">
        <f>Serviceorderfile_PREVIOUS!$U416*Serviceorderfile_PREVIOUS!$H416</f>
        <v>131.6</v>
      </c>
      <c r="EV27" s="57">
        <f t="shared" si="223"/>
        <v>-0.375</v>
      </c>
      <c r="EW27" s="84"/>
      <c r="EX27" s="76">
        <f>Serviceorderfile_Current!$V410</f>
        <v>0.38682205289108024</v>
      </c>
      <c r="EY27" s="47">
        <f>Aged!E79</f>
        <v>0.6</v>
      </c>
      <c r="EZ27" s="99">
        <f>Serviceorderfile_Current!$U410*Serviceorderfile_Current!$H410</f>
        <v>2621.4250000000002</v>
      </c>
      <c r="FA27" s="93">
        <f>Serviceorderfile_PREVIOUS!$U410*Serviceorderfile_PREVIOUS!$H410</f>
        <v>3638.9750000000004</v>
      </c>
      <c r="FB27" s="57">
        <f t="shared" si="224"/>
        <v>-0.27962544397804334</v>
      </c>
      <c r="FC27" s="84"/>
      <c r="FD27" s="118">
        <f t="shared" si="66"/>
        <v>38766.775000000009</v>
      </c>
      <c r="FE27" s="77">
        <f t="shared" si="67"/>
        <v>35987.9</v>
      </c>
      <c r="FF27" s="57">
        <f t="shared" si="53"/>
        <v>7.7216925688912363E-2</v>
      </c>
      <c r="FG27" s="94"/>
      <c r="FH27" s="84"/>
      <c r="FI27" s="84"/>
      <c r="FJ27" s="84"/>
      <c r="FK27" s="84"/>
      <c r="FL27" s="84"/>
      <c r="FM27" s="84"/>
      <c r="FN27" s="84"/>
      <c r="FO27" s="84"/>
      <c r="FP27" s="84"/>
      <c r="FQ27" s="84"/>
      <c r="FR27" s="84"/>
      <c r="FS27" s="84"/>
      <c r="FT27" s="84"/>
      <c r="FU27" s="84"/>
      <c r="FV27" s="84"/>
      <c r="FW27" s="84"/>
      <c r="FX27" s="84"/>
    </row>
    <row r="28" spans="1:180" s="63" customFormat="1" ht="12" customHeight="1" x14ac:dyDescent="0.25">
      <c r="A28" s="110" t="s">
        <v>25</v>
      </c>
      <c r="B28" s="99">
        <f>Serviceorderfile_Current!$W97</f>
        <v>1034</v>
      </c>
      <c r="C28" s="93">
        <f>Serviceorderfile_PREVIOUS!$W97</f>
        <v>1170.3</v>
      </c>
      <c r="D28" s="57">
        <f t="shared" si="152"/>
        <v>-0.11646586345381527</v>
      </c>
      <c r="E28" s="93">
        <f>'YOY Orders'!$J24</f>
        <v>3184.25</v>
      </c>
      <c r="F28" s="93">
        <f>'YOY Orders'!$B24</f>
        <v>2520.375</v>
      </c>
      <c r="G28" s="57">
        <f t="shared" si="171"/>
        <v>0.26340326340326348</v>
      </c>
      <c r="H28" s="99">
        <f>Serviceorderfile_Current!$W99</f>
        <v>1452.3</v>
      </c>
      <c r="I28" s="93">
        <f>Serviceorderfile_PREVIOUS!$W99</f>
        <v>459.42500000000001</v>
      </c>
      <c r="J28" s="57">
        <f t="shared" si="2"/>
        <v>2.1611253196930944</v>
      </c>
      <c r="K28" s="93">
        <f>'YOY Orders'!$K24</f>
        <v>2049.2000000000003</v>
      </c>
      <c r="L28" s="93">
        <f>'YOY Orders'!$C24</f>
        <v>786.07500000000005</v>
      </c>
      <c r="M28" s="57">
        <f t="shared" si="172"/>
        <v>1.6068759342301946</v>
      </c>
      <c r="N28" s="99">
        <f>Serviceorderfile_Current!$W98</f>
        <v>1018.725</v>
      </c>
      <c r="O28" s="93">
        <f>Serviceorderfile_PREVIOUS!$W98</f>
        <v>1011.6750000000001</v>
      </c>
      <c r="P28" s="57">
        <f t="shared" si="4"/>
        <v>6.9686411149825211E-3</v>
      </c>
      <c r="Q28" s="93">
        <f>'YOY Orders'!$O24</f>
        <v>2608.5</v>
      </c>
      <c r="R28" s="93">
        <f>'YOY Orders'!$G24</f>
        <v>1689.65</v>
      </c>
      <c r="S28" s="57">
        <f t="shared" si="173"/>
        <v>0.54381084840055616</v>
      </c>
      <c r="T28" s="99">
        <f>Serviceorderfile_Current!$W100</f>
        <v>2711.9</v>
      </c>
      <c r="U28" s="93">
        <f>Serviceorderfile_PREVIOUS!$W100</f>
        <v>1952.8500000000001</v>
      </c>
      <c r="V28" s="57">
        <f t="shared" si="6"/>
        <v>0.38868832731648606</v>
      </c>
      <c r="W28" s="93">
        <f>'YOY Orders'!$L24</f>
        <v>3407.5</v>
      </c>
      <c r="X28" s="93">
        <f>'YOY Orders'!$D24</f>
        <v>3261.8</v>
      </c>
      <c r="Y28" s="57">
        <f t="shared" si="174"/>
        <v>4.4668587896253609E-2</v>
      </c>
      <c r="Z28" s="99">
        <f>Serviceorderfile_Current!$W101</f>
        <v>652.125</v>
      </c>
      <c r="AA28" s="93">
        <f>Serviceorderfile_PREVIOUS!$W101</f>
        <v>1338.325</v>
      </c>
      <c r="AB28" s="57">
        <f t="shared" si="8"/>
        <v>-0.51273046532045652</v>
      </c>
      <c r="AC28" s="93">
        <f>'YOY Orders'!$N24</f>
        <v>860.1</v>
      </c>
      <c r="AD28" s="93">
        <f>'YOY Orders'!$F24</f>
        <v>1444.075</v>
      </c>
      <c r="AE28" s="57">
        <f t="shared" si="175"/>
        <v>-0.40439381611065905</v>
      </c>
      <c r="AF28" s="99">
        <f>Serviceorderfile_Current!$W95</f>
        <v>101.05</v>
      </c>
      <c r="AG28" s="93">
        <f>Serviceorderfile_PREVIOUS!$W95</f>
        <v>138.65</v>
      </c>
      <c r="AH28" s="57">
        <f t="shared" si="10"/>
        <v>-0.27118644067796616</v>
      </c>
      <c r="AI28" s="93">
        <f>'YOY Orders'!$M24</f>
        <v>582.80000000000007</v>
      </c>
      <c r="AJ28" s="93">
        <f>'YOY Orders'!$E24</f>
        <v>512.30000000000007</v>
      </c>
      <c r="AK28" s="57">
        <f t="shared" si="176"/>
        <v>0.13761467889908263</v>
      </c>
      <c r="AL28" s="116">
        <f t="shared" si="54"/>
        <v>6970.1</v>
      </c>
      <c r="AM28" s="56">
        <f t="shared" si="55"/>
        <v>6071.2250000000004</v>
      </c>
      <c r="AN28" s="57">
        <f t="shared" si="12"/>
        <v>0.1480549641958584</v>
      </c>
      <c r="AO28" s="116">
        <f t="shared" si="165"/>
        <v>12692.350000000002</v>
      </c>
      <c r="AP28" s="56">
        <f t="shared" si="166"/>
        <v>10214.275000000001</v>
      </c>
      <c r="AQ28" s="57">
        <f t="shared" si="177"/>
        <v>0.24260899574370187</v>
      </c>
      <c r="AR28" s="72"/>
      <c r="AS28" s="110" t="s">
        <v>25</v>
      </c>
      <c r="AT28" s="99">
        <f>Serviceorderfile_Current!$I97*Serviceorderfile_Current!$U97</f>
        <v>298.45</v>
      </c>
      <c r="AU28" s="93">
        <f>Serviceorderfile_PREVIOUS!$I97*Serviceorderfile_PREVIOUS!$U97</f>
        <v>724.97500000000002</v>
      </c>
      <c r="AV28" s="57">
        <f t="shared" si="178"/>
        <v>-0.58833063209076175</v>
      </c>
      <c r="AW28" s="78">
        <f t="shared" si="179"/>
        <v>0.28863636363636364</v>
      </c>
      <c r="AX28" s="75">
        <f t="shared" si="16"/>
        <v>0.61947791164658639</v>
      </c>
      <c r="AY28" s="119">
        <f t="shared" si="180"/>
        <v>-33.084154801022272</v>
      </c>
      <c r="AZ28" s="99">
        <f>Serviceorderfile_Current!$I99*Serviceorderfile_Current!$U99</f>
        <v>393.625</v>
      </c>
      <c r="BA28" s="93">
        <f>Serviceorderfile_PREVIOUS!$I99*Serviceorderfile_PREVIOUS!$U99</f>
        <v>204.45000000000002</v>
      </c>
      <c r="BB28" s="57">
        <f t="shared" si="181"/>
        <v>0.92528735632183889</v>
      </c>
      <c r="BC28" s="78">
        <f t="shared" si="182"/>
        <v>0.27103559870550165</v>
      </c>
      <c r="BD28" s="75">
        <f t="shared" si="183"/>
        <v>0.44501278772378522</v>
      </c>
      <c r="BE28" s="119">
        <f t="shared" si="184"/>
        <v>-17.397718901828359</v>
      </c>
      <c r="BF28" s="99">
        <f>Serviceorderfile_Current!$I98*Serviceorderfile_Current!$U98</f>
        <v>245.57500000000002</v>
      </c>
      <c r="BG28" s="93">
        <f>Serviceorderfile_PREVIOUS!$I98*Serviceorderfile_PREVIOUS!$U98</f>
        <v>283.17500000000001</v>
      </c>
      <c r="BH28" s="57">
        <f t="shared" si="185"/>
        <v>-0.13278008298755184</v>
      </c>
      <c r="BI28" s="78">
        <f t="shared" si="186"/>
        <v>0.24106113033448676</v>
      </c>
      <c r="BJ28" s="75">
        <f t="shared" si="187"/>
        <v>0.27990708478513354</v>
      </c>
      <c r="BK28" s="119">
        <f t="shared" si="188"/>
        <v>-3.8845954450646785</v>
      </c>
      <c r="BL28" s="99">
        <f>Serviceorderfile_Current!$I100*Serviceorderfile_Current!$U100</f>
        <v>439.45</v>
      </c>
      <c r="BM28" s="93">
        <f>Serviceorderfile_PREVIOUS!$I100*Serviceorderfile_PREVIOUS!$U100</f>
        <v>366.6</v>
      </c>
      <c r="BN28" s="57">
        <f t="shared" si="189"/>
        <v>0.19871794871794868</v>
      </c>
      <c r="BO28" s="78">
        <f t="shared" si="190"/>
        <v>0.16204506065857885</v>
      </c>
      <c r="BP28" s="75">
        <f t="shared" si="191"/>
        <v>0.18772563176895307</v>
      </c>
      <c r="BQ28" s="119">
        <f t="shared" si="192"/>
        <v>-2.5680571110374224</v>
      </c>
      <c r="BR28" s="99">
        <f>Serviceorderfile_Current!$I101*Serviceorderfile_Current!$U101</f>
        <v>285.52500000000003</v>
      </c>
      <c r="BS28" s="93">
        <f>Serviceorderfile_PREVIOUS!$I101*Serviceorderfile_PREVIOUS!$U101</f>
        <v>119.85000000000001</v>
      </c>
      <c r="BT28" s="57">
        <f t="shared" si="193"/>
        <v>1.3823529411764706</v>
      </c>
      <c r="BU28" s="78">
        <f t="shared" si="194"/>
        <v>0.43783783783783792</v>
      </c>
      <c r="BV28" s="75">
        <f t="shared" si="195"/>
        <v>8.9552238805970158E-2</v>
      </c>
      <c r="BW28" s="119">
        <f t="shared" si="196"/>
        <v>34.828559903186772</v>
      </c>
      <c r="BX28" s="99">
        <f>Serviceorderfile_Current!$I95*Serviceorderfile_Current!$U97</f>
        <v>58.75</v>
      </c>
      <c r="BY28" s="93">
        <f>Serviceorderfile_PREVIOUS!$I95*Serviceorderfile_PREVIOUS!$U97</f>
        <v>131.6</v>
      </c>
      <c r="BZ28" s="57">
        <f t="shared" si="197"/>
        <v>-0.5535714285714286</v>
      </c>
      <c r="CA28" s="78">
        <f t="shared" si="198"/>
        <v>0.58139534883720934</v>
      </c>
      <c r="CB28" s="75">
        <f t="shared" si="199"/>
        <v>0.94915254237288127</v>
      </c>
      <c r="CC28" s="119">
        <f t="shared" si="200"/>
        <v>-36.77571935356719</v>
      </c>
      <c r="CD28" s="118">
        <f t="shared" si="201"/>
        <v>1721.375</v>
      </c>
      <c r="CE28" s="77">
        <f t="shared" si="202"/>
        <v>1830.6499999999999</v>
      </c>
      <c r="CF28" s="57">
        <f t="shared" si="203"/>
        <v>-5.9691912708600747E-2</v>
      </c>
      <c r="CG28" s="78">
        <f t="shared" si="204"/>
        <v>0.24696561024949426</v>
      </c>
      <c r="CH28" s="75">
        <f t="shared" si="154"/>
        <v>0.30152893361718597</v>
      </c>
      <c r="CI28" s="119">
        <f t="shared" si="205"/>
        <v>-5.4563323367691705</v>
      </c>
      <c r="CJ28" s="85"/>
      <c r="CK28" s="110" t="s">
        <v>25</v>
      </c>
      <c r="CL28" s="99">
        <f>Serviceorderfile_Current!$J97*Serviceorderfile_Current!$U97</f>
        <v>191.52500000000001</v>
      </c>
      <c r="CM28" s="93">
        <f>Serviceorderfile_PREVIOUS!$J97*Serviceorderfile_PREVIOUS!$U97</f>
        <v>360.72500000000002</v>
      </c>
      <c r="CN28" s="57">
        <f t="shared" si="206"/>
        <v>-0.46905537459283386</v>
      </c>
      <c r="CO28" s="99">
        <f>Serviceorderfile_Current!$J99*Serviceorderfile_Current!$U99</f>
        <v>352.5</v>
      </c>
      <c r="CP28" s="93">
        <f>Serviceorderfile_PREVIOUS!$J99*Serviceorderfile_PREVIOUS!$U99</f>
        <v>105.75</v>
      </c>
      <c r="CQ28" s="57">
        <f t="shared" si="207"/>
        <v>2.3333333333333335</v>
      </c>
      <c r="CR28" s="99">
        <f>Serviceorderfile_Current!$J98*Serviceorderfile_Current!$U98</f>
        <v>189.17500000000001</v>
      </c>
      <c r="CS28" s="93">
        <f>Serviceorderfile_PREVIOUS!$J98*Serviceorderfile_PREVIOUS!$U98</f>
        <v>203.27500000000001</v>
      </c>
      <c r="CT28" s="57">
        <f t="shared" si="208"/>
        <v>-6.9364161849710948E-2</v>
      </c>
      <c r="CU28" s="99">
        <f>Serviceorderfile_Current!$J100*Serviceorderfile_Current!$U100</f>
        <v>353.67500000000001</v>
      </c>
      <c r="CV28" s="93">
        <f>Serviceorderfile_PREVIOUS!$J100*Serviceorderfile_PREVIOUS!$U100</f>
        <v>269.07499999999999</v>
      </c>
      <c r="CW28" s="57">
        <f t="shared" si="209"/>
        <v>0.31441048034934505</v>
      </c>
      <c r="CX28" s="99">
        <f>Serviceorderfile_Current!$J101*Serviceorderfile_Current!$U101</f>
        <v>164.5</v>
      </c>
      <c r="CY28" s="93">
        <f>Serviceorderfile_PREVIOUS!$J101*Serviceorderfile_PREVIOUS!$U101</f>
        <v>217.375</v>
      </c>
      <c r="CZ28" s="57">
        <f t="shared" si="210"/>
        <v>-0.2432432432432432</v>
      </c>
      <c r="DA28" s="99">
        <f>Serviceorderfile_Current!$J95*Serviceorderfile_Current!$U97</f>
        <v>17.625</v>
      </c>
      <c r="DB28" s="93">
        <f>Serviceorderfile_PREVIOUS!$J95*Serviceorderfile_PREVIOUS!$U97</f>
        <v>7.0500000000000007</v>
      </c>
      <c r="DC28" s="57">
        <f t="shared" si="211"/>
        <v>1.4999999999999996</v>
      </c>
      <c r="DD28" s="118">
        <f t="shared" si="167"/>
        <v>1269</v>
      </c>
      <c r="DE28" s="77">
        <f t="shared" si="168"/>
        <v>1163.25</v>
      </c>
      <c r="DF28" s="57">
        <f t="shared" si="212"/>
        <v>9.0909090909090828E-2</v>
      </c>
      <c r="DG28" s="86"/>
      <c r="DH28" s="110" t="s">
        <v>25</v>
      </c>
      <c r="DI28" s="99">
        <f>Serviceorderfile_Current!$K97*Serviceorderfile_Current!$U97</f>
        <v>111.625</v>
      </c>
      <c r="DJ28" s="93">
        <f>Serviceorderfile_PREVIOUS!$K97*Serviceorderfile_PREVIOUS!$U97</f>
        <v>63.45</v>
      </c>
      <c r="DK28" s="57">
        <f t="shared" si="213"/>
        <v>0.75925925925925908</v>
      </c>
      <c r="DL28" s="99">
        <f>Serviceorderfile_Current!$K99*Serviceorderfile_Current!$U99</f>
        <v>104.575</v>
      </c>
      <c r="DM28" s="93">
        <f>Serviceorderfile_PREVIOUS!$K99*Serviceorderfile_PREVIOUS!$U99</f>
        <v>137.47499999999999</v>
      </c>
      <c r="DN28" s="57">
        <f t="shared" si="214"/>
        <v>-0.23931623931623924</v>
      </c>
      <c r="DO28" s="99">
        <f>Serviceorderfile_Current!$K98*Serviceorderfile_Current!$U98</f>
        <v>157.45000000000002</v>
      </c>
      <c r="DP28" s="93">
        <f>Serviceorderfile_PREVIOUS!$K98*Serviceorderfile_PREVIOUS!$U98</f>
        <v>182.125</v>
      </c>
      <c r="DQ28" s="57">
        <f t="shared" si="215"/>
        <v>-0.13548387096774184</v>
      </c>
      <c r="DR28" s="99">
        <f>Serviceorderfile_Current!$K100*Serviceorderfile_Current!$U100</f>
        <v>253.8</v>
      </c>
      <c r="DS28" s="93">
        <f>Serviceorderfile_PREVIOUS!$K100*Serviceorderfile_PREVIOUS!$U100</f>
        <v>82.25</v>
      </c>
      <c r="DT28" s="57">
        <f t="shared" si="216"/>
        <v>2.0857142857142859</v>
      </c>
      <c r="DU28" s="99">
        <f>Serviceorderfile_Current!$K101*Serviceorderfile_Current!$U101</f>
        <v>79.900000000000006</v>
      </c>
      <c r="DV28" s="93">
        <f>Serviceorderfile_PREVIOUS!$K101*Serviceorderfile_PREVIOUS!$U101</f>
        <v>158.625</v>
      </c>
      <c r="DW28" s="57">
        <f t="shared" si="217"/>
        <v>-0.49629629629629624</v>
      </c>
      <c r="DX28" s="99">
        <f>Serviceorderfile_Current!$K95*Serviceorderfile_Current!$U97</f>
        <v>24.675000000000001</v>
      </c>
      <c r="DY28" s="93">
        <f>Serviceorderfile_PREVIOUS!$K95*Serviceorderfile_PREVIOUS!$U97</f>
        <v>0</v>
      </c>
      <c r="DZ28" s="57">
        <f t="shared" si="218"/>
        <v>1</v>
      </c>
      <c r="EA28" s="118">
        <f t="shared" si="169"/>
        <v>732.02499999999998</v>
      </c>
      <c r="EB28" s="77">
        <f t="shared" si="170"/>
        <v>623.92499999999995</v>
      </c>
      <c r="EC28" s="57">
        <f t="shared" si="219"/>
        <v>0.17325800376647837</v>
      </c>
      <c r="ED28" s="94"/>
      <c r="EE28" s="124" t="s">
        <v>25</v>
      </c>
      <c r="EF28" s="76">
        <f>Serviceorderfile_Current!$V94</f>
        <v>0.85328046142754144</v>
      </c>
      <c r="EG28" s="57">
        <f>Aged!E7</f>
        <v>0.52</v>
      </c>
      <c r="EH28" s="99">
        <f>Serviceorderfile_Current!$U89*Serviceorderfile_Current!$H89</f>
        <v>628.625</v>
      </c>
      <c r="EI28" s="93">
        <f>Serviceorderfile_PREVIOUS!$U89*Serviceorderfile_PREVIOUS!$H89</f>
        <v>1757.8</v>
      </c>
      <c r="EJ28" s="57">
        <f t="shared" si="47"/>
        <v>-0.64237967914438499</v>
      </c>
      <c r="EK28" s="99">
        <f>Serviceorderfile_Current!$U91*Serviceorderfile_Current!$H91</f>
        <v>1156.2</v>
      </c>
      <c r="EL28" s="93">
        <f>Serviceorderfile_PREVIOUS!$U91*Serviceorderfile_PREVIOUS!$H91</f>
        <v>2693.1</v>
      </c>
      <c r="EM28" s="57">
        <f t="shared" si="220"/>
        <v>-0.5706806282722513</v>
      </c>
      <c r="EN28" s="99">
        <f>Serviceorderfile_Current!$U90*Serviceorderfile_Current!$H90</f>
        <v>256.15000000000003</v>
      </c>
      <c r="EO28" s="93">
        <f>Serviceorderfile_PREVIOUS!$U90*Serviceorderfile_PREVIOUS!$H90</f>
        <v>448.85</v>
      </c>
      <c r="EP28" s="57">
        <f t="shared" si="221"/>
        <v>-0.42931937172774859</v>
      </c>
      <c r="EQ28" s="99">
        <f>Serviceorderfile_Current!$U92*Serviceorderfile_Current!$H92</f>
        <v>1218.4750000000001</v>
      </c>
      <c r="ER28" s="93">
        <f>Serviceorderfile_PREVIOUS!$U92*Serviceorderfile_PREVIOUS!$H92</f>
        <v>1662.625</v>
      </c>
      <c r="ES28" s="57">
        <f t="shared" si="222"/>
        <v>-0.26713780918727903</v>
      </c>
      <c r="ET28" s="99">
        <f>Serviceorderfile_Current!$U93*Serviceorderfile_Current!$H93</f>
        <v>0</v>
      </c>
      <c r="EU28" s="93">
        <f>Serviceorderfile_PREVIOUS!$U93*Serviceorderfile_PREVIOUS!$H93</f>
        <v>0</v>
      </c>
      <c r="EV28" s="57">
        <f t="shared" si="223"/>
        <v>1</v>
      </c>
      <c r="EW28" s="84"/>
      <c r="EX28" s="76">
        <f>Serviceorderfile_Current!$V87</f>
        <v>0.9838854073410922</v>
      </c>
      <c r="EY28" s="47">
        <f>Aged!E60</f>
        <v>0</v>
      </c>
      <c r="EZ28" s="99">
        <f>Serviceorderfile_Current!$U87*Serviceorderfile_Current!$H87</f>
        <v>1312.4750000000001</v>
      </c>
      <c r="FA28" s="93">
        <f>Serviceorderfile_PREVIOUS!$U87*Serviceorderfile_PREVIOUS!$H87</f>
        <v>551.07500000000005</v>
      </c>
      <c r="FB28" s="57">
        <f t="shared" si="224"/>
        <v>1.3816631130063968</v>
      </c>
      <c r="FC28" s="84"/>
      <c r="FD28" s="118">
        <f t="shared" si="66"/>
        <v>4571.9250000000002</v>
      </c>
      <c r="FE28" s="77">
        <f t="shared" si="67"/>
        <v>7113.45</v>
      </c>
      <c r="FF28" s="57">
        <f t="shared" si="53"/>
        <v>-0.35728444003964321</v>
      </c>
      <c r="FG28" s="94"/>
      <c r="FH28" s="84"/>
      <c r="FI28" s="84"/>
      <c r="FJ28" s="84"/>
      <c r="FK28" s="84"/>
      <c r="FL28" s="84"/>
      <c r="FM28" s="84"/>
      <c r="FN28" s="84"/>
      <c r="FO28" s="84"/>
      <c r="FP28" s="84"/>
      <c r="FQ28" s="84"/>
      <c r="FR28" s="84"/>
      <c r="FS28" s="84"/>
      <c r="FT28" s="84"/>
      <c r="FU28" s="84"/>
      <c r="FV28" s="84"/>
      <c r="FW28" s="84"/>
      <c r="FX28" s="84"/>
    </row>
    <row r="29" spans="1:180" s="63" customFormat="1" ht="12" customHeight="1" x14ac:dyDescent="0.25">
      <c r="A29" s="110" t="s">
        <v>1</v>
      </c>
      <c r="B29" s="99">
        <f>Serviceorderfile_Current!$W114</f>
        <v>156.27645485760002</v>
      </c>
      <c r="C29" s="93">
        <f>Serviceorderfile_PREVIOUS!$W114</f>
        <v>87.334123430399998</v>
      </c>
      <c r="D29" s="57">
        <f t="shared" si="152"/>
        <v>0.78940886699507407</v>
      </c>
      <c r="E29" s="93">
        <f>'YOY Orders'!$J33</f>
        <v>443.01632316479999</v>
      </c>
      <c r="F29" s="93">
        <f>'YOY Orders'!$B33</f>
        <v>267.3800872512</v>
      </c>
      <c r="G29" s="57">
        <f t="shared" ref="G29" si="238">IF(F29&gt;0,E29/F29-1,1)</f>
        <v>0.65687851971037814</v>
      </c>
      <c r="H29" s="99">
        <f>Serviceorderfile_Current!$W116</f>
        <v>84.752819289599998</v>
      </c>
      <c r="I29" s="93">
        <f>Serviceorderfile_PREVIOUS!$W116</f>
        <v>167.89232349119999</v>
      </c>
      <c r="J29" s="57">
        <f t="shared" si="2"/>
        <v>-0.49519538757206916</v>
      </c>
      <c r="K29" s="93">
        <f>'YOY Orders'!$K33</f>
        <v>106.80145882560001</v>
      </c>
      <c r="L29" s="93">
        <f>'YOY Orders'!$C33</f>
        <v>363.85632951360003</v>
      </c>
      <c r="M29" s="57">
        <f t="shared" si="172"/>
        <v>-0.70647354419154595</v>
      </c>
      <c r="N29" s="99">
        <f>Serviceorderfile_Current!$W115</f>
        <v>117.772001424</v>
      </c>
      <c r="O29" s="93">
        <f>Serviceorderfile_PREVIOUS!$W115</f>
        <v>21.51086784</v>
      </c>
      <c r="P29" s="57">
        <f t="shared" si="4"/>
        <v>4.4749999999999996</v>
      </c>
      <c r="Q29" s="93">
        <f>'YOY Orders'!$O33</f>
        <v>396.98306598720001</v>
      </c>
      <c r="R29" s="93">
        <f>'YOY Orders'!$G33</f>
        <v>60.122875612800001</v>
      </c>
      <c r="S29" s="57">
        <f t="shared" si="173"/>
        <v>5.6028622540250446</v>
      </c>
      <c r="T29" s="99">
        <f>Serviceorderfile_Current!$W117</f>
        <v>266.5196525376</v>
      </c>
      <c r="U29" s="93">
        <f>Serviceorderfile_PREVIOUS!$W117</f>
        <v>218.01264555840001</v>
      </c>
      <c r="V29" s="57">
        <f t="shared" si="6"/>
        <v>0.22249629995066589</v>
      </c>
      <c r="W29" s="93">
        <f>'YOY Orders'!$L33</f>
        <v>309.21872519999999</v>
      </c>
      <c r="X29" s="93">
        <f>'YOY Orders'!$D33</f>
        <v>243.71813262719999</v>
      </c>
      <c r="Y29" s="57">
        <f t="shared" si="174"/>
        <v>0.26875551632833194</v>
      </c>
      <c r="Z29" s="99">
        <f>Serviceorderfile_Current!$W118</f>
        <v>6.5608146912</v>
      </c>
      <c r="AA29" s="93">
        <f>Serviceorderfile_PREVIOUS!$W118</f>
        <v>6.9910320480000001</v>
      </c>
      <c r="AB29" s="57">
        <f t="shared" si="8"/>
        <v>-6.1538461538461542E-2</v>
      </c>
      <c r="AC29" s="93">
        <f>'YOY Orders'!$N33</f>
        <v>15.595379184</v>
      </c>
      <c r="AD29" s="93">
        <f>'YOY Orders'!$F33</f>
        <v>54.852712992000001</v>
      </c>
      <c r="AE29" s="57">
        <f t="shared" si="175"/>
        <v>-0.71568627450980393</v>
      </c>
      <c r="AF29" s="99">
        <f>Serviceorderfile_Current!$W112</f>
        <v>56.896245436800001</v>
      </c>
      <c r="AG29" s="93">
        <f>Serviceorderfile_PREVIOUS!$W112</f>
        <v>10.75543392</v>
      </c>
      <c r="AH29" s="57">
        <f t="shared" si="10"/>
        <v>4.29</v>
      </c>
      <c r="AI29" s="93">
        <f>'YOY Orders'!$M33</f>
        <v>164.2354759584</v>
      </c>
      <c r="AJ29" s="93">
        <f>'YOY Orders'!$E33</f>
        <v>187.25210454719999</v>
      </c>
      <c r="AK29" s="57">
        <f t="shared" si="176"/>
        <v>-0.12291786329695575</v>
      </c>
      <c r="AL29" s="116">
        <f t="shared" si="54"/>
        <v>688.77798823679996</v>
      </c>
      <c r="AM29" s="56">
        <f t="shared" si="55"/>
        <v>512.49642628800007</v>
      </c>
      <c r="AN29" s="57">
        <f t="shared" si="12"/>
        <v>0.34396642182581294</v>
      </c>
      <c r="AO29" s="116">
        <f t="shared" si="165"/>
        <v>1435.85042832</v>
      </c>
      <c r="AP29" s="56">
        <f t="shared" si="166"/>
        <v>1177.182242544</v>
      </c>
      <c r="AQ29" s="57">
        <f t="shared" si="177"/>
        <v>0.21973503883051615</v>
      </c>
      <c r="AR29" s="72"/>
      <c r="AS29" s="110" t="s">
        <v>1</v>
      </c>
      <c r="AT29" s="99">
        <f>Serviceorderfile_Current!$I114*Serviceorderfile_Current!$U114</f>
        <v>117.6644470848</v>
      </c>
      <c r="AU29" s="93">
        <f>Serviceorderfile_PREVIOUS!$I114*Serviceorderfile_PREVIOUS!$U114</f>
        <v>65.500592572800002</v>
      </c>
      <c r="AV29" s="57">
        <f t="shared" si="178"/>
        <v>0.79638752052545159</v>
      </c>
      <c r="AW29" s="78">
        <f t="shared" ref="AW29" si="239">AT29/B29</f>
        <v>0.75292498279421882</v>
      </c>
      <c r="AX29" s="75">
        <f t="shared" ref="AX29" si="240">AU29/C29</f>
        <v>0.75</v>
      </c>
      <c r="AY29" s="119">
        <f t="shared" ref="AY29" si="241">(AW29-AX29)*100</f>
        <v>0.29249827942188222</v>
      </c>
      <c r="AZ29" s="99">
        <f>Serviceorderfile_Current!$I116*Serviceorderfile_Current!$U116</f>
        <v>72.276515942399996</v>
      </c>
      <c r="BA29" s="93">
        <f>Serviceorderfile_PREVIOUS!$I116*Serviceorderfile_PREVIOUS!$U116</f>
        <v>167.89232349119999</v>
      </c>
      <c r="BB29" s="57">
        <f t="shared" si="181"/>
        <v>-0.56950672645739908</v>
      </c>
      <c r="BC29" s="78">
        <f t="shared" si="182"/>
        <v>0.85279187817258884</v>
      </c>
      <c r="BD29" s="75">
        <f t="shared" si="183"/>
        <v>1</v>
      </c>
      <c r="BE29" s="119">
        <f t="shared" si="184"/>
        <v>-14.720812182741117</v>
      </c>
      <c r="BF29" s="99">
        <f>Serviceorderfile_Current!$I115*Serviceorderfile_Current!$U115</f>
        <v>75.933363475199997</v>
      </c>
      <c r="BG29" s="93">
        <f>Serviceorderfile_PREVIOUS!$I115*Serviceorderfile_PREVIOUS!$U115</f>
        <v>20.542878787199999</v>
      </c>
      <c r="BH29" s="57">
        <f t="shared" si="185"/>
        <v>2.6963350785340312</v>
      </c>
      <c r="BI29" s="78">
        <f t="shared" si="186"/>
        <v>0.64474885844748853</v>
      </c>
      <c r="BJ29" s="75">
        <f t="shared" si="187"/>
        <v>0.95499999999999996</v>
      </c>
      <c r="BK29" s="119">
        <f t="shared" si="188"/>
        <v>-31.025114155251142</v>
      </c>
      <c r="BL29" s="99">
        <f>Serviceorderfile_Current!$I117*Serviceorderfile_Current!$U117</f>
        <v>14.3047271136</v>
      </c>
      <c r="BM29" s="93">
        <f>Serviceorderfile_PREVIOUS!$I117*Serviceorderfile_PREVIOUS!$U117</f>
        <v>62.811734092800002</v>
      </c>
      <c r="BN29" s="57">
        <f t="shared" si="189"/>
        <v>-0.77226027397260277</v>
      </c>
      <c r="BO29" s="78">
        <f t="shared" si="190"/>
        <v>5.3672316384180796E-2</v>
      </c>
      <c r="BP29" s="75">
        <f t="shared" si="191"/>
        <v>0.28811050814010852</v>
      </c>
      <c r="BQ29" s="119">
        <f t="shared" si="192"/>
        <v>-23.443819175592772</v>
      </c>
      <c r="BR29" s="99">
        <f>Serviceorderfile_Current!$I118*Serviceorderfile_Current!$U118</f>
        <v>3.226630176</v>
      </c>
      <c r="BS29" s="93">
        <f>Serviceorderfile_PREVIOUS!$I118*Serviceorderfile_PREVIOUS!$U118</f>
        <v>6.9910320480000001</v>
      </c>
      <c r="BT29" s="57">
        <f t="shared" si="193"/>
        <v>-0.53846153846153855</v>
      </c>
      <c r="BU29" s="78">
        <f t="shared" si="194"/>
        <v>0.49180327868852458</v>
      </c>
      <c r="BV29" s="75">
        <f t="shared" si="195"/>
        <v>1</v>
      </c>
      <c r="BW29" s="119">
        <f t="shared" si="196"/>
        <v>-50.819672131147541</v>
      </c>
      <c r="BX29" s="99">
        <f>Serviceorderfile_Current!$I112*Serviceorderfile_Current!$U114</f>
        <v>48.5070069792</v>
      </c>
      <c r="BY29" s="93">
        <f>Serviceorderfile_PREVIOUS!$I112*Serviceorderfile_PREVIOUS!$U114</f>
        <v>10.75543392</v>
      </c>
      <c r="BZ29" s="57">
        <f t="shared" si="197"/>
        <v>3.51</v>
      </c>
      <c r="CA29" s="78">
        <f t="shared" si="198"/>
        <v>0.85255198487712669</v>
      </c>
      <c r="CB29" s="75">
        <f t="shared" si="199"/>
        <v>1</v>
      </c>
      <c r="CC29" s="119">
        <f t="shared" si="200"/>
        <v>-14.744801512287331</v>
      </c>
      <c r="CD29" s="118">
        <f t="shared" si="201"/>
        <v>331.9126907712</v>
      </c>
      <c r="CE29" s="77">
        <f t="shared" si="202"/>
        <v>334.49399491200001</v>
      </c>
      <c r="CF29" s="57">
        <f t="shared" ref="CF29" si="242">IF(CE29&gt;0,CD29/CE29-1,1)</f>
        <v>-7.7170418006431429E-3</v>
      </c>
      <c r="CG29" s="78">
        <f t="shared" ref="CG29" si="243">CD29/AL29</f>
        <v>0.4818863210493442</v>
      </c>
      <c r="CH29" s="75">
        <f t="shared" ref="CH29" si="244">CE29/AM29</f>
        <v>0.65267576075550882</v>
      </c>
      <c r="CI29" s="119">
        <f t="shared" ref="CI29" si="245">(CG29-CH29)*100</f>
        <v>-17.078943970616461</v>
      </c>
      <c r="CJ29" s="85"/>
      <c r="CK29" s="110" t="s">
        <v>1</v>
      </c>
      <c r="CL29" s="99">
        <f>Serviceorderfile_Current!$J114*Serviceorderfile_Current!$U114</f>
        <v>34.632497222399998</v>
      </c>
      <c r="CM29" s="93">
        <f>Serviceorderfile_PREVIOUS!$J114*Serviceorderfile_PREVIOUS!$U114</f>
        <v>21.8335308576</v>
      </c>
      <c r="CN29" s="57">
        <f t="shared" si="206"/>
        <v>0.58620689655172398</v>
      </c>
      <c r="CO29" s="99">
        <f>Serviceorderfile_Current!$J116*Serviceorderfile_Current!$U116</f>
        <v>12.4763033472</v>
      </c>
      <c r="CP29" s="93">
        <f>Serviceorderfile_PREVIOUS!$J116*Serviceorderfile_PREVIOUS!$U116</f>
        <v>0</v>
      </c>
      <c r="CQ29" s="57">
        <f t="shared" si="207"/>
        <v>1</v>
      </c>
      <c r="CR29" s="99">
        <f>Serviceorderfile_Current!$J115*Serviceorderfile_Current!$U115</f>
        <v>14.6273901312</v>
      </c>
      <c r="CS29" s="93">
        <f>Serviceorderfile_PREVIOUS!$J115*Serviceorderfile_PREVIOUS!$U115</f>
        <v>0.96798905280000003</v>
      </c>
      <c r="CT29" s="57">
        <f t="shared" si="208"/>
        <v>14.111111111111111</v>
      </c>
      <c r="CU29" s="99">
        <f>Serviceorderfile_Current!$J117*Serviceorderfile_Current!$U117</f>
        <v>53.1318435648</v>
      </c>
      <c r="CV29" s="93">
        <f>Serviceorderfile_PREVIOUS!$J117*Serviceorderfile_PREVIOUS!$U117</f>
        <v>29.684997619200001</v>
      </c>
      <c r="CW29" s="57">
        <f t="shared" si="209"/>
        <v>0.78985507246376807</v>
      </c>
      <c r="CX29" s="99">
        <f>Serviceorderfile_Current!$J118*Serviceorderfile_Current!$U118</f>
        <v>0</v>
      </c>
      <c r="CY29" s="93">
        <f>Serviceorderfile_PREVIOUS!$J118*Serviceorderfile_PREVIOUS!$U118</f>
        <v>0</v>
      </c>
      <c r="CZ29" s="57">
        <f t="shared" si="210"/>
        <v>1</v>
      </c>
      <c r="DA29" s="99">
        <f>Serviceorderfile_Current!$J112*Serviceorderfile_Current!$U114</f>
        <v>8.3892384575999994</v>
      </c>
      <c r="DB29" s="93">
        <f>Serviceorderfile_PREVIOUS!$J112*Serviceorderfile_PREVIOUS!$U114</f>
        <v>0</v>
      </c>
      <c r="DC29" s="57">
        <f t="shared" si="211"/>
        <v>1</v>
      </c>
      <c r="DD29" s="118">
        <f t="shared" si="167"/>
        <v>123.2572727232</v>
      </c>
      <c r="DE29" s="77">
        <f t="shared" si="168"/>
        <v>52.4865175296</v>
      </c>
      <c r="DF29" s="57">
        <f t="shared" si="212"/>
        <v>1.348360655737705</v>
      </c>
      <c r="DG29" s="86"/>
      <c r="DH29" s="110" t="s">
        <v>1</v>
      </c>
      <c r="DI29" s="99">
        <f>Serviceorderfile_Current!$K114*Serviceorderfile_Current!$U114</f>
        <v>3.9795105504000001</v>
      </c>
      <c r="DJ29" s="93">
        <f>Serviceorderfile_PREVIOUS!$K114*Serviceorderfile_PREVIOUS!$U114</f>
        <v>0</v>
      </c>
      <c r="DK29" s="57">
        <f t="shared" si="213"/>
        <v>1</v>
      </c>
      <c r="DL29" s="99">
        <f>Serviceorderfile_Current!$K116*Serviceorderfile_Current!$U116</f>
        <v>0</v>
      </c>
      <c r="DM29" s="93">
        <f>Serviceorderfile_PREVIOUS!$K116*Serviceorderfile_PREVIOUS!$U116</f>
        <v>0</v>
      </c>
      <c r="DN29" s="57">
        <f t="shared" si="214"/>
        <v>1</v>
      </c>
      <c r="DO29" s="99">
        <f>Serviceorderfile_Current!$K115*Serviceorderfile_Current!$U115</f>
        <v>13.3367380608</v>
      </c>
      <c r="DP29" s="93">
        <f>Serviceorderfile_PREVIOUS!$K115*Serviceorderfile_PREVIOUS!$U115</f>
        <v>0</v>
      </c>
      <c r="DQ29" s="57">
        <f t="shared" si="215"/>
        <v>1</v>
      </c>
      <c r="DR29" s="99">
        <f>Serviceorderfile_Current!$K117*Serviceorderfile_Current!$U117</f>
        <v>16.348259558399999</v>
      </c>
      <c r="DS29" s="93">
        <f>Serviceorderfile_PREVIOUS!$K117*Serviceorderfile_PREVIOUS!$U117</f>
        <v>2.5813041407999999</v>
      </c>
      <c r="DT29" s="57">
        <f t="shared" si="216"/>
        <v>5.333333333333333</v>
      </c>
      <c r="DU29" s="99">
        <f>Serviceorderfile_Current!$K118*Serviceorderfile_Current!$U118</f>
        <v>3.3341845152</v>
      </c>
      <c r="DV29" s="93">
        <f>Serviceorderfile_PREVIOUS!$K118*Serviceorderfile_PREVIOUS!$U118</f>
        <v>0</v>
      </c>
      <c r="DW29" s="57">
        <f t="shared" si="217"/>
        <v>1</v>
      </c>
      <c r="DX29" s="99">
        <f>Serviceorderfile_Current!$K112*Serviceorderfile_Current!$U114</f>
        <v>0</v>
      </c>
      <c r="DY29" s="93">
        <f>Serviceorderfile_PREVIOUS!$K112*Serviceorderfile_PREVIOUS!$U114</f>
        <v>0</v>
      </c>
      <c r="DZ29" s="57">
        <f t="shared" si="218"/>
        <v>1</v>
      </c>
      <c r="EA29" s="118">
        <f t="shared" si="169"/>
        <v>36.998692684799998</v>
      </c>
      <c r="EB29" s="77">
        <f t="shared" si="170"/>
        <v>2.5813041407999999</v>
      </c>
      <c r="EC29" s="57">
        <f t="shared" si="219"/>
        <v>13.333333333333334</v>
      </c>
      <c r="ED29" s="94"/>
      <c r="EE29" s="124" t="s">
        <v>1</v>
      </c>
      <c r="EF29" s="76">
        <f>Serviceorderfile_Current!$V111</f>
        <v>1</v>
      </c>
      <c r="EG29" s="57">
        <f>Aged!E8</f>
        <v>0.8</v>
      </c>
      <c r="EH29" s="99">
        <f>Serviceorderfile_Current!$U106*Serviceorderfile_Current!$H106</f>
        <v>203.38525542720001</v>
      </c>
      <c r="EI29" s="93">
        <f>Serviceorderfile_PREVIOUS!$U106*Serviceorderfile_PREVIOUS!$H106</f>
        <v>215.00112406080001</v>
      </c>
      <c r="EJ29" s="57">
        <f t="shared" ref="EJ29" si="246">IF(EI29&gt;0,EH29/EI29-1,1)</f>
        <v>-5.402701350675343E-2</v>
      </c>
      <c r="EK29" s="99">
        <f>Serviceorderfile_Current!$U108*Serviceorderfile_Current!$H108</f>
        <v>133.79759796479999</v>
      </c>
      <c r="EL29" s="93">
        <f>Serviceorderfile_PREVIOUS!$U108*Serviceorderfile_PREVIOUS!$H108</f>
        <v>116.696458032</v>
      </c>
      <c r="EM29" s="57">
        <f t="shared" si="220"/>
        <v>0.14654377880184333</v>
      </c>
      <c r="EN29" s="99">
        <f>Serviceorderfile_Current!$U107*Serviceorderfile_Current!$H107</f>
        <v>830.21194428479998</v>
      </c>
      <c r="EO29" s="93">
        <f>Serviceorderfile_PREVIOUS!$U107*Serviceorderfile_PREVIOUS!$H107</f>
        <v>825.04933600319998</v>
      </c>
      <c r="EP29" s="57">
        <f t="shared" si="221"/>
        <v>6.2573328118888938E-3</v>
      </c>
      <c r="EQ29" s="99">
        <f>Serviceorderfile_Current!$U109*Serviceorderfile_Current!$H109</f>
        <v>16.133150879999999</v>
      </c>
      <c r="ER29" s="93">
        <f>Serviceorderfile_PREVIOUS!$U109*Serviceorderfile_PREVIOUS!$H109</f>
        <v>125.5159138464</v>
      </c>
      <c r="ES29" s="57">
        <f t="shared" si="222"/>
        <v>-0.87146529562982011</v>
      </c>
      <c r="ET29" s="99">
        <f>Serviceorderfile_Current!$U110*Serviceorderfile_Current!$H110</f>
        <v>0</v>
      </c>
      <c r="EU29" s="93">
        <f>Serviceorderfile_PREVIOUS!$U110*Serviceorderfile_PREVIOUS!$H110</f>
        <v>9.6798905279999996</v>
      </c>
      <c r="EV29" s="57">
        <f t="shared" si="223"/>
        <v>-1</v>
      </c>
      <c r="EW29" s="84"/>
      <c r="EX29" s="76">
        <f>Serviceorderfile_Current!$V104</f>
        <v>1</v>
      </c>
      <c r="EY29" s="47">
        <f>Aged!E61</f>
        <v>0.22</v>
      </c>
      <c r="EZ29" s="99">
        <f>Serviceorderfile_Current!$U104*Serviceorderfile_Current!$H104</f>
        <v>164.98835633280001</v>
      </c>
      <c r="FA29" s="93">
        <f>Serviceorderfile_PREVIOUS!$U104*Serviceorderfile_PREVIOUS!$H104</f>
        <v>1518.6672695039999</v>
      </c>
      <c r="FB29" s="57">
        <f t="shared" si="224"/>
        <v>-0.89135977337110484</v>
      </c>
      <c r="FC29" s="84"/>
      <c r="FD29" s="118">
        <f t="shared" si="66"/>
        <v>1348.5163048896</v>
      </c>
      <c r="FE29" s="77">
        <f t="shared" si="67"/>
        <v>2810.6099919744001</v>
      </c>
      <c r="FF29" s="57">
        <f t="shared" ref="FF29" si="247">IF(FE29&gt;0,FD29/FE29-1,1)</f>
        <v>-0.52020511250574009</v>
      </c>
      <c r="FG29" s="94"/>
      <c r="FH29" s="84"/>
      <c r="FI29" s="84"/>
      <c r="FJ29" s="84"/>
      <c r="FK29" s="84"/>
      <c r="FL29" s="84"/>
      <c r="FM29" s="84"/>
      <c r="FN29" s="84"/>
      <c r="FO29" s="84"/>
      <c r="FP29" s="84"/>
      <c r="FQ29" s="84"/>
      <c r="FR29" s="84"/>
      <c r="FS29" s="84"/>
      <c r="FT29" s="84"/>
      <c r="FU29" s="84"/>
      <c r="FV29" s="84"/>
      <c r="FW29" s="84"/>
      <c r="FX29" s="84"/>
    </row>
    <row r="30" spans="1:180" s="63" customFormat="1" ht="12" customHeight="1" x14ac:dyDescent="0.25">
      <c r="A30" s="110" t="s">
        <v>0</v>
      </c>
      <c r="B30" s="99">
        <f>Serviceorderfile_Current!$W80</f>
        <v>488.8</v>
      </c>
      <c r="C30" s="93">
        <f>Serviceorderfile_PREVIOUS!$W80</f>
        <v>415.95</v>
      </c>
      <c r="D30" s="57">
        <f t="shared" si="152"/>
        <v>0.17514124293785316</v>
      </c>
      <c r="E30" s="93">
        <f>'YOY Orders'!$J19</f>
        <v>1574.5</v>
      </c>
      <c r="F30" s="93">
        <f>'YOY Orders'!$B19</f>
        <v>1081</v>
      </c>
      <c r="G30" s="57">
        <f t="shared" si="171"/>
        <v>0.45652173913043481</v>
      </c>
      <c r="H30" s="99">
        <f>Serviceorderfile_Current!$W82</f>
        <v>373.65000000000003</v>
      </c>
      <c r="I30" s="93">
        <f>Serviceorderfile_PREVIOUS!$W82</f>
        <v>223.25</v>
      </c>
      <c r="J30" s="57">
        <f t="shared" si="2"/>
        <v>0.67368421052631589</v>
      </c>
      <c r="K30" s="93">
        <f>'YOY Orders'!$K19</f>
        <v>551.07500000000005</v>
      </c>
      <c r="L30" s="93">
        <f>'YOY Orders'!$C19</f>
        <v>250.27500000000001</v>
      </c>
      <c r="M30" s="57">
        <f t="shared" si="172"/>
        <v>1.2018779342723005</v>
      </c>
      <c r="N30" s="99">
        <f>Serviceorderfile_Current!$W81</f>
        <v>632.15</v>
      </c>
      <c r="O30" s="93">
        <f>Serviceorderfile_PREVIOUS!$W81</f>
        <v>321.95</v>
      </c>
      <c r="P30" s="57">
        <f t="shared" si="4"/>
        <v>0.96350364963503643</v>
      </c>
      <c r="Q30" s="93">
        <f>'YOY Orders'!$O19</f>
        <v>1438.2</v>
      </c>
      <c r="R30" s="93">
        <f>'YOY Orders'!$G19</f>
        <v>419.47500000000002</v>
      </c>
      <c r="S30" s="57">
        <f t="shared" si="173"/>
        <v>2.4285714285714284</v>
      </c>
      <c r="T30" s="99">
        <f>Serviceorderfile_Current!$W83</f>
        <v>1547.4750000000001</v>
      </c>
      <c r="U30" s="93">
        <f>Serviceorderfile_PREVIOUS!$W83</f>
        <v>1142.1000000000001</v>
      </c>
      <c r="V30" s="57">
        <f t="shared" si="6"/>
        <v>0.35493827160493829</v>
      </c>
      <c r="W30" s="93">
        <f>'YOY Orders'!$L19</f>
        <v>1391.2</v>
      </c>
      <c r="X30" s="93">
        <f>'YOY Orders'!$D19</f>
        <v>1152.675</v>
      </c>
      <c r="Y30" s="57">
        <f t="shared" si="174"/>
        <v>0.2069317023445465</v>
      </c>
      <c r="Z30" s="99">
        <f>Serviceorderfile_Current!$W84</f>
        <v>146.875</v>
      </c>
      <c r="AA30" s="93">
        <f>Serviceorderfile_PREVIOUS!$W84</f>
        <v>63.45</v>
      </c>
      <c r="AB30" s="57">
        <f t="shared" si="8"/>
        <v>1.3148148148148149</v>
      </c>
      <c r="AC30" s="93">
        <f>'YOY Orders'!$N19</f>
        <v>524.05000000000007</v>
      </c>
      <c r="AD30" s="93">
        <f>'YOY Orders'!$F19</f>
        <v>1095.1000000000001</v>
      </c>
      <c r="AE30" s="57">
        <f t="shared" si="175"/>
        <v>-0.52145922746781115</v>
      </c>
      <c r="AF30" s="99">
        <f>Serviceorderfile_Current!$W78</f>
        <v>111.625</v>
      </c>
      <c r="AG30" s="93">
        <f>Serviceorderfile_PREVIOUS!$W78</f>
        <v>41.125</v>
      </c>
      <c r="AH30" s="57">
        <f t="shared" si="10"/>
        <v>1.7142857142857144</v>
      </c>
      <c r="AI30" s="93">
        <f>'YOY Orders'!$M19</f>
        <v>439.45</v>
      </c>
      <c r="AJ30" s="93">
        <f>'YOY Orders'!$E19</f>
        <v>169.20000000000002</v>
      </c>
      <c r="AK30" s="57">
        <f t="shared" si="176"/>
        <v>1.5972222222222219</v>
      </c>
      <c r="AL30" s="116">
        <f t="shared" si="54"/>
        <v>3300.5750000000003</v>
      </c>
      <c r="AM30" s="56">
        <f t="shared" si="55"/>
        <v>2207.8250000000003</v>
      </c>
      <c r="AN30" s="57">
        <f t="shared" si="12"/>
        <v>0.49494411921234693</v>
      </c>
      <c r="AO30" s="116">
        <f t="shared" si="165"/>
        <v>5918.4749999999995</v>
      </c>
      <c r="AP30" s="56">
        <f t="shared" si="166"/>
        <v>4167.7250000000004</v>
      </c>
      <c r="AQ30" s="57">
        <f t="shared" si="177"/>
        <v>0.42007330138144883</v>
      </c>
      <c r="AR30" s="72"/>
      <c r="AS30" s="110" t="s">
        <v>0</v>
      </c>
      <c r="AT30" s="99">
        <f>Serviceorderfile_Current!$I80*Serviceorderfile_Current!$U80</f>
        <v>218.55</v>
      </c>
      <c r="AU30" s="93">
        <f>Serviceorderfile_PREVIOUS!$I80*Serviceorderfile_PREVIOUS!$U80</f>
        <v>178.6</v>
      </c>
      <c r="AV30" s="57">
        <f t="shared" si="178"/>
        <v>0.22368421052631593</v>
      </c>
      <c r="AW30" s="78">
        <f t="shared" si="179"/>
        <v>0.44711538461538464</v>
      </c>
      <c r="AX30" s="75">
        <f t="shared" si="16"/>
        <v>0.42937853107344631</v>
      </c>
      <c r="AY30" s="119">
        <f t="shared" si="180"/>
        <v>1.7736853541938324</v>
      </c>
      <c r="AZ30" s="99">
        <f>Serviceorderfile_Current!$I82*Serviceorderfile_Current!$U82</f>
        <v>102.22500000000001</v>
      </c>
      <c r="BA30" s="93">
        <f>Serviceorderfile_PREVIOUS!$I82*Serviceorderfile_PREVIOUS!$U82</f>
        <v>211.5</v>
      </c>
      <c r="BB30" s="57">
        <f t="shared" si="181"/>
        <v>-0.51666666666666661</v>
      </c>
      <c r="BC30" s="78">
        <f t="shared" si="182"/>
        <v>0.27358490566037735</v>
      </c>
      <c r="BD30" s="75">
        <f t="shared" si="183"/>
        <v>0.94736842105263153</v>
      </c>
      <c r="BE30" s="119">
        <f t="shared" si="184"/>
        <v>-67.37835153922542</v>
      </c>
      <c r="BF30" s="99">
        <f>Serviceorderfile_Current!$I81*Serviceorderfile_Current!$U81</f>
        <v>138.65</v>
      </c>
      <c r="BG30" s="93">
        <f>Serviceorderfile_PREVIOUS!$I81*Serviceorderfile_PREVIOUS!$U81</f>
        <v>61.1</v>
      </c>
      <c r="BH30" s="57">
        <f t="shared" si="185"/>
        <v>1.2692307692307692</v>
      </c>
      <c r="BI30" s="78">
        <f t="shared" si="186"/>
        <v>0.21933085501858737</v>
      </c>
      <c r="BJ30" s="75">
        <f t="shared" si="187"/>
        <v>0.18978102189781024</v>
      </c>
      <c r="BK30" s="119">
        <f t="shared" si="188"/>
        <v>2.9549833120777134</v>
      </c>
      <c r="BL30" s="99">
        <f>Serviceorderfile_Current!$I83*Serviceorderfile_Current!$U83</f>
        <v>177.42500000000001</v>
      </c>
      <c r="BM30" s="93">
        <f>Serviceorderfile_PREVIOUS!$I83*Serviceorderfile_PREVIOUS!$U83</f>
        <v>203.27500000000001</v>
      </c>
      <c r="BN30" s="57">
        <f t="shared" si="189"/>
        <v>-0.1271676300578034</v>
      </c>
      <c r="BO30" s="78">
        <f t="shared" si="190"/>
        <v>0.11465451784358389</v>
      </c>
      <c r="BP30" s="75">
        <f t="shared" si="191"/>
        <v>0.1779835390946502</v>
      </c>
      <c r="BQ30" s="119">
        <f t="shared" si="192"/>
        <v>-6.3329021251066306</v>
      </c>
      <c r="BR30" s="99">
        <f>Serviceorderfile_Current!$I84*Serviceorderfile_Current!$U84</f>
        <v>70.5</v>
      </c>
      <c r="BS30" s="93">
        <f>Serviceorderfile_PREVIOUS!$I84*Serviceorderfile_PREVIOUS!$U84</f>
        <v>29.375</v>
      </c>
      <c r="BT30" s="57">
        <f t="shared" si="193"/>
        <v>1.4</v>
      </c>
      <c r="BU30" s="78">
        <f t="shared" si="194"/>
        <v>0.48</v>
      </c>
      <c r="BV30" s="75">
        <f t="shared" si="195"/>
        <v>0.46296296296296297</v>
      </c>
      <c r="BW30" s="119">
        <f t="shared" si="196"/>
        <v>1.7037037037037017</v>
      </c>
      <c r="BX30" s="99">
        <f>Serviceorderfile_Current!$I78*Serviceorderfile_Current!$U80</f>
        <v>32.9</v>
      </c>
      <c r="BY30" s="93">
        <f>Serviceorderfile_PREVIOUS!$I78*Serviceorderfile_PREVIOUS!$U80</f>
        <v>41.125</v>
      </c>
      <c r="BZ30" s="57">
        <f t="shared" si="197"/>
        <v>-0.20000000000000007</v>
      </c>
      <c r="CA30" s="78">
        <f t="shared" si="198"/>
        <v>0.29473684210526313</v>
      </c>
      <c r="CB30" s="75">
        <f t="shared" si="199"/>
        <v>1</v>
      </c>
      <c r="CC30" s="119">
        <f t="shared" si="200"/>
        <v>-70.526315789473685</v>
      </c>
      <c r="CD30" s="118">
        <f t="shared" si="201"/>
        <v>740.25</v>
      </c>
      <c r="CE30" s="77">
        <f t="shared" si="202"/>
        <v>724.97500000000002</v>
      </c>
      <c r="CF30" s="57">
        <f t="shared" si="203"/>
        <v>2.1069692058346856E-2</v>
      </c>
      <c r="CG30" s="78">
        <f t="shared" si="204"/>
        <v>0.22427910288358846</v>
      </c>
      <c r="CH30" s="75">
        <f t="shared" si="154"/>
        <v>0.32836615220862159</v>
      </c>
      <c r="CI30" s="119">
        <f t="shared" si="205"/>
        <v>-10.408704932503312</v>
      </c>
      <c r="CJ30" s="85"/>
      <c r="CK30" s="110" t="s">
        <v>0</v>
      </c>
      <c r="CL30" s="99">
        <f>Serviceorderfile_Current!$J80*Serviceorderfile_Current!$U80</f>
        <v>211.5</v>
      </c>
      <c r="CM30" s="93">
        <f>Serviceorderfile_PREVIOUS!$J80*Serviceorderfile_PREVIOUS!$U80</f>
        <v>95.174999999999997</v>
      </c>
      <c r="CN30" s="57">
        <f t="shared" si="206"/>
        <v>1.2222222222222223</v>
      </c>
      <c r="CO30" s="99">
        <f>Serviceorderfile_Current!$J82*Serviceorderfile_Current!$U82</f>
        <v>135.125</v>
      </c>
      <c r="CP30" s="93">
        <f>Serviceorderfile_PREVIOUS!$J82*Serviceorderfile_PREVIOUS!$U82</f>
        <v>11.75</v>
      </c>
      <c r="CQ30" s="57">
        <f t="shared" si="207"/>
        <v>10.5</v>
      </c>
      <c r="CR30" s="99">
        <f>Serviceorderfile_Current!$J81*Serviceorderfile_Current!$U81</f>
        <v>162.15</v>
      </c>
      <c r="CS30" s="93">
        <f>Serviceorderfile_PREVIOUS!$J81*Serviceorderfile_PREVIOUS!$U81</f>
        <v>35.25</v>
      </c>
      <c r="CT30" s="57">
        <f t="shared" si="208"/>
        <v>3.6000000000000005</v>
      </c>
      <c r="CU30" s="99">
        <f>Serviceorderfile_Current!$J83*Serviceorderfile_Current!$U83</f>
        <v>210.32500000000002</v>
      </c>
      <c r="CV30" s="93">
        <f>Serviceorderfile_PREVIOUS!$J83*Serviceorderfile_PREVIOUS!$U83</f>
        <v>352.5</v>
      </c>
      <c r="CW30" s="57">
        <f t="shared" si="209"/>
        <v>-0.40333333333333332</v>
      </c>
      <c r="CX30" s="99">
        <f>Serviceorderfile_Current!$J84*Serviceorderfile_Current!$U84</f>
        <v>49.35</v>
      </c>
      <c r="CY30" s="93">
        <f>Serviceorderfile_PREVIOUS!$J84*Serviceorderfile_PREVIOUS!$U84</f>
        <v>19.975000000000001</v>
      </c>
      <c r="CZ30" s="57">
        <f t="shared" si="210"/>
        <v>1.4705882352941178</v>
      </c>
      <c r="DA30" s="99">
        <f>Serviceorderfile_Current!$J78*Serviceorderfile_Current!$U80</f>
        <v>78.725000000000009</v>
      </c>
      <c r="DB30" s="93">
        <f>Serviceorderfile_PREVIOUS!$J78*Serviceorderfile_PREVIOUS!$U80</f>
        <v>0</v>
      </c>
      <c r="DC30" s="57">
        <f t="shared" si="211"/>
        <v>1</v>
      </c>
      <c r="DD30" s="118">
        <f t="shared" si="167"/>
        <v>847.17500000000007</v>
      </c>
      <c r="DE30" s="77">
        <f t="shared" si="168"/>
        <v>514.65</v>
      </c>
      <c r="DF30" s="57">
        <f t="shared" si="212"/>
        <v>0.64611872146118743</v>
      </c>
      <c r="DG30" s="86"/>
      <c r="DH30" s="110" t="s">
        <v>0</v>
      </c>
      <c r="DI30" s="99">
        <f>Serviceorderfile_Current!$K80*Serviceorderfile_Current!$U80</f>
        <v>58.75</v>
      </c>
      <c r="DJ30" s="93">
        <f>Serviceorderfile_PREVIOUS!$K80*Serviceorderfile_PREVIOUS!$U80</f>
        <v>117.5</v>
      </c>
      <c r="DK30" s="57">
        <f t="shared" si="213"/>
        <v>-0.5</v>
      </c>
      <c r="DL30" s="99">
        <f>Serviceorderfile_Current!$K82*Serviceorderfile_Current!$U82</f>
        <v>136.30000000000001</v>
      </c>
      <c r="DM30" s="93">
        <f>Serviceorderfile_PREVIOUS!$K82*Serviceorderfile_PREVIOUS!$U82</f>
        <v>0</v>
      </c>
      <c r="DN30" s="57">
        <f t="shared" si="214"/>
        <v>1</v>
      </c>
      <c r="DO30" s="99">
        <f>Serviceorderfile_Current!$K81*Serviceorderfile_Current!$U81</f>
        <v>83.424999999999997</v>
      </c>
      <c r="DP30" s="93">
        <f>Serviceorderfile_PREVIOUS!$K81*Serviceorderfile_PREVIOUS!$U81</f>
        <v>31.725000000000001</v>
      </c>
      <c r="DQ30" s="57">
        <f t="shared" si="215"/>
        <v>1.6296296296296293</v>
      </c>
      <c r="DR30" s="99">
        <f>Serviceorderfile_Current!$K83*Serviceorderfile_Current!$U83</f>
        <v>99.875</v>
      </c>
      <c r="DS30" s="93">
        <f>Serviceorderfile_PREVIOUS!$K83*Serviceorderfile_PREVIOUS!$U83</f>
        <v>109.27500000000001</v>
      </c>
      <c r="DT30" s="57">
        <f t="shared" si="216"/>
        <v>-8.6021505376344121E-2</v>
      </c>
      <c r="DU30" s="99">
        <f>Serviceorderfile_Current!$K84*Serviceorderfile_Current!$U84</f>
        <v>23.5</v>
      </c>
      <c r="DV30" s="93">
        <f>Serviceorderfile_PREVIOUS!$K84*Serviceorderfile_PREVIOUS!$U84</f>
        <v>2.35</v>
      </c>
      <c r="DW30" s="57">
        <f t="shared" si="217"/>
        <v>9</v>
      </c>
      <c r="DX30" s="99">
        <f>Serviceorderfile_Current!$K78*Serviceorderfile_Current!$U80</f>
        <v>0</v>
      </c>
      <c r="DY30" s="93">
        <f>Serviceorderfile_PREVIOUS!$K78*Serviceorderfile_PREVIOUS!$U80</f>
        <v>0</v>
      </c>
      <c r="DZ30" s="57">
        <f t="shared" si="218"/>
        <v>1</v>
      </c>
      <c r="EA30" s="118">
        <f t="shared" si="169"/>
        <v>401.85</v>
      </c>
      <c r="EB30" s="77">
        <f t="shared" si="170"/>
        <v>260.85000000000002</v>
      </c>
      <c r="EC30" s="57">
        <f t="shared" si="219"/>
        <v>0.54054054054054057</v>
      </c>
      <c r="ED30" s="94"/>
      <c r="EE30" s="124" t="s">
        <v>0</v>
      </c>
      <c r="EF30" s="76">
        <f>Serviceorderfile_Current!$V77</f>
        <v>0.99971639251276234</v>
      </c>
      <c r="EG30" s="57">
        <f>Aged!E6</f>
        <v>1</v>
      </c>
      <c r="EH30" s="99">
        <f>Serviceorderfile_Current!$U72*Serviceorderfile_Current!$H72</f>
        <v>1418.2250000000001</v>
      </c>
      <c r="EI30" s="93">
        <f>Serviceorderfile_PREVIOUS!$U72*Serviceorderfile_PREVIOUS!$H72</f>
        <v>526.4</v>
      </c>
      <c r="EJ30" s="57">
        <f t="shared" si="47"/>
        <v>1.6941964285714288</v>
      </c>
      <c r="EK30" s="99">
        <f>Serviceorderfile_Current!$U74*Serviceorderfile_Current!$H74</f>
        <v>1438.2</v>
      </c>
      <c r="EL30" s="93">
        <f>Serviceorderfile_PREVIOUS!$U74*Serviceorderfile_PREVIOUS!$H74</f>
        <v>42.300000000000004</v>
      </c>
      <c r="EM30" s="57">
        <f t="shared" si="220"/>
        <v>33</v>
      </c>
      <c r="EN30" s="99">
        <f>Serviceorderfile_Current!$U73*Serviceorderfile_Current!$H73</f>
        <v>219.72499999999999</v>
      </c>
      <c r="EO30" s="93">
        <f>Serviceorderfile_PREVIOUS!$U73*Serviceorderfile_PREVIOUS!$H73</f>
        <v>573.4</v>
      </c>
      <c r="EP30" s="57">
        <f t="shared" si="221"/>
        <v>-0.61680327868852458</v>
      </c>
      <c r="EQ30" s="99">
        <f>Serviceorderfile_Current!$U75*Serviceorderfile_Current!$H75</f>
        <v>1066.9000000000001</v>
      </c>
      <c r="ER30" s="93">
        <f>Serviceorderfile_PREVIOUS!$U75*Serviceorderfile_PREVIOUS!$H75</f>
        <v>628.625</v>
      </c>
      <c r="ES30" s="57">
        <f t="shared" si="222"/>
        <v>0.69719626168224313</v>
      </c>
      <c r="ET30" s="99">
        <f>Serviceorderfile_Current!$U76*Serviceorderfile_Current!$H76</f>
        <v>0</v>
      </c>
      <c r="EU30" s="93">
        <f>Serviceorderfile_PREVIOUS!$U76*Serviceorderfile_PREVIOUS!$H76</f>
        <v>3.5250000000000004</v>
      </c>
      <c r="EV30" s="57">
        <f t="shared" si="223"/>
        <v>-1</v>
      </c>
      <c r="EW30" s="84"/>
      <c r="EX30" s="76">
        <f>Serviceorderfile_Current!$V70</f>
        <v>0.98568507157464214</v>
      </c>
      <c r="EY30" s="47">
        <f>Aged!E59</f>
        <v>0.34</v>
      </c>
      <c r="EZ30" s="99">
        <f>Serviceorderfile_Current!$U70*Serviceorderfile_Current!$H70</f>
        <v>574.57500000000005</v>
      </c>
      <c r="FA30" s="93">
        <f>Serviceorderfile_PREVIOUS!$U70*Serviceorderfile_PREVIOUS!$H70</f>
        <v>200.92500000000001</v>
      </c>
      <c r="FB30" s="57">
        <f t="shared" si="224"/>
        <v>1.8596491228070176</v>
      </c>
      <c r="FC30" s="84"/>
      <c r="FD30" s="118">
        <f t="shared" si="66"/>
        <v>4717.625</v>
      </c>
      <c r="FE30" s="77">
        <f t="shared" si="67"/>
        <v>1975.1749999999997</v>
      </c>
      <c r="FF30" s="57">
        <f t="shared" si="53"/>
        <v>1.3884592504461635</v>
      </c>
      <c r="FG30" s="94"/>
      <c r="FH30" s="84"/>
      <c r="FI30" s="84"/>
      <c r="FJ30" s="84"/>
      <c r="FK30" s="84"/>
      <c r="FL30" s="84"/>
      <c r="FM30" s="84"/>
      <c r="FN30" s="84"/>
      <c r="FO30" s="84"/>
      <c r="FP30" s="84"/>
      <c r="FQ30" s="84"/>
      <c r="FR30" s="84"/>
      <c r="FS30" s="84"/>
      <c r="FT30" s="84"/>
      <c r="FU30" s="84"/>
      <c r="FV30" s="84"/>
      <c r="FW30" s="84"/>
      <c r="FX30" s="84"/>
    </row>
    <row r="31" spans="1:180" s="158" customFormat="1" ht="12" customHeight="1" x14ac:dyDescent="0.25">
      <c r="A31" s="182" t="s">
        <v>45</v>
      </c>
      <c r="B31" s="141">
        <f>Serviceorderfile_Current!$W63</f>
        <v>2157.4</v>
      </c>
      <c r="C31" s="142">
        <f>Serviceorderfile_PREVIOUS!$W63</f>
        <v>1538.3200000000002</v>
      </c>
      <c r="D31" s="143">
        <f t="shared" si="152"/>
        <v>0.40243902439024382</v>
      </c>
      <c r="E31" s="142">
        <f>'YOY Orders'!$J36</f>
        <v>5555.64</v>
      </c>
      <c r="F31" s="142">
        <f>'YOY Orders'!$B36</f>
        <v>3951.6600000000003</v>
      </c>
      <c r="G31" s="143">
        <f t="shared" si="171"/>
        <v>0.40590030518819931</v>
      </c>
      <c r="H31" s="141">
        <f>Serviceorderfile_Current!$W65</f>
        <v>4050.82</v>
      </c>
      <c r="I31" s="142">
        <f>Serviceorderfile_PREVIOUS!$W65</f>
        <v>4093.7000000000003</v>
      </c>
      <c r="J31" s="143">
        <f t="shared" si="2"/>
        <v>-1.0474631751227537E-2</v>
      </c>
      <c r="K31" s="142">
        <f>'YOY Orders'!$K36</f>
        <v>3963.7200000000003</v>
      </c>
      <c r="L31" s="142">
        <f>'YOY Orders'!$C36</f>
        <v>4196.88</v>
      </c>
      <c r="M31" s="143">
        <f t="shared" si="172"/>
        <v>-5.5555555555555469E-2</v>
      </c>
      <c r="N31" s="141">
        <f>Serviceorderfile_Current!$W64</f>
        <v>1857.24</v>
      </c>
      <c r="O31" s="142">
        <f>Serviceorderfile_PREVIOUS!$W64</f>
        <v>1979.18</v>
      </c>
      <c r="P31" s="143">
        <f t="shared" si="4"/>
        <v>-6.1611374407583019E-2</v>
      </c>
      <c r="Q31" s="142">
        <f>'YOY Orders'!$O36</f>
        <v>1901.46</v>
      </c>
      <c r="R31" s="142">
        <f>'YOY Orders'!$G36</f>
        <v>2678.6600000000003</v>
      </c>
      <c r="S31" s="143">
        <f t="shared" si="173"/>
        <v>-0.2901450725362682</v>
      </c>
      <c r="T31" s="141">
        <f>Serviceorderfile_Current!$W66</f>
        <v>5439.06</v>
      </c>
      <c r="U31" s="142">
        <f>Serviceorderfile_PREVIOUS!$W66</f>
        <v>4564.04</v>
      </c>
      <c r="V31" s="143">
        <f t="shared" si="6"/>
        <v>0.19172049324721097</v>
      </c>
      <c r="W31" s="142">
        <f>'YOY Orders'!$L36</f>
        <v>4526.5200000000004</v>
      </c>
      <c r="X31" s="142">
        <f>'YOY Orders'!$D36</f>
        <v>3608.6200000000003</v>
      </c>
      <c r="Y31" s="143">
        <f t="shared" si="174"/>
        <v>0.25436316375789092</v>
      </c>
      <c r="Z31" s="141">
        <f>Serviceorderfile_Current!$W67</f>
        <v>1463.2800000000002</v>
      </c>
      <c r="AA31" s="142">
        <f>Serviceorderfile_PREVIOUS!$W67</f>
        <v>1031.8</v>
      </c>
      <c r="AB31" s="143">
        <f t="shared" si="8"/>
        <v>0.41818181818181843</v>
      </c>
      <c r="AC31" s="142">
        <f>'YOY Orders'!$N36</f>
        <v>738.34</v>
      </c>
      <c r="AD31" s="142">
        <f>'YOY Orders'!$F36</f>
        <v>858.94</v>
      </c>
      <c r="AE31" s="143">
        <f t="shared" si="175"/>
        <v>-0.14040561622464898</v>
      </c>
      <c r="AF31" s="141">
        <f>Serviceorderfile_Current!$W61</f>
        <v>142.04000000000002</v>
      </c>
      <c r="AG31" s="142">
        <f>Serviceorderfile_PREVIOUS!$W61</f>
        <v>34.840000000000003</v>
      </c>
      <c r="AH31" s="143">
        <f t="shared" si="10"/>
        <v>3.0769230769230775</v>
      </c>
      <c r="AI31" s="142">
        <f>'YOY Orders'!$M36</f>
        <v>913.88000000000011</v>
      </c>
      <c r="AJ31" s="142">
        <f>'YOY Orders'!$E36</f>
        <v>620.42000000000007</v>
      </c>
      <c r="AK31" s="143">
        <f t="shared" si="176"/>
        <v>0.47300215982721383</v>
      </c>
      <c r="AL31" s="144">
        <f t="shared" si="54"/>
        <v>15109.840000000002</v>
      </c>
      <c r="AM31" s="145">
        <f t="shared" si="55"/>
        <v>13241.880000000001</v>
      </c>
      <c r="AN31" s="143">
        <f t="shared" si="12"/>
        <v>0.14106456182958915</v>
      </c>
      <c r="AO31" s="144">
        <f t="shared" si="165"/>
        <v>17599.560000000001</v>
      </c>
      <c r="AP31" s="145">
        <f t="shared" si="166"/>
        <v>15915.18</v>
      </c>
      <c r="AQ31" s="143">
        <f t="shared" si="177"/>
        <v>0.10583480676938617</v>
      </c>
      <c r="AR31" s="146"/>
      <c r="AS31" s="140" t="s">
        <v>45</v>
      </c>
      <c r="AT31" s="141">
        <f>Serviceorderfile_Current!$I63*Serviceorderfile_Current!$U63</f>
        <v>1188.5800000000002</v>
      </c>
      <c r="AU31" s="142">
        <f>Serviceorderfile_PREVIOUS!$I63*Serviceorderfile_PREVIOUS!$U63</f>
        <v>932.6400000000001</v>
      </c>
      <c r="AV31" s="143">
        <f t="shared" si="178"/>
        <v>0.27442528735632177</v>
      </c>
      <c r="AW31" s="149">
        <f t="shared" si="179"/>
        <v>0.55093167701863355</v>
      </c>
      <c r="AX31" s="150">
        <f t="shared" si="16"/>
        <v>0.60627177700348434</v>
      </c>
      <c r="AY31" s="151">
        <f t="shared" si="180"/>
        <v>-5.5340099984850788</v>
      </c>
      <c r="AZ31" s="141">
        <f>Serviceorderfile_Current!$I65*Serviceorderfile_Current!$U65</f>
        <v>974.18000000000006</v>
      </c>
      <c r="BA31" s="142">
        <f>Serviceorderfile_PREVIOUS!$I65*Serviceorderfile_PREVIOUS!$U65</f>
        <v>996.96</v>
      </c>
      <c r="BB31" s="143">
        <f t="shared" si="181"/>
        <v>-2.2849462365591378E-2</v>
      </c>
      <c r="BC31" s="149">
        <f t="shared" si="182"/>
        <v>0.24048957988752895</v>
      </c>
      <c r="BD31" s="150">
        <f t="shared" si="183"/>
        <v>0.24353518821603928</v>
      </c>
      <c r="BE31" s="151">
        <f t="shared" si="184"/>
        <v>-0.30456083285103352</v>
      </c>
      <c r="BF31" s="141">
        <f>Serviceorderfile_Current!$I64*Serviceorderfile_Current!$U64</f>
        <v>368.5</v>
      </c>
      <c r="BG31" s="142">
        <f>Serviceorderfile_PREVIOUS!$I64*Serviceorderfile_PREVIOUS!$U64</f>
        <v>380.56</v>
      </c>
      <c r="BH31" s="143">
        <f t="shared" si="185"/>
        <v>-3.169014084507038E-2</v>
      </c>
      <c r="BI31" s="149">
        <f t="shared" si="186"/>
        <v>0.1984126984126984</v>
      </c>
      <c r="BJ31" s="150">
        <f t="shared" si="187"/>
        <v>0.1922816519972918</v>
      </c>
      <c r="BK31" s="151">
        <f t="shared" si="188"/>
        <v>0.61310464154065991</v>
      </c>
      <c r="BL31" s="141">
        <f>Serviceorderfile_Current!$I66*Serviceorderfile_Current!$U66</f>
        <v>656.6</v>
      </c>
      <c r="BM31" s="142">
        <f>Serviceorderfile_PREVIOUS!$I66*Serviceorderfile_PREVIOUS!$U66</f>
        <v>628.46</v>
      </c>
      <c r="BN31" s="143">
        <f t="shared" si="189"/>
        <v>4.4776119402984982E-2</v>
      </c>
      <c r="BO31" s="149">
        <f t="shared" si="190"/>
        <v>0.12071938901207194</v>
      </c>
      <c r="BP31" s="150">
        <f t="shared" si="191"/>
        <v>0.13769817968291251</v>
      </c>
      <c r="BQ31" s="151">
        <f t="shared" si="192"/>
        <v>-1.6978790670840571</v>
      </c>
      <c r="BR31" s="141">
        <f>Serviceorderfile_Current!$I67*Serviceorderfile_Current!$U67</f>
        <v>152.76000000000002</v>
      </c>
      <c r="BS31" s="142">
        <f>Serviceorderfile_PREVIOUS!$I67*Serviceorderfile_PREVIOUS!$U67</f>
        <v>121.94000000000001</v>
      </c>
      <c r="BT31" s="143">
        <f t="shared" si="193"/>
        <v>0.25274725274725274</v>
      </c>
      <c r="BU31" s="149">
        <f t="shared" si="194"/>
        <v>0.1043956043956044</v>
      </c>
      <c r="BV31" s="150">
        <f t="shared" si="195"/>
        <v>0.11818181818181819</v>
      </c>
      <c r="BW31" s="151">
        <f t="shared" si="196"/>
        <v>-1.3786213786213795</v>
      </c>
      <c r="BX31" s="141">
        <f>Serviceorderfile_Current!$I61*Serviceorderfile_Current!$U63</f>
        <v>142.04000000000002</v>
      </c>
      <c r="BY31" s="142">
        <f>Serviceorderfile_PREVIOUS!$I61*Serviceorderfile_PREVIOUS!$U63</f>
        <v>34.840000000000003</v>
      </c>
      <c r="BZ31" s="143">
        <f t="shared" si="197"/>
        <v>3.0769230769230775</v>
      </c>
      <c r="CA31" s="149">
        <f t="shared" si="198"/>
        <v>1</v>
      </c>
      <c r="CB31" s="150">
        <f t="shared" si="199"/>
        <v>1</v>
      </c>
      <c r="CC31" s="151">
        <f t="shared" si="200"/>
        <v>0</v>
      </c>
      <c r="CD31" s="118">
        <f t="shared" si="201"/>
        <v>3482.6600000000008</v>
      </c>
      <c r="CE31" s="77">
        <f t="shared" si="202"/>
        <v>3095.4</v>
      </c>
      <c r="CF31" s="143">
        <f t="shared" si="203"/>
        <v>0.12510822510822539</v>
      </c>
      <c r="CG31" s="149">
        <f t="shared" si="204"/>
        <v>0.23048953529620436</v>
      </c>
      <c r="CH31" s="150">
        <f t="shared" si="154"/>
        <v>0.23375834851244687</v>
      </c>
      <c r="CI31" s="151">
        <f t="shared" si="205"/>
        <v>-0.32688132162425054</v>
      </c>
      <c r="CJ31" s="152"/>
      <c r="CK31" s="140" t="s">
        <v>45</v>
      </c>
      <c r="CL31" s="141">
        <f>Serviceorderfile_Current!$J63*Serviceorderfile_Current!$U63</f>
        <v>714.22</v>
      </c>
      <c r="CM31" s="142">
        <f>Serviceorderfile_PREVIOUS!$J63*Serviceorderfile_PREVIOUS!$U63</f>
        <v>369.84000000000003</v>
      </c>
      <c r="CN31" s="143">
        <f t="shared" si="206"/>
        <v>0.93115942028985499</v>
      </c>
      <c r="CO31" s="141">
        <f>Serviceorderfile_Current!$J65*Serviceorderfile_Current!$U65</f>
        <v>1632.1200000000001</v>
      </c>
      <c r="CP31" s="142">
        <f>Serviceorderfile_PREVIOUS!$J65*Serviceorderfile_PREVIOUS!$U65</f>
        <v>797.30000000000007</v>
      </c>
      <c r="CQ31" s="143">
        <f t="shared" si="207"/>
        <v>1.0470588235294116</v>
      </c>
      <c r="CR31" s="141">
        <f>Serviceorderfile_Current!$J64*Serviceorderfile_Current!$U64</f>
        <v>330.98</v>
      </c>
      <c r="CS31" s="142">
        <f>Serviceorderfile_PREVIOUS!$J64*Serviceorderfile_PREVIOUS!$U64</f>
        <v>261.3</v>
      </c>
      <c r="CT31" s="143">
        <f t="shared" si="208"/>
        <v>0.26666666666666661</v>
      </c>
      <c r="CU31" s="141">
        <f>Serviceorderfile_Current!$J66*Serviceorderfile_Current!$U66</f>
        <v>629.80000000000007</v>
      </c>
      <c r="CV31" s="142">
        <f>Serviceorderfile_PREVIOUS!$J66*Serviceorderfile_PREVIOUS!$U66</f>
        <v>617.74</v>
      </c>
      <c r="CW31" s="143">
        <f t="shared" si="209"/>
        <v>1.952277657266821E-2</v>
      </c>
      <c r="CX31" s="141">
        <f>Serviceorderfile_Current!$J67*Serviceorderfile_Current!$U67</f>
        <v>263.98</v>
      </c>
      <c r="CY31" s="142">
        <f>Serviceorderfile_PREVIOUS!$J67*Serviceorderfile_PREVIOUS!$U67</f>
        <v>52.260000000000005</v>
      </c>
      <c r="CZ31" s="143">
        <f t="shared" si="210"/>
        <v>4.0512820512820511</v>
      </c>
      <c r="DA31" s="141">
        <f>Serviceorderfile_Current!$J61*Serviceorderfile_Current!$U63</f>
        <v>0</v>
      </c>
      <c r="DB31" s="142">
        <f>Serviceorderfile_PREVIOUS!$J61*Serviceorderfile_PREVIOUS!$U63</f>
        <v>0</v>
      </c>
      <c r="DC31" s="143">
        <f t="shared" si="211"/>
        <v>1</v>
      </c>
      <c r="DD31" s="118">
        <f t="shared" si="167"/>
        <v>3571.1000000000004</v>
      </c>
      <c r="DE31" s="77">
        <f t="shared" si="168"/>
        <v>2098.44</v>
      </c>
      <c r="DF31" s="143">
        <f t="shared" si="212"/>
        <v>0.70178799489144339</v>
      </c>
      <c r="DG31" s="153"/>
      <c r="DH31" s="140" t="s">
        <v>45</v>
      </c>
      <c r="DI31" s="141">
        <f>Serviceorderfile_Current!$K63*Serviceorderfile_Current!$U63</f>
        <v>184.92000000000002</v>
      </c>
      <c r="DJ31" s="142">
        <f>Serviceorderfile_PREVIOUS!$K63*Serviceorderfile_PREVIOUS!$U63</f>
        <v>42.88</v>
      </c>
      <c r="DK31" s="143">
        <f t="shared" si="213"/>
        <v>3.3125</v>
      </c>
      <c r="DL31" s="141">
        <f>Serviceorderfile_Current!$K65*Serviceorderfile_Current!$U65</f>
        <v>641.86</v>
      </c>
      <c r="DM31" s="142">
        <f>Serviceorderfile_PREVIOUS!$K65*Serviceorderfile_PREVIOUS!$U65</f>
        <v>716.90000000000009</v>
      </c>
      <c r="DN31" s="143">
        <f t="shared" si="214"/>
        <v>-0.10467289719626183</v>
      </c>
      <c r="DO31" s="141">
        <f>Serviceorderfile_Current!$K64*Serviceorderfile_Current!$U64</f>
        <v>293.46000000000004</v>
      </c>
      <c r="DP31" s="142">
        <f>Serviceorderfile_PREVIOUS!$K64*Serviceorderfile_PREVIOUS!$U64</f>
        <v>251.92000000000002</v>
      </c>
      <c r="DQ31" s="143">
        <f t="shared" si="215"/>
        <v>0.16489361702127669</v>
      </c>
      <c r="DR31" s="141">
        <f>Serviceorderfile_Current!$K66*Serviceorderfile_Current!$U66</f>
        <v>589.6</v>
      </c>
      <c r="DS31" s="142">
        <f>Serviceorderfile_PREVIOUS!$K66*Serviceorderfile_PREVIOUS!$U66</f>
        <v>447.56</v>
      </c>
      <c r="DT31" s="143">
        <f t="shared" si="216"/>
        <v>0.31736526946107779</v>
      </c>
      <c r="DU31" s="141">
        <f>Serviceorderfile_Current!$K67*Serviceorderfile_Current!$U67</f>
        <v>486.42</v>
      </c>
      <c r="DV31" s="142">
        <f>Serviceorderfile_PREVIOUS!$K67*Serviceorderfile_PREVIOUS!$U67</f>
        <v>128.64000000000001</v>
      </c>
      <c r="DW31" s="143">
        <f t="shared" si="217"/>
        <v>2.7812499999999996</v>
      </c>
      <c r="DX31" s="141">
        <f>Serviceorderfile_Current!$K61*Serviceorderfile_Current!$U63</f>
        <v>0</v>
      </c>
      <c r="DY31" s="142">
        <f>Serviceorderfile_PREVIOUS!$K61*Serviceorderfile_PREVIOUS!$U63</f>
        <v>0</v>
      </c>
      <c r="DZ31" s="143">
        <f t="shared" si="218"/>
        <v>1</v>
      </c>
      <c r="EA31" s="118">
        <f t="shared" si="169"/>
        <v>2196.2600000000002</v>
      </c>
      <c r="EB31" s="77">
        <f t="shared" si="170"/>
        <v>1587.9</v>
      </c>
      <c r="EC31" s="143">
        <f t="shared" si="219"/>
        <v>0.38312236286919843</v>
      </c>
      <c r="ED31" s="154"/>
      <c r="EE31" s="155" t="s">
        <v>45</v>
      </c>
      <c r="EF31" s="156">
        <f>Serviceorderfile_Current!$V60</f>
        <v>0.94769147202607273</v>
      </c>
      <c r="EG31" s="143">
        <f>Aged!E5</f>
        <v>0.68</v>
      </c>
      <c r="EH31" s="141">
        <f>Serviceorderfile_Current!$U55*Serviceorderfile_Current!$H55</f>
        <v>5445.76</v>
      </c>
      <c r="EI31" s="142">
        <f>Serviceorderfile_PREVIOUS!$U55*Serviceorderfile_PREVIOUS!$H55</f>
        <v>5346.6</v>
      </c>
      <c r="EJ31" s="143">
        <f t="shared" si="47"/>
        <v>1.8546365914786866E-2</v>
      </c>
      <c r="EK31" s="141">
        <f>Serviceorderfile_Current!$U57*Serviceorderfile_Current!$H57</f>
        <v>7462.46</v>
      </c>
      <c r="EL31" s="142">
        <f>Serviceorderfile_PREVIOUS!$U57*Serviceorderfile_PREVIOUS!$H57</f>
        <v>7300.3200000000006</v>
      </c>
      <c r="EM31" s="143">
        <f t="shared" si="220"/>
        <v>2.2209985315712055E-2</v>
      </c>
      <c r="EN31" s="141">
        <f>Serviceorderfile_Current!$U56*Serviceorderfile_Current!$H56</f>
        <v>3317.84</v>
      </c>
      <c r="EO31" s="142">
        <f>Serviceorderfile_PREVIOUS!$U56*Serviceorderfile_PREVIOUS!$H56</f>
        <v>3466.5800000000004</v>
      </c>
      <c r="EP31" s="143">
        <f t="shared" si="221"/>
        <v>-4.2906841901816817E-2</v>
      </c>
      <c r="EQ31" s="141">
        <f>Serviceorderfile_Current!$U58*Serviceorderfile_Current!$H58</f>
        <v>8443.34</v>
      </c>
      <c r="ER31" s="142">
        <f>Serviceorderfile_PREVIOUS!$U58*Serviceorderfile_PREVIOUS!$H58</f>
        <v>4929.8600000000006</v>
      </c>
      <c r="ES31" s="143">
        <f t="shared" si="222"/>
        <v>0.71269366675727075</v>
      </c>
      <c r="ET31" s="141">
        <f>Serviceorderfile_Current!$U59*Serviceorderfile_Current!$H59</f>
        <v>2.68</v>
      </c>
      <c r="EU31" s="142">
        <f>Serviceorderfile_PREVIOUS!$U59*Serviceorderfile_PREVIOUS!$H59</f>
        <v>73.7</v>
      </c>
      <c r="EV31" s="143">
        <f t="shared" si="223"/>
        <v>-0.96363636363636362</v>
      </c>
      <c r="EW31" s="157"/>
      <c r="EX31" s="156">
        <f>Serviceorderfile_Current!$V53</f>
        <v>0.95594713656387664</v>
      </c>
      <c r="EY31" s="47">
        <f>Aged!E58</f>
        <v>1</v>
      </c>
      <c r="EZ31" s="141">
        <f>Serviceorderfile_Current!$U53*Serviceorderfile_Current!$H53</f>
        <v>912.54000000000008</v>
      </c>
      <c r="FA31" s="142">
        <f>Serviceorderfile_PREVIOUS!$U53*Serviceorderfile_PREVIOUS!$H53</f>
        <v>698.14</v>
      </c>
      <c r="FB31" s="143">
        <f t="shared" si="224"/>
        <v>0.30710172744721698</v>
      </c>
      <c r="FC31" s="157"/>
      <c r="FD31" s="147">
        <f t="shared" si="66"/>
        <v>25584.620000000003</v>
      </c>
      <c r="FE31" s="148">
        <f t="shared" si="67"/>
        <v>21815.200000000004</v>
      </c>
      <c r="FF31" s="143">
        <f t="shared" si="53"/>
        <v>0.17278869778869765</v>
      </c>
      <c r="FG31" s="154"/>
      <c r="FH31" s="157"/>
      <c r="FI31" s="157"/>
      <c r="FJ31" s="157"/>
      <c r="FK31" s="157"/>
      <c r="FL31" s="157"/>
      <c r="FM31" s="157"/>
      <c r="FN31" s="157"/>
      <c r="FO31" s="157"/>
      <c r="FP31" s="157"/>
      <c r="FQ31" s="157"/>
      <c r="FR31" s="157"/>
      <c r="FS31" s="157"/>
      <c r="FT31" s="157"/>
      <c r="FU31" s="157"/>
      <c r="FV31" s="157"/>
      <c r="FW31" s="157"/>
      <c r="FX31" s="157"/>
    </row>
    <row r="32" spans="1:180" s="63" customFormat="1" ht="12" customHeight="1" x14ac:dyDescent="0.25">
      <c r="A32" s="110" t="s">
        <v>35</v>
      </c>
      <c r="B32" s="99">
        <f>Serviceorderfile_Current!$W267</f>
        <v>1281.925</v>
      </c>
      <c r="C32" s="93">
        <f>Serviceorderfile_PREVIOUS!$W267</f>
        <v>1075.125</v>
      </c>
      <c r="D32" s="57">
        <f t="shared" si="152"/>
        <v>0.19234972677595619</v>
      </c>
      <c r="E32" s="93">
        <f>'YOY Orders'!$J35</f>
        <v>1713.15</v>
      </c>
      <c r="F32" s="93">
        <f>'YOY Orders'!$B35</f>
        <v>1358.3</v>
      </c>
      <c r="G32" s="57">
        <f t="shared" si="171"/>
        <v>0.26124567474048455</v>
      </c>
      <c r="H32" s="99">
        <f>Serviceorderfile_Current!$W269</f>
        <v>764.92500000000007</v>
      </c>
      <c r="I32" s="93">
        <f>Serviceorderfile_PREVIOUS!$W269</f>
        <v>708.52499999999998</v>
      </c>
      <c r="J32" s="57">
        <f t="shared" si="2"/>
        <v>7.9601990049751326E-2</v>
      </c>
      <c r="K32" s="93">
        <f>'YOY Orders'!$K35</f>
        <v>1394.7250000000001</v>
      </c>
      <c r="L32" s="93">
        <f>'YOY Orders'!$C35</f>
        <v>1176.175</v>
      </c>
      <c r="M32" s="57">
        <f t="shared" si="172"/>
        <v>0.18581418581418596</v>
      </c>
      <c r="N32" s="99">
        <f>Serviceorderfile_Current!$W268</f>
        <v>1790.7</v>
      </c>
      <c r="O32" s="93">
        <f>Serviceorderfile_PREVIOUS!$W268</f>
        <v>1238.45</v>
      </c>
      <c r="P32" s="57">
        <f t="shared" si="4"/>
        <v>0.44592030360531298</v>
      </c>
      <c r="Q32" s="93">
        <f>'YOY Orders'!$O35</f>
        <v>1245.5</v>
      </c>
      <c r="R32" s="93">
        <f>'YOY Orders'!$G35</f>
        <v>883.6</v>
      </c>
      <c r="S32" s="57">
        <f t="shared" si="173"/>
        <v>0.40957446808510634</v>
      </c>
      <c r="T32" s="99">
        <f>Serviceorderfile_Current!$W270</f>
        <v>1339.5</v>
      </c>
      <c r="U32" s="93">
        <f>Serviceorderfile_PREVIOUS!$W270</f>
        <v>1487.55</v>
      </c>
      <c r="V32" s="57">
        <f t="shared" si="6"/>
        <v>-9.9526066350710818E-2</v>
      </c>
      <c r="W32" s="93">
        <f>'YOY Orders'!$L35</f>
        <v>1451.125</v>
      </c>
      <c r="X32" s="93">
        <f>'YOY Orders'!$D35</f>
        <v>1593.3</v>
      </c>
      <c r="Y32" s="57">
        <f t="shared" si="174"/>
        <v>-8.9233038348082605E-2</v>
      </c>
      <c r="Z32" s="99">
        <f>Serviceorderfile_Current!$W271</f>
        <v>36.425000000000004</v>
      </c>
      <c r="AA32" s="93">
        <f>Serviceorderfile_PREVIOUS!$W271</f>
        <v>24.675000000000001</v>
      </c>
      <c r="AB32" s="57">
        <f t="shared" si="8"/>
        <v>0.47619047619047628</v>
      </c>
      <c r="AC32" s="93">
        <f>'YOY Orders'!$N35</f>
        <v>124.55000000000001</v>
      </c>
      <c r="AD32" s="93">
        <f>'YOY Orders'!$F35</f>
        <v>38.774999999999999</v>
      </c>
      <c r="AE32" s="57">
        <f t="shared" si="175"/>
        <v>2.2121212121212124</v>
      </c>
      <c r="AF32" s="99">
        <f>Serviceorderfile_Current!$W265</f>
        <v>254.97500000000002</v>
      </c>
      <c r="AG32" s="93">
        <f>Serviceorderfile_PREVIOUS!$W265</f>
        <v>225.60000000000002</v>
      </c>
      <c r="AH32" s="57">
        <f t="shared" si="10"/>
        <v>0.13020833333333326</v>
      </c>
      <c r="AI32" s="93">
        <f>'YOY Orders'!$M35</f>
        <v>347.8</v>
      </c>
      <c r="AJ32" s="93">
        <f>'YOY Orders'!$E35</f>
        <v>465.3</v>
      </c>
      <c r="AK32" s="57">
        <f t="shared" si="176"/>
        <v>-0.25252525252525249</v>
      </c>
      <c r="AL32" s="116">
        <f t="shared" si="54"/>
        <v>5468.4500000000007</v>
      </c>
      <c r="AM32" s="56">
        <f t="shared" si="55"/>
        <v>4759.9250000000002</v>
      </c>
      <c r="AN32" s="57">
        <f t="shared" si="12"/>
        <v>0.14885213527524077</v>
      </c>
      <c r="AO32" s="116">
        <f t="shared" si="165"/>
        <v>6276.85</v>
      </c>
      <c r="AP32" s="56">
        <f t="shared" si="166"/>
        <v>5515.4500000000007</v>
      </c>
      <c r="AQ32" s="57">
        <f t="shared" si="177"/>
        <v>0.13804857264593084</v>
      </c>
      <c r="AR32" s="72"/>
      <c r="AS32" s="110" t="s">
        <v>35</v>
      </c>
      <c r="AT32" s="99">
        <f>Serviceorderfile_Current!$I267*Serviceorderfile_Current!$U267</f>
        <v>284.35000000000002</v>
      </c>
      <c r="AU32" s="93">
        <f>Serviceorderfile_PREVIOUS!$I267*Serviceorderfile_PREVIOUS!$U267</f>
        <v>360.72500000000002</v>
      </c>
      <c r="AV32" s="57">
        <f t="shared" si="178"/>
        <v>-0.21172638436482083</v>
      </c>
      <c r="AW32" s="78">
        <f t="shared" si="179"/>
        <v>0.22181484876260313</v>
      </c>
      <c r="AX32" s="75">
        <f t="shared" si="16"/>
        <v>0.33551912568306014</v>
      </c>
      <c r="AY32" s="119">
        <f t="shared" si="180"/>
        <v>-11.3704276920457</v>
      </c>
      <c r="AZ32" s="99">
        <f>Serviceorderfile_Current!$I269*Serviceorderfile_Current!$U269</f>
        <v>213.85</v>
      </c>
      <c r="BA32" s="93">
        <f>Serviceorderfile_PREVIOUS!$I269*Serviceorderfile_PREVIOUS!$U269</f>
        <v>218.55</v>
      </c>
      <c r="BB32" s="57">
        <f t="shared" si="181"/>
        <v>-2.1505376344086113E-2</v>
      </c>
      <c r="BC32" s="78">
        <f t="shared" si="182"/>
        <v>0.27956989247311825</v>
      </c>
      <c r="BD32" s="75">
        <f t="shared" si="183"/>
        <v>0.30845771144278611</v>
      </c>
      <c r="BE32" s="119">
        <f t="shared" si="184"/>
        <v>-2.8887818969667856</v>
      </c>
      <c r="BF32" s="99">
        <f>Serviceorderfile_Current!$I268*Serviceorderfile_Current!$U268</f>
        <v>204.45000000000002</v>
      </c>
      <c r="BG32" s="93">
        <f>Serviceorderfile_PREVIOUS!$I268*Serviceorderfile_PREVIOUS!$U268</f>
        <v>205.625</v>
      </c>
      <c r="BH32" s="57">
        <f t="shared" si="185"/>
        <v>-5.7142857142856718E-3</v>
      </c>
      <c r="BI32" s="78">
        <f t="shared" si="186"/>
        <v>0.1141732283464567</v>
      </c>
      <c r="BJ32" s="75">
        <f t="shared" si="187"/>
        <v>0.16603415559772294</v>
      </c>
      <c r="BK32" s="119">
        <f t="shared" si="188"/>
        <v>-5.1860927251266249</v>
      </c>
      <c r="BL32" s="99">
        <f>Serviceorderfile_Current!$I270*Serviceorderfile_Current!$U270</f>
        <v>408.90000000000003</v>
      </c>
      <c r="BM32" s="93">
        <f>Serviceorderfile_PREVIOUS!$I270*Serviceorderfile_PREVIOUS!$U270</f>
        <v>316.07499999999999</v>
      </c>
      <c r="BN32" s="57">
        <f t="shared" si="189"/>
        <v>0.29368029739776969</v>
      </c>
      <c r="BO32" s="78">
        <f t="shared" si="190"/>
        <v>0.30526315789473685</v>
      </c>
      <c r="BP32" s="75">
        <f t="shared" si="191"/>
        <v>0.21248025276461296</v>
      </c>
      <c r="BQ32" s="119">
        <f t="shared" si="192"/>
        <v>9.2782905130123883</v>
      </c>
      <c r="BR32" s="99">
        <f>Serviceorderfile_Current!$I271*Serviceorderfile_Current!$U271</f>
        <v>14.100000000000001</v>
      </c>
      <c r="BS32" s="93">
        <f>Serviceorderfile_PREVIOUS!$I271*Serviceorderfile_PREVIOUS!$U271</f>
        <v>17.625</v>
      </c>
      <c r="BT32" s="57">
        <f t="shared" si="193"/>
        <v>-0.19999999999999996</v>
      </c>
      <c r="BU32" s="78">
        <f t="shared" si="194"/>
        <v>0.38709677419354838</v>
      </c>
      <c r="BV32" s="75">
        <f t="shared" si="195"/>
        <v>0.7142857142857143</v>
      </c>
      <c r="BW32" s="119">
        <f t="shared" si="196"/>
        <v>-32.718894009216591</v>
      </c>
      <c r="BX32" s="99">
        <f>Serviceorderfile_Current!$I265*Serviceorderfile_Current!$U267</f>
        <v>62.275000000000006</v>
      </c>
      <c r="BY32" s="93">
        <f>Serviceorderfile_PREVIOUS!$I265*Serviceorderfile_PREVIOUS!$U267</f>
        <v>96.350000000000009</v>
      </c>
      <c r="BZ32" s="57">
        <f t="shared" si="197"/>
        <v>-0.35365853658536583</v>
      </c>
      <c r="CA32" s="78">
        <f t="shared" si="198"/>
        <v>0.24423963133640553</v>
      </c>
      <c r="CB32" s="75">
        <f t="shared" si="199"/>
        <v>0.42708333333333331</v>
      </c>
      <c r="CC32" s="119">
        <f t="shared" si="200"/>
        <v>-18.284370199692781</v>
      </c>
      <c r="CD32" s="118">
        <f t="shared" si="201"/>
        <v>1187.925</v>
      </c>
      <c r="CE32" s="77">
        <f t="shared" si="202"/>
        <v>1214.95</v>
      </c>
      <c r="CF32" s="57">
        <f t="shared" si="203"/>
        <v>-2.2243713733075543E-2</v>
      </c>
      <c r="CG32" s="78">
        <f t="shared" si="204"/>
        <v>0.2172324881822088</v>
      </c>
      <c r="CH32" s="75">
        <f t="shared" si="154"/>
        <v>0.25524561836583559</v>
      </c>
      <c r="CI32" s="119">
        <f t="shared" si="205"/>
        <v>-3.8013130183626789</v>
      </c>
      <c r="CJ32" s="85"/>
      <c r="CK32" s="110" t="s">
        <v>35</v>
      </c>
      <c r="CL32" s="99">
        <f>Serviceorderfile_Current!$J267*Serviceorderfile_Current!$U267</f>
        <v>292.57499999999999</v>
      </c>
      <c r="CM32" s="93">
        <f>Serviceorderfile_PREVIOUS!$J267*Serviceorderfile_PREVIOUS!$U267</f>
        <v>513.47500000000002</v>
      </c>
      <c r="CN32" s="57">
        <f t="shared" si="206"/>
        <v>-0.43020594965675063</v>
      </c>
      <c r="CO32" s="99">
        <f>Serviceorderfile_Current!$J269*Serviceorderfile_Current!$U269</f>
        <v>220.9</v>
      </c>
      <c r="CP32" s="93">
        <f>Serviceorderfile_PREVIOUS!$J269*Serviceorderfile_PREVIOUS!$U269</f>
        <v>329</v>
      </c>
      <c r="CQ32" s="57">
        <f t="shared" si="207"/>
        <v>-0.32857142857142851</v>
      </c>
      <c r="CR32" s="99">
        <f>Serviceorderfile_Current!$J268*Serviceorderfile_Current!$U268</f>
        <v>213.85</v>
      </c>
      <c r="CS32" s="93">
        <f>Serviceorderfile_PREVIOUS!$J268*Serviceorderfile_PREVIOUS!$U268</f>
        <v>125.72500000000001</v>
      </c>
      <c r="CT32" s="57">
        <f t="shared" si="208"/>
        <v>0.70093457943925208</v>
      </c>
      <c r="CU32" s="99">
        <f>Serviceorderfile_Current!$J270*Serviceorderfile_Current!$U270</f>
        <v>111.625</v>
      </c>
      <c r="CV32" s="93">
        <f>Serviceorderfile_PREVIOUS!$J270*Serviceorderfile_PREVIOUS!$U270</f>
        <v>111.625</v>
      </c>
      <c r="CW32" s="57">
        <f t="shared" si="209"/>
        <v>0</v>
      </c>
      <c r="CX32" s="99">
        <f>Serviceorderfile_Current!$J271*Serviceorderfile_Current!$U271</f>
        <v>17.625</v>
      </c>
      <c r="CY32" s="93">
        <f>Serviceorderfile_PREVIOUS!$J271*Serviceorderfile_PREVIOUS!$U271</f>
        <v>0</v>
      </c>
      <c r="CZ32" s="57">
        <f t="shared" si="210"/>
        <v>1</v>
      </c>
      <c r="DA32" s="99">
        <f>Serviceorderfile_Current!$J265*Serviceorderfile_Current!$U267</f>
        <v>105.75</v>
      </c>
      <c r="DB32" s="93">
        <f>Serviceorderfile_PREVIOUS!$J265*Serviceorderfile_PREVIOUS!$U267</f>
        <v>90.475000000000009</v>
      </c>
      <c r="DC32" s="57">
        <f t="shared" si="211"/>
        <v>0.16883116883116878</v>
      </c>
      <c r="DD32" s="118">
        <f t="shared" si="167"/>
        <v>962.32500000000005</v>
      </c>
      <c r="DE32" s="77">
        <f t="shared" si="168"/>
        <v>1170.3</v>
      </c>
      <c r="DF32" s="57">
        <f t="shared" si="212"/>
        <v>-0.17771084337349385</v>
      </c>
      <c r="DG32" s="86"/>
      <c r="DH32" s="110" t="s">
        <v>35</v>
      </c>
      <c r="DI32" s="99">
        <f>Serviceorderfile_Current!$K267*Serviceorderfile_Current!$U267</f>
        <v>252.625</v>
      </c>
      <c r="DJ32" s="93">
        <f>Serviceorderfile_PREVIOUS!$K267*Serviceorderfile_PREVIOUS!$U267</f>
        <v>142.17500000000001</v>
      </c>
      <c r="DK32" s="57">
        <f t="shared" si="213"/>
        <v>0.77685950413223126</v>
      </c>
      <c r="DL32" s="99">
        <f>Serviceorderfile_Current!$K269*Serviceorderfile_Current!$U269</f>
        <v>195.05</v>
      </c>
      <c r="DM32" s="93">
        <f>Serviceorderfile_PREVIOUS!$K269*Serviceorderfile_PREVIOUS!$U269</f>
        <v>158.625</v>
      </c>
      <c r="DN32" s="57">
        <f t="shared" si="214"/>
        <v>0.22962962962962963</v>
      </c>
      <c r="DO32" s="99">
        <f>Serviceorderfile_Current!$K268*Serviceorderfile_Current!$U268</f>
        <v>239.70000000000002</v>
      </c>
      <c r="DP32" s="93">
        <f>Serviceorderfile_PREVIOUS!$K268*Serviceorderfile_PREVIOUS!$U268</f>
        <v>109.27500000000001</v>
      </c>
      <c r="DQ32" s="57">
        <f t="shared" si="215"/>
        <v>1.193548387096774</v>
      </c>
      <c r="DR32" s="99">
        <f>Serviceorderfile_Current!$K270*Serviceorderfile_Current!$U270</f>
        <v>102.22500000000001</v>
      </c>
      <c r="DS32" s="93">
        <f>Serviceorderfile_PREVIOUS!$K270*Serviceorderfile_PREVIOUS!$U270</f>
        <v>145.70000000000002</v>
      </c>
      <c r="DT32" s="57">
        <f t="shared" si="216"/>
        <v>-0.29838709677419362</v>
      </c>
      <c r="DU32" s="99">
        <f>Serviceorderfile_Current!$K271*Serviceorderfile_Current!$U271</f>
        <v>0</v>
      </c>
      <c r="DV32" s="93">
        <f>Serviceorderfile_PREVIOUS!$K271*Serviceorderfile_PREVIOUS!$U271</f>
        <v>0</v>
      </c>
      <c r="DW32" s="57">
        <f t="shared" si="217"/>
        <v>1</v>
      </c>
      <c r="DX32" s="99">
        <f>Serviceorderfile_Current!$K265*Serviceorderfile_Current!$U267</f>
        <v>84.600000000000009</v>
      </c>
      <c r="DY32" s="93">
        <f>Serviceorderfile_PREVIOUS!$K265*Serviceorderfile_PREVIOUS!$U267</f>
        <v>38.774999999999999</v>
      </c>
      <c r="DZ32" s="57">
        <f t="shared" si="218"/>
        <v>1.1818181818181821</v>
      </c>
      <c r="EA32" s="118">
        <f t="shared" si="169"/>
        <v>874.2</v>
      </c>
      <c r="EB32" s="77">
        <f t="shared" si="170"/>
        <v>594.55000000000007</v>
      </c>
      <c r="EC32" s="57">
        <f t="shared" si="219"/>
        <v>0.47035573122529639</v>
      </c>
      <c r="ED32" s="94"/>
      <c r="EE32" s="124" t="s">
        <v>35</v>
      </c>
      <c r="EF32" s="76">
        <f>Serviceorderfile_Current!$V264</f>
        <v>1</v>
      </c>
      <c r="EG32" s="57">
        <f>Aged!E17</f>
        <v>1</v>
      </c>
      <c r="EH32" s="99">
        <f>Serviceorderfile_Current!$U259*Serviceorderfile_Current!$H259</f>
        <v>2118.5250000000001</v>
      </c>
      <c r="EI32" s="93">
        <f>Serviceorderfile_PREVIOUS!$U259*Serviceorderfile_PREVIOUS!$H259</f>
        <v>1022.25</v>
      </c>
      <c r="EJ32" s="57">
        <f t="shared" si="47"/>
        <v>1.0724137931034483</v>
      </c>
      <c r="EK32" s="99">
        <f>Serviceorderfile_Current!$U261*Serviceorderfile_Current!$H261</f>
        <v>2332.375</v>
      </c>
      <c r="EL32" s="93">
        <f>Serviceorderfile_PREVIOUS!$U261*Serviceorderfile_PREVIOUS!$H261</f>
        <v>1964.6000000000001</v>
      </c>
      <c r="EM32" s="57">
        <f t="shared" si="220"/>
        <v>0.18720095693779903</v>
      </c>
      <c r="EN32" s="99">
        <f>Serviceorderfile_Current!$U260*Serviceorderfile_Current!$H260</f>
        <v>1823.6000000000001</v>
      </c>
      <c r="EO32" s="93">
        <f>Serviceorderfile_PREVIOUS!$U260*Serviceorderfile_PREVIOUS!$H260</f>
        <v>1332.45</v>
      </c>
      <c r="EP32" s="57">
        <f t="shared" si="221"/>
        <v>0.36860670194003542</v>
      </c>
      <c r="EQ32" s="99">
        <f>Serviceorderfile_Current!$U262*Serviceorderfile_Current!$H262</f>
        <v>808.4</v>
      </c>
      <c r="ER32" s="93">
        <f>Serviceorderfile_PREVIOUS!$U262*Serviceorderfile_PREVIOUS!$H262</f>
        <v>1802.45</v>
      </c>
      <c r="ES32" s="57">
        <f t="shared" si="222"/>
        <v>-0.55149934810951762</v>
      </c>
      <c r="ET32" s="99">
        <f>Serviceorderfile_Current!$U263*Serviceorderfile_Current!$H263</f>
        <v>7.0500000000000007</v>
      </c>
      <c r="EU32" s="93">
        <f>Serviceorderfile_PREVIOUS!$U263*Serviceorderfile_PREVIOUS!$H263</f>
        <v>0</v>
      </c>
      <c r="EV32" s="57">
        <f t="shared" si="223"/>
        <v>1</v>
      </c>
      <c r="EW32" s="84"/>
      <c r="EX32" s="76">
        <f>Serviceorderfile_Current!$V257</f>
        <v>1</v>
      </c>
      <c r="EY32" s="47">
        <f>Aged!E70</f>
        <v>1</v>
      </c>
      <c r="EZ32" s="99">
        <f>Serviceorderfile_Current!$U257*Serviceorderfile_Current!$H257</f>
        <v>1695.5250000000001</v>
      </c>
      <c r="FA32" s="93">
        <f>Serviceorderfile_PREVIOUS!$U257*Serviceorderfile_PREVIOUS!$H257</f>
        <v>1014.0250000000001</v>
      </c>
      <c r="FB32" s="57">
        <f t="shared" si="224"/>
        <v>0.67207415990730013</v>
      </c>
      <c r="FC32" s="84"/>
      <c r="FD32" s="118">
        <f t="shared" si="66"/>
        <v>8785.4750000000004</v>
      </c>
      <c r="FE32" s="77">
        <f t="shared" si="67"/>
        <v>7135.7750000000005</v>
      </c>
      <c r="FF32" s="143">
        <f t="shared" si="53"/>
        <v>0.2311872221307425</v>
      </c>
      <c r="FG32" s="94"/>
      <c r="FH32" s="84"/>
      <c r="FI32" s="84"/>
      <c r="FJ32" s="84"/>
      <c r="FK32" s="84"/>
      <c r="FL32" s="84"/>
      <c r="FM32" s="84"/>
      <c r="FN32" s="84"/>
      <c r="FO32" s="84"/>
      <c r="FP32" s="84"/>
      <c r="FQ32" s="84"/>
      <c r="FR32" s="84"/>
      <c r="FS32" s="84"/>
      <c r="FT32" s="84"/>
      <c r="FU32" s="84"/>
      <c r="FV32" s="84"/>
      <c r="FW32" s="84"/>
      <c r="FX32" s="84"/>
    </row>
    <row r="33" spans="1:180" s="63" customFormat="1" ht="12" customHeight="1" x14ac:dyDescent="0.25">
      <c r="A33" s="110" t="s">
        <v>90</v>
      </c>
      <c r="B33" s="99">
        <f>Serviceorderfile_Current!$W301</f>
        <v>92.825000000000003</v>
      </c>
      <c r="C33" s="93">
        <f>Serviceorderfile_PREVIOUS!$W301</f>
        <v>14.100000000000001</v>
      </c>
      <c r="D33" s="57">
        <f t="shared" si="152"/>
        <v>5.583333333333333</v>
      </c>
      <c r="E33" s="93">
        <f>'YOY Orders'!$J38</f>
        <v>196.22499999999999</v>
      </c>
      <c r="F33" s="93">
        <f>'YOY Orders'!$B38</f>
        <v>94</v>
      </c>
      <c r="G33" s="57">
        <f t="shared" si="171"/>
        <v>1.0874999999999999</v>
      </c>
      <c r="H33" s="99">
        <f>Serviceorderfile_Current!$W303</f>
        <v>0</v>
      </c>
      <c r="I33" s="93">
        <f>Serviceorderfile_PREVIOUS!$W303</f>
        <v>0</v>
      </c>
      <c r="J33" s="57">
        <f t="shared" si="2"/>
        <v>1</v>
      </c>
      <c r="K33" s="93">
        <f>'YOY Orders'!$K38</f>
        <v>0</v>
      </c>
      <c r="L33" s="93">
        <f>'YOY Orders'!$C38</f>
        <v>0</v>
      </c>
      <c r="M33" s="57">
        <f t="shared" si="172"/>
        <v>1</v>
      </c>
      <c r="N33" s="99">
        <f>Serviceorderfile_Current!$W302</f>
        <v>606.30000000000007</v>
      </c>
      <c r="O33" s="93">
        <f>Serviceorderfile_PREVIOUS!$W302</f>
        <v>587.5</v>
      </c>
      <c r="P33" s="57">
        <f t="shared" si="4"/>
        <v>3.2000000000000028E-2</v>
      </c>
      <c r="Q33" s="93">
        <f>'YOY Orders'!$O38</f>
        <v>870.67500000000007</v>
      </c>
      <c r="R33" s="93">
        <f>'YOY Orders'!$G38</f>
        <v>1043.4000000000001</v>
      </c>
      <c r="S33" s="57">
        <f t="shared" si="173"/>
        <v>-0.16554054054054057</v>
      </c>
      <c r="T33" s="99">
        <f>Serviceorderfile_Current!$W304</f>
        <v>50.524999999999999</v>
      </c>
      <c r="U33" s="93">
        <f>Serviceorderfile_PREVIOUS!$W304</f>
        <v>5.875</v>
      </c>
      <c r="V33" s="57">
        <f t="shared" si="6"/>
        <v>7.6</v>
      </c>
      <c r="W33" s="93">
        <f>'YOY Orders'!$L38</f>
        <v>58.75</v>
      </c>
      <c r="X33" s="93">
        <f>'YOY Orders'!$D38</f>
        <v>4.7</v>
      </c>
      <c r="Y33" s="57">
        <f t="shared" si="174"/>
        <v>11.5</v>
      </c>
      <c r="Z33" s="99">
        <f>Serviceorderfile_Current!$W305</f>
        <v>35.25</v>
      </c>
      <c r="AA33" s="93">
        <f>Serviceorderfile_PREVIOUS!$W305</f>
        <v>3.5250000000000004</v>
      </c>
      <c r="AB33" s="57">
        <f t="shared" si="8"/>
        <v>8.9999999999999982</v>
      </c>
      <c r="AC33" s="93">
        <f>'YOY Orders'!$N38</f>
        <v>99.875</v>
      </c>
      <c r="AD33" s="93">
        <f>'YOY Orders'!$F38</f>
        <v>57.575000000000003</v>
      </c>
      <c r="AE33" s="57">
        <f t="shared" si="175"/>
        <v>0.73469387755102034</v>
      </c>
      <c r="AF33" s="99">
        <f>Serviceorderfile_Current!$W299</f>
        <v>0</v>
      </c>
      <c r="AG33" s="93">
        <f>Serviceorderfile_PREVIOUS!$W299</f>
        <v>0</v>
      </c>
      <c r="AH33" s="57">
        <f t="shared" si="10"/>
        <v>1</v>
      </c>
      <c r="AI33" s="93">
        <f>'YOY Orders'!$M38</f>
        <v>0</v>
      </c>
      <c r="AJ33" s="93">
        <f>'YOY Orders'!$E38</f>
        <v>0</v>
      </c>
      <c r="AK33" s="57">
        <f t="shared" si="176"/>
        <v>1</v>
      </c>
      <c r="AL33" s="116">
        <f t="shared" si="54"/>
        <v>784.90000000000009</v>
      </c>
      <c r="AM33" s="56">
        <f t="shared" si="55"/>
        <v>611</v>
      </c>
      <c r="AN33" s="57">
        <f t="shared" si="12"/>
        <v>0.28461538461538471</v>
      </c>
      <c r="AO33" s="116">
        <f t="shared" si="165"/>
        <v>1225.5250000000001</v>
      </c>
      <c r="AP33" s="56">
        <f t="shared" si="166"/>
        <v>1199.6750000000002</v>
      </c>
      <c r="AQ33" s="57">
        <f t="shared" si="177"/>
        <v>2.1547502448579836E-2</v>
      </c>
      <c r="AR33" s="72"/>
      <c r="AS33" s="110" t="s">
        <v>90</v>
      </c>
      <c r="AT33" s="99">
        <f>Serviceorderfile_Current!$I301*Serviceorderfile_Current!$U301</f>
        <v>42.300000000000004</v>
      </c>
      <c r="AU33" s="93">
        <f>Serviceorderfile_PREVIOUS!$I301*Serviceorderfile_PREVIOUS!$U301</f>
        <v>14.100000000000001</v>
      </c>
      <c r="AV33" s="57">
        <f t="shared" si="178"/>
        <v>2</v>
      </c>
      <c r="AW33" s="78">
        <f t="shared" ref="AW33" si="248">AT33/B33</f>
        <v>0.45569620253164561</v>
      </c>
      <c r="AX33" s="75">
        <f t="shared" ref="AX33" si="249">AU33/C33</f>
        <v>1</v>
      </c>
      <c r="AY33" s="119">
        <f t="shared" ref="AY33" si="250">(AW33-AX33)*100</f>
        <v>-54.430379746835442</v>
      </c>
      <c r="AZ33" s="99">
        <f>Serviceorderfile_Current!$I303*Serviceorderfile_Current!$U303</f>
        <v>0</v>
      </c>
      <c r="BA33" s="93">
        <f>Serviceorderfile_PREVIOUS!$I303*Serviceorderfile_PREVIOUS!$U303</f>
        <v>0</v>
      </c>
      <c r="BB33" s="57">
        <f t="shared" si="181"/>
        <v>1</v>
      </c>
      <c r="BC33" s="78" t="e">
        <f t="shared" si="182"/>
        <v>#DIV/0!</v>
      </c>
      <c r="BD33" s="75" t="e">
        <f t="shared" si="183"/>
        <v>#DIV/0!</v>
      </c>
      <c r="BE33" s="119" t="e">
        <f t="shared" si="184"/>
        <v>#DIV/0!</v>
      </c>
      <c r="BF33" s="99">
        <f>Serviceorderfile_Current!$I302*Serviceorderfile_Current!$U302</f>
        <v>153.92500000000001</v>
      </c>
      <c r="BG33" s="93">
        <f>Serviceorderfile_PREVIOUS!$I302*Serviceorderfile_PREVIOUS!$U302</f>
        <v>184.47499999999999</v>
      </c>
      <c r="BH33" s="57">
        <f t="shared" si="185"/>
        <v>-0.16560509554140124</v>
      </c>
      <c r="BI33" s="78">
        <f t="shared" si="186"/>
        <v>0.25387596899224807</v>
      </c>
      <c r="BJ33" s="75">
        <f t="shared" si="187"/>
        <v>0.314</v>
      </c>
      <c r="BK33" s="119">
        <f t="shared" si="188"/>
        <v>-6.0124031007751935</v>
      </c>
      <c r="BL33" s="99">
        <f>Serviceorderfile_Current!$I304*Serviceorderfile_Current!$U304</f>
        <v>5.875</v>
      </c>
      <c r="BM33" s="93">
        <f>Serviceorderfile_PREVIOUS!$I304*Serviceorderfile_PREVIOUS!$U304</f>
        <v>0</v>
      </c>
      <c r="BN33" s="57">
        <f t="shared" si="189"/>
        <v>1</v>
      </c>
      <c r="BO33" s="78">
        <f t="shared" si="190"/>
        <v>0.11627906976744186</v>
      </c>
      <c r="BP33" s="75">
        <f t="shared" si="191"/>
        <v>0</v>
      </c>
      <c r="BQ33" s="119">
        <f t="shared" si="192"/>
        <v>11.627906976744185</v>
      </c>
      <c r="BR33" s="99">
        <f>Serviceorderfile_Current!$I305*Serviceorderfile_Current!$U305</f>
        <v>24.675000000000001</v>
      </c>
      <c r="BS33" s="93">
        <f>Serviceorderfile_PREVIOUS!$I305*Serviceorderfile_PREVIOUS!$U305</f>
        <v>3.5250000000000004</v>
      </c>
      <c r="BT33" s="57">
        <f t="shared" si="193"/>
        <v>5.9999999999999991</v>
      </c>
      <c r="BU33" s="78">
        <f t="shared" si="194"/>
        <v>0.70000000000000007</v>
      </c>
      <c r="BV33" s="75">
        <f t="shared" si="195"/>
        <v>1</v>
      </c>
      <c r="BW33" s="119">
        <f t="shared" si="196"/>
        <v>-29.999999999999993</v>
      </c>
      <c r="BX33" s="99">
        <f>Serviceorderfile_Current!$I299*Serviceorderfile_Current!$U301</f>
        <v>0</v>
      </c>
      <c r="BY33" s="93">
        <f>Serviceorderfile_PREVIOUS!$I299*Serviceorderfile_PREVIOUS!$U301</f>
        <v>0</v>
      </c>
      <c r="BZ33" s="57">
        <f t="shared" si="197"/>
        <v>1</v>
      </c>
      <c r="CA33" s="78" t="e">
        <f t="shared" si="198"/>
        <v>#DIV/0!</v>
      </c>
      <c r="CB33" s="75" t="e">
        <f t="shared" si="199"/>
        <v>#DIV/0!</v>
      </c>
      <c r="CC33" s="119" t="e">
        <f t="shared" si="200"/>
        <v>#DIV/0!</v>
      </c>
      <c r="CD33" s="118">
        <f t="shared" ref="CD33" si="251">AT33+BL33+BR33+BX33+BF33+AZ33</f>
        <v>226.77500000000003</v>
      </c>
      <c r="CE33" s="77">
        <f t="shared" ref="CE33" si="252">AU33+BM33+BS33+BY33+BG33+BA33</f>
        <v>202.1</v>
      </c>
      <c r="CF33" s="57">
        <f t="shared" ref="CF33" si="253">IF(CE33&gt;0,CD33/CE33-1,1)</f>
        <v>0.12209302325581417</v>
      </c>
      <c r="CG33" s="78">
        <f t="shared" ref="CG33" si="254">CD33/AL33</f>
        <v>0.28892215568862278</v>
      </c>
      <c r="CH33" s="75">
        <f t="shared" ref="CH33" si="255">CE33/AM33</f>
        <v>0.33076923076923076</v>
      </c>
      <c r="CI33" s="119">
        <f t="shared" ref="CI33" si="256">(CG33-CH33)*100</f>
        <v>-4.1847075080607974</v>
      </c>
      <c r="CJ33" s="85"/>
      <c r="CK33" s="110" t="s">
        <v>90</v>
      </c>
      <c r="CL33" s="99">
        <f>Serviceorderfile_Current!$J301*Serviceorderfile_Current!$U301</f>
        <v>21.150000000000002</v>
      </c>
      <c r="CM33" s="93">
        <f>Serviceorderfile_PREVIOUS!$J301*Serviceorderfile_PREVIOUS!$U301</f>
        <v>0</v>
      </c>
      <c r="CN33" s="57">
        <f t="shared" si="206"/>
        <v>1</v>
      </c>
      <c r="CO33" s="99">
        <f>Serviceorderfile_Current!$J303*Serviceorderfile_Current!$U303</f>
        <v>0</v>
      </c>
      <c r="CP33" s="93">
        <f>Serviceorderfile_PREVIOUS!$J303*Serviceorderfile_PREVIOUS!$U303</f>
        <v>0</v>
      </c>
      <c r="CQ33" s="57">
        <f t="shared" si="207"/>
        <v>1</v>
      </c>
      <c r="CR33" s="99">
        <f>Serviceorderfile_Current!$J302*Serviceorderfile_Current!$U302</f>
        <v>118.67500000000001</v>
      </c>
      <c r="CS33" s="93">
        <f>Serviceorderfile_PREVIOUS!$J302*Serviceorderfile_PREVIOUS!$U302</f>
        <v>146.875</v>
      </c>
      <c r="CT33" s="57">
        <f t="shared" si="208"/>
        <v>-0.19199999999999995</v>
      </c>
      <c r="CU33" s="99">
        <f>Serviceorderfile_Current!$J304*Serviceorderfile_Current!$U304</f>
        <v>2.35</v>
      </c>
      <c r="CV33" s="93">
        <f>Serviceorderfile_PREVIOUS!$J304*Serviceorderfile_PREVIOUS!$U304</f>
        <v>2.35</v>
      </c>
      <c r="CW33" s="57">
        <f t="shared" si="209"/>
        <v>0</v>
      </c>
      <c r="CX33" s="99">
        <f>Serviceorderfile_Current!$J305*Serviceorderfile_Current!$U305</f>
        <v>9.4</v>
      </c>
      <c r="CY33" s="93">
        <f>Serviceorderfile_PREVIOUS!$J305*Serviceorderfile_PREVIOUS!$U305</f>
        <v>0</v>
      </c>
      <c r="CZ33" s="57">
        <f t="shared" si="210"/>
        <v>1</v>
      </c>
      <c r="DA33" s="99">
        <f>Serviceorderfile_Current!$J299*Serviceorderfile_Current!$U301</f>
        <v>0</v>
      </c>
      <c r="DB33" s="93">
        <f>Serviceorderfile_PREVIOUS!$J299*Serviceorderfile_PREVIOUS!$U301</f>
        <v>0</v>
      </c>
      <c r="DC33" s="57">
        <f t="shared" si="211"/>
        <v>1</v>
      </c>
      <c r="DD33" s="118">
        <f t="shared" si="167"/>
        <v>151.57500000000002</v>
      </c>
      <c r="DE33" s="77">
        <f t="shared" si="168"/>
        <v>149.22499999999999</v>
      </c>
      <c r="DF33" s="57">
        <f t="shared" si="212"/>
        <v>1.5748031496063186E-2</v>
      </c>
      <c r="DG33" s="86"/>
      <c r="DH33" s="110" t="s">
        <v>90</v>
      </c>
      <c r="DI33" s="99">
        <f>Serviceorderfile_Current!$K301*Serviceorderfile_Current!$U301</f>
        <v>18.8</v>
      </c>
      <c r="DJ33" s="93">
        <f>Serviceorderfile_PREVIOUS!$K301*Serviceorderfile_PREVIOUS!$U301</f>
        <v>0</v>
      </c>
      <c r="DK33" s="57">
        <f t="shared" si="213"/>
        <v>1</v>
      </c>
      <c r="DL33" s="99">
        <f>Serviceorderfile_Current!$K303*Serviceorderfile_Current!$U303</f>
        <v>0</v>
      </c>
      <c r="DM33" s="93">
        <f>Serviceorderfile_PREVIOUS!$K303*Serviceorderfile_PREVIOUS!$U303</f>
        <v>0</v>
      </c>
      <c r="DN33" s="57">
        <f t="shared" si="214"/>
        <v>1</v>
      </c>
      <c r="DO33" s="99">
        <f>Serviceorderfile_Current!$K302*Serviceorderfile_Current!$U302</f>
        <v>59.925000000000004</v>
      </c>
      <c r="DP33" s="93">
        <f>Serviceorderfile_PREVIOUS!$K302*Serviceorderfile_PREVIOUS!$U302</f>
        <v>62.275000000000006</v>
      </c>
      <c r="DQ33" s="57">
        <f t="shared" si="215"/>
        <v>-3.7735849056603765E-2</v>
      </c>
      <c r="DR33" s="99">
        <f>Serviceorderfile_Current!$K304*Serviceorderfile_Current!$U304</f>
        <v>14.100000000000001</v>
      </c>
      <c r="DS33" s="93">
        <f>Serviceorderfile_PREVIOUS!$K304*Serviceorderfile_PREVIOUS!$U304</f>
        <v>0</v>
      </c>
      <c r="DT33" s="57">
        <f t="shared" si="216"/>
        <v>1</v>
      </c>
      <c r="DU33" s="99">
        <f>Serviceorderfile_Current!$K305*Serviceorderfile_Current!$U305</f>
        <v>1.175</v>
      </c>
      <c r="DV33" s="93">
        <f>Serviceorderfile_PREVIOUS!$K305*Serviceorderfile_PREVIOUS!$U305</f>
        <v>0</v>
      </c>
      <c r="DW33" s="57">
        <f t="shared" si="217"/>
        <v>1</v>
      </c>
      <c r="DX33" s="99">
        <f>Serviceorderfile_Current!$K299*Serviceorderfile_Current!$U301</f>
        <v>0</v>
      </c>
      <c r="DY33" s="93">
        <f>Serviceorderfile_PREVIOUS!$K299*Serviceorderfile_PREVIOUS!$U301</f>
        <v>0</v>
      </c>
      <c r="DZ33" s="57">
        <f t="shared" si="218"/>
        <v>1</v>
      </c>
      <c r="EA33" s="118">
        <f t="shared" si="169"/>
        <v>94.000000000000014</v>
      </c>
      <c r="EB33" s="77">
        <f t="shared" si="170"/>
        <v>62.275000000000006</v>
      </c>
      <c r="EC33" s="57">
        <f t="shared" si="219"/>
        <v>0.50943396226415105</v>
      </c>
      <c r="ED33" s="94"/>
      <c r="EE33" s="124" t="s">
        <v>90</v>
      </c>
      <c r="EF33" s="76">
        <f>Serviceorderfile_Current!$V298</f>
        <v>0.92727272727272725</v>
      </c>
      <c r="EG33" s="57">
        <f>Aged!E19</f>
        <v>0.97</v>
      </c>
      <c r="EH33" s="99">
        <f>Serviceorderfile_Current!$U293*Serviceorderfile_Current!$H293</f>
        <v>273.77500000000003</v>
      </c>
      <c r="EI33" s="93">
        <f>Serviceorderfile_PREVIOUS!$U293*Serviceorderfile_PREVIOUS!$H293</f>
        <v>79.900000000000006</v>
      </c>
      <c r="EJ33" s="57">
        <f t="shared" si="47"/>
        <v>2.4264705882352944</v>
      </c>
      <c r="EK33" s="99">
        <f>Serviceorderfile_Current!$U295*Serviceorderfile_Current!$H295</f>
        <v>0</v>
      </c>
      <c r="EL33" s="93">
        <f>Serviceorderfile_PREVIOUS!$U295*Serviceorderfile_PREVIOUS!$H295</f>
        <v>0</v>
      </c>
      <c r="EM33" s="57">
        <f t="shared" si="220"/>
        <v>1</v>
      </c>
      <c r="EN33" s="99">
        <f>Serviceorderfile_Current!$U294*Serviceorderfile_Current!$H294</f>
        <v>35.25</v>
      </c>
      <c r="EO33" s="93">
        <f>Serviceorderfile_PREVIOUS!$U294*Serviceorderfile_PREVIOUS!$H294</f>
        <v>505.25</v>
      </c>
      <c r="EP33" s="57">
        <f t="shared" si="221"/>
        <v>-0.93023255813953487</v>
      </c>
      <c r="EQ33" s="99">
        <f>Serviceorderfile_Current!$U296*Serviceorderfile_Current!$H296</f>
        <v>14.100000000000001</v>
      </c>
      <c r="ER33" s="93">
        <f>Serviceorderfile_PREVIOUS!$U296*Serviceorderfile_PREVIOUS!$H296</f>
        <v>23.5</v>
      </c>
      <c r="ES33" s="57">
        <f t="shared" si="222"/>
        <v>-0.39999999999999991</v>
      </c>
      <c r="ET33" s="99">
        <f>Serviceorderfile_Current!$U297*Serviceorderfile_Current!$H297</f>
        <v>3.5250000000000004</v>
      </c>
      <c r="EU33" s="93">
        <f>Serviceorderfile_PREVIOUS!$U297*Serviceorderfile_PREVIOUS!$H297</f>
        <v>29.375</v>
      </c>
      <c r="EV33" s="57">
        <f t="shared" si="223"/>
        <v>-0.88</v>
      </c>
      <c r="EW33" s="84"/>
      <c r="EX33" s="76">
        <f>Serviceorderfile_Current!$V291</f>
        <v>0</v>
      </c>
      <c r="EY33" s="47">
        <f>Aged!E72</f>
        <v>0</v>
      </c>
      <c r="EZ33" s="99">
        <f>Serviceorderfile_Current!$U291*Serviceorderfile_Current!$H291</f>
        <v>843.65</v>
      </c>
      <c r="FA33" s="93">
        <f>Serviceorderfile_PREVIOUS!$U291*Serviceorderfile_PREVIOUS!$H291</f>
        <v>15.275</v>
      </c>
      <c r="FB33" s="57">
        <f t="shared" si="224"/>
        <v>54.230769230769226</v>
      </c>
      <c r="FC33" s="84"/>
      <c r="FD33" s="118">
        <f t="shared" si="66"/>
        <v>1170.3</v>
      </c>
      <c r="FE33" s="77">
        <f t="shared" si="67"/>
        <v>653.29999999999995</v>
      </c>
      <c r="FF33" s="143">
        <f t="shared" si="53"/>
        <v>0.79136690647482011</v>
      </c>
      <c r="FG33" s="94"/>
      <c r="FH33" s="84"/>
      <c r="FI33" s="84"/>
      <c r="FJ33" s="84"/>
      <c r="FK33" s="84"/>
      <c r="FL33" s="84"/>
      <c r="FM33" s="84"/>
      <c r="FN33" s="84"/>
      <c r="FO33" s="84"/>
      <c r="FP33" s="84"/>
      <c r="FQ33" s="84"/>
      <c r="FR33" s="84"/>
      <c r="FS33" s="84"/>
      <c r="FT33" s="84"/>
      <c r="FU33" s="84"/>
      <c r="FV33" s="84"/>
      <c r="FW33" s="84"/>
      <c r="FX33" s="84"/>
    </row>
    <row r="34" spans="1:180" s="63" customFormat="1" ht="12" customHeight="1" x14ac:dyDescent="0.25">
      <c r="A34" s="110" t="s">
        <v>41</v>
      </c>
      <c r="B34" s="99">
        <f>B35+B36+B37+B38</f>
        <v>5790.4</v>
      </c>
      <c r="C34" s="93">
        <f>C35+C36+C37+C38</f>
        <v>3919.8</v>
      </c>
      <c r="D34" s="57">
        <f t="shared" si="152"/>
        <v>0.47721822541966419</v>
      </c>
      <c r="E34" s="93">
        <f>E35+E36+E37+E38</f>
        <v>11033.25</v>
      </c>
      <c r="F34" s="93">
        <f>F35+F36+F37+F38</f>
        <v>9837.1000000000022</v>
      </c>
      <c r="G34" s="57">
        <f t="shared" si="171"/>
        <v>0.1215957955088387</v>
      </c>
      <c r="H34" s="99">
        <f>H35+H36+H37+H38</f>
        <v>5852.6750000000002</v>
      </c>
      <c r="I34" s="93">
        <f>I35+I36+I37+I38</f>
        <v>3470.9500000000007</v>
      </c>
      <c r="J34" s="57">
        <f t="shared" si="2"/>
        <v>0.68618821936357444</v>
      </c>
      <c r="K34" s="93">
        <f>K35+K36+K37+K38</f>
        <v>8152.15</v>
      </c>
      <c r="L34" s="93">
        <f>L35+L36+L37+L38</f>
        <v>5805.6750000000011</v>
      </c>
      <c r="M34" s="57">
        <f t="shared" si="172"/>
        <v>0.40416919651892291</v>
      </c>
      <c r="N34" s="99">
        <f>N35+N36+N37+N38</f>
        <v>11035.6</v>
      </c>
      <c r="O34" s="93">
        <f>O35+O36+O37+O38</f>
        <v>8682.0749999999989</v>
      </c>
      <c r="P34" s="57">
        <f t="shared" si="4"/>
        <v>0.27107863039653557</v>
      </c>
      <c r="Q34" s="93">
        <f>Q35+Q36+Q37+Q38</f>
        <v>13453.750000000002</v>
      </c>
      <c r="R34" s="93">
        <f>R35+R36+R37+R38</f>
        <v>11013.275000000001</v>
      </c>
      <c r="S34" s="57">
        <f t="shared" si="173"/>
        <v>0.221593940040542</v>
      </c>
      <c r="T34" s="99">
        <f>T35+T36+T37+T38</f>
        <v>16135.1</v>
      </c>
      <c r="U34" s="93">
        <f>U35+U36+U37+U38</f>
        <v>12947.324999999999</v>
      </c>
      <c r="V34" s="57">
        <f t="shared" si="6"/>
        <v>0.24621108993556606</v>
      </c>
      <c r="W34" s="93">
        <f>W35+W36+W37+W38</f>
        <v>17592.099999999999</v>
      </c>
      <c r="X34" s="93">
        <f>X35+X36+X37+X38</f>
        <v>14823.800000000001</v>
      </c>
      <c r="Y34" s="57">
        <f t="shared" si="174"/>
        <v>0.18674698795180711</v>
      </c>
      <c r="Z34" s="99">
        <f>Z35+Z36+Z37+Z38</f>
        <v>902.40000000000009</v>
      </c>
      <c r="AA34" s="93">
        <f>AA35+AA36+AA37+AA38</f>
        <v>513.47500000000002</v>
      </c>
      <c r="AB34" s="57">
        <f t="shared" si="8"/>
        <v>0.75743707093821522</v>
      </c>
      <c r="AC34" s="93">
        <f>AC35+AC36+AC37+AC38</f>
        <v>1520.4499999999998</v>
      </c>
      <c r="AD34" s="93">
        <f>AD35+AD36+AD37+AD38</f>
        <v>978.77500000000009</v>
      </c>
      <c r="AE34" s="57">
        <f t="shared" si="175"/>
        <v>0.55342136854741875</v>
      </c>
      <c r="AF34" s="99">
        <f>Serviceorderfile_Current!$W384</f>
        <v>1076.3</v>
      </c>
      <c r="AG34" s="93">
        <f>Serviceorderfile_PREVIOUS!$W384</f>
        <v>205.625</v>
      </c>
      <c r="AH34" s="57">
        <f t="shared" si="10"/>
        <v>4.234285714285714</v>
      </c>
      <c r="AI34" s="93">
        <f>'YOY Orders'!$M13</f>
        <v>4167.7250000000004</v>
      </c>
      <c r="AJ34" s="93">
        <f>'YOY Orders'!$E13</f>
        <v>3413.375</v>
      </c>
      <c r="AK34" s="57">
        <f t="shared" si="176"/>
        <v>0.22099827882960432</v>
      </c>
      <c r="AL34" s="116">
        <f t="shared" si="54"/>
        <v>40792.475000000006</v>
      </c>
      <c r="AM34" s="56">
        <f t="shared" si="55"/>
        <v>29739.249999999996</v>
      </c>
      <c r="AN34" s="57">
        <f t="shared" si="12"/>
        <v>0.37167127617542506</v>
      </c>
      <c r="AO34" s="116">
        <f t="shared" si="165"/>
        <v>55919.425000000003</v>
      </c>
      <c r="AP34" s="56">
        <f t="shared" si="166"/>
        <v>45872.000000000007</v>
      </c>
      <c r="AQ34" s="57">
        <f t="shared" si="177"/>
        <v>0.21903176229508192</v>
      </c>
      <c r="AR34" s="72"/>
      <c r="AS34" s="110" t="s">
        <v>41</v>
      </c>
      <c r="AT34" s="99">
        <f>AT35+AT36+AT37+AT38</f>
        <v>2134.9749999999999</v>
      </c>
      <c r="AU34" s="93">
        <f>AU35+AU36+AU37+AU38</f>
        <v>2099.7249999999999</v>
      </c>
      <c r="AV34" s="57">
        <f t="shared" si="178"/>
        <v>1.6787912702853847E-2</v>
      </c>
      <c r="AW34" s="78">
        <f t="shared" si="179"/>
        <v>0.36870941558441561</v>
      </c>
      <c r="AX34" s="75">
        <f t="shared" si="16"/>
        <v>0.53567146282973621</v>
      </c>
      <c r="AY34" s="119">
        <f t="shared" si="180"/>
        <v>-16.696204724532059</v>
      </c>
      <c r="AZ34" s="99">
        <f>AZ35+AZ36+AZ37+AZ38</f>
        <v>1214.95</v>
      </c>
      <c r="BA34" s="93">
        <f>BA35+BA36+BA37+BA38</f>
        <v>1186.75</v>
      </c>
      <c r="BB34" s="57">
        <f t="shared" si="181"/>
        <v>2.3762376237623783E-2</v>
      </c>
      <c r="BC34" s="78">
        <f t="shared" si="182"/>
        <v>0.20758883758281468</v>
      </c>
      <c r="BD34" s="75">
        <f t="shared" si="183"/>
        <v>0.3419092755585646</v>
      </c>
      <c r="BE34" s="119">
        <f t="shared" si="184"/>
        <v>-13.432043797574991</v>
      </c>
      <c r="BF34" s="99">
        <f>BF35+BF36+BF37+BF38</f>
        <v>2079.75</v>
      </c>
      <c r="BG34" s="93">
        <f>BG35+BG36+BG37+BG38</f>
        <v>1693.175</v>
      </c>
      <c r="BH34" s="57">
        <f t="shared" si="185"/>
        <v>0.22831367106176259</v>
      </c>
      <c r="BI34" s="78">
        <f t="shared" si="186"/>
        <v>0.18845826235093696</v>
      </c>
      <c r="BJ34" s="75">
        <f t="shared" si="187"/>
        <v>0.19501962376505619</v>
      </c>
      <c r="BK34" s="119">
        <f t="shared" si="188"/>
        <v>-0.65613614141192267</v>
      </c>
      <c r="BL34" s="99">
        <f>BL35+BL36+BL37+BL38</f>
        <v>2671.9500000000003</v>
      </c>
      <c r="BM34" s="93">
        <f>BM35+BM36+BM37+BM38</f>
        <v>2186.6749999999997</v>
      </c>
      <c r="BN34" s="57">
        <f t="shared" si="189"/>
        <v>0.22192369693713077</v>
      </c>
      <c r="BO34" s="78">
        <f t="shared" si="190"/>
        <v>0.16559860180600058</v>
      </c>
      <c r="BP34" s="75">
        <f t="shared" si="191"/>
        <v>0.16889009892004719</v>
      </c>
      <c r="BQ34" s="119">
        <f t="shared" si="192"/>
        <v>-0.32914971140466098</v>
      </c>
      <c r="BR34" s="99">
        <f>BR35+BR36+BR37+BR38</f>
        <v>252.625</v>
      </c>
      <c r="BS34" s="93">
        <f>BS35+BS36+BS37+BS38</f>
        <v>213.85</v>
      </c>
      <c r="BT34" s="57">
        <f t="shared" si="193"/>
        <v>0.18131868131868134</v>
      </c>
      <c r="BU34" s="78">
        <f t="shared" si="194"/>
        <v>0.27994791666666663</v>
      </c>
      <c r="BV34" s="75">
        <f t="shared" si="195"/>
        <v>0.41647597254004576</v>
      </c>
      <c r="BW34" s="119">
        <f t="shared" si="196"/>
        <v>-13.652805587337912</v>
      </c>
      <c r="BX34" s="99">
        <f>Serviceorderfile_Current!$I384*Serviceorderfile_Current!$U384</f>
        <v>876.55000000000007</v>
      </c>
      <c r="BY34" s="93">
        <f>Serviceorderfile_PREVIOUS!$I384*Serviceorderfile_PREVIOUS!$U384</f>
        <v>205.625</v>
      </c>
      <c r="BZ34" s="57">
        <f t="shared" si="197"/>
        <v>3.2628571428571433</v>
      </c>
      <c r="CA34" s="78">
        <f t="shared" si="198"/>
        <v>0.81441048034934505</v>
      </c>
      <c r="CB34" s="75">
        <f t="shared" si="199"/>
        <v>1</v>
      </c>
      <c r="CC34" s="119">
        <f t="shared" si="200"/>
        <v>-18.558951965065496</v>
      </c>
      <c r="CD34" s="118">
        <f t="shared" si="201"/>
        <v>9230.8000000000011</v>
      </c>
      <c r="CE34" s="77">
        <f t="shared" si="202"/>
        <v>7585.8</v>
      </c>
      <c r="CF34" s="57">
        <f t="shared" si="203"/>
        <v>0.21685254027261469</v>
      </c>
      <c r="CG34" s="78">
        <f t="shared" si="204"/>
        <v>0.22628683353976436</v>
      </c>
      <c r="CH34" s="75">
        <f t="shared" si="154"/>
        <v>0.25507704464638487</v>
      </c>
      <c r="CI34" s="119">
        <f t="shared" si="205"/>
        <v>-2.87902111066205</v>
      </c>
      <c r="CJ34" s="85"/>
      <c r="CK34" s="110" t="s">
        <v>41</v>
      </c>
      <c r="CL34" s="99">
        <f>CL35+CL36+CL37+CL38</f>
        <v>1551</v>
      </c>
      <c r="CM34" s="93">
        <f>CM35+CM36+CM37+CM38</f>
        <v>811.92500000000007</v>
      </c>
      <c r="CN34" s="57">
        <f t="shared" si="206"/>
        <v>0.91027496382054984</v>
      </c>
      <c r="CO34" s="99">
        <f>CO35+CO36+CO37+CO38</f>
        <v>1484.0250000000001</v>
      </c>
      <c r="CP34" s="93">
        <f>CP35+CP36+CP37+CP38</f>
        <v>688.55000000000007</v>
      </c>
      <c r="CQ34" s="57">
        <f t="shared" si="207"/>
        <v>1.1552901023890785</v>
      </c>
      <c r="CR34" s="99">
        <f>CR35+CR36+CR37+CR38</f>
        <v>1912.8999999999999</v>
      </c>
      <c r="CS34" s="93">
        <f>CS35+CS36+CS37+CS38</f>
        <v>1777.7750000000001</v>
      </c>
      <c r="CT34" s="57">
        <f t="shared" si="208"/>
        <v>7.600793126239247E-2</v>
      </c>
      <c r="CU34" s="99">
        <f>CU35+CU36+CU37+CU38</f>
        <v>1989.2750000000003</v>
      </c>
      <c r="CV34" s="93">
        <f>CV35+CV36+CV37+CV38</f>
        <v>1711.9749999999999</v>
      </c>
      <c r="CW34" s="57">
        <f t="shared" si="209"/>
        <v>0.16197666437886094</v>
      </c>
      <c r="CX34" s="99">
        <f>CX35+CX36+CX37+CX38</f>
        <v>265.55</v>
      </c>
      <c r="CY34" s="93">
        <f>CY35+CY36+CY37+CY38</f>
        <v>65.800000000000011</v>
      </c>
      <c r="CZ34" s="57">
        <f t="shared" si="210"/>
        <v>3.0357142857142856</v>
      </c>
      <c r="DA34" s="99">
        <f>Serviceorderfile_Current!$J384*Serviceorderfile_Current!$U384</f>
        <v>164.5</v>
      </c>
      <c r="DB34" s="93">
        <f>Serviceorderfile_PREVIOUS!$J384*Serviceorderfile_PREVIOUS!$U384</f>
        <v>0</v>
      </c>
      <c r="DC34" s="57">
        <f t="shared" si="211"/>
        <v>1</v>
      </c>
      <c r="DD34" s="118">
        <f t="shared" si="167"/>
        <v>7367.2500000000009</v>
      </c>
      <c r="DE34" s="77">
        <f t="shared" si="168"/>
        <v>5056.0250000000005</v>
      </c>
      <c r="DF34" s="57">
        <f t="shared" si="212"/>
        <v>0.45712293748547528</v>
      </c>
      <c r="DG34" s="86"/>
      <c r="DH34" s="110" t="s">
        <v>41</v>
      </c>
      <c r="DI34" s="99">
        <f>DI35+DI36+DI37+DI38</f>
        <v>1216.125</v>
      </c>
      <c r="DJ34" s="93">
        <f>DJ35+DJ36+DJ37+DJ38</f>
        <v>72.849999999999994</v>
      </c>
      <c r="DK34" s="57">
        <f t="shared" si="213"/>
        <v>15.693548387096776</v>
      </c>
      <c r="DL34" s="99">
        <f>DL35+DL36+DL37+DL38</f>
        <v>1407.65</v>
      </c>
      <c r="DM34" s="93">
        <f>DM35+DM36+DM37+DM38</f>
        <v>447.67500000000001</v>
      </c>
      <c r="DN34" s="57">
        <f t="shared" si="214"/>
        <v>2.1443569553805775</v>
      </c>
      <c r="DO34" s="99">
        <f>DO35+DO36+DO37+DO38</f>
        <v>1861.2</v>
      </c>
      <c r="DP34" s="93">
        <f>DP35+DP36+DP37+DP38</f>
        <v>1203.2000000000003</v>
      </c>
      <c r="DQ34" s="57">
        <f t="shared" si="215"/>
        <v>0.54687499999999978</v>
      </c>
      <c r="DR34" s="99">
        <f>DR35+DR36+DR37+DR38</f>
        <v>2008.0750000000003</v>
      </c>
      <c r="DS34" s="93">
        <f>DS35+DS36+DS37+DS38</f>
        <v>1553.35</v>
      </c>
      <c r="DT34" s="57">
        <f t="shared" si="216"/>
        <v>0.29273827534039354</v>
      </c>
      <c r="DU34" s="99">
        <f>DU35+DU36+DU37+DU38</f>
        <v>97.525000000000006</v>
      </c>
      <c r="DV34" s="93">
        <f>DV35+DV36+DV37+DV38</f>
        <v>17.625</v>
      </c>
      <c r="DW34" s="57">
        <f t="shared" si="217"/>
        <v>4.5333333333333332</v>
      </c>
      <c r="DX34" s="99">
        <f>Serviceorderfile_Current!$K384*Serviceorderfile_Current!$U384</f>
        <v>17.625</v>
      </c>
      <c r="DY34" s="93">
        <f>Serviceorderfile_PREVIOUS!$K384*Serviceorderfile_PREVIOUS!$U384</f>
        <v>0</v>
      </c>
      <c r="DZ34" s="57">
        <f t="shared" si="218"/>
        <v>1</v>
      </c>
      <c r="EA34" s="118">
        <f t="shared" si="169"/>
        <v>6608.2000000000007</v>
      </c>
      <c r="EB34" s="77">
        <f t="shared" si="170"/>
        <v>3294.7000000000003</v>
      </c>
      <c r="EC34" s="57">
        <f t="shared" si="219"/>
        <v>1.0057061340941513</v>
      </c>
      <c r="ED34" s="94"/>
      <c r="EE34" s="124" t="s">
        <v>41</v>
      </c>
      <c r="EF34" s="76">
        <f>AVERAGE(EF35:EF38)</f>
        <v>0.98073838697824345</v>
      </c>
      <c r="EG34" s="57">
        <f>AVERAGE(EG35:EG38)</f>
        <v>0.60000000000000009</v>
      </c>
      <c r="EH34" s="99">
        <f>EH35+EH36+EH37+EH38</f>
        <v>21121.800000000003</v>
      </c>
      <c r="EI34" s="93">
        <f>EI35+EI36+EI37+EI38</f>
        <v>22498.9</v>
      </c>
      <c r="EJ34" s="57">
        <f t="shared" si="47"/>
        <v>-6.1207436808021654E-2</v>
      </c>
      <c r="EK34" s="99">
        <f>EK35+EK36+EK37+EK38</f>
        <v>30138.75</v>
      </c>
      <c r="EL34" s="93">
        <f>EL35+EL36+EL37+EL38</f>
        <v>32113.924999999999</v>
      </c>
      <c r="EM34" s="57">
        <f t="shared" si="220"/>
        <v>-6.1505250448208981E-2</v>
      </c>
      <c r="EN34" s="99">
        <f>EN35+EN36+EN37+EN38</f>
        <v>14722.75</v>
      </c>
      <c r="EO34" s="93">
        <f>EO35+EO36+EO37+EO38</f>
        <v>14129.375</v>
      </c>
      <c r="EP34" s="57">
        <f t="shared" si="221"/>
        <v>4.1995841995841943E-2</v>
      </c>
      <c r="EQ34" s="99">
        <f>EQ35+EQ36+EQ37+EQ38</f>
        <v>12100.15</v>
      </c>
      <c r="ER34" s="93">
        <f>ER35+ER36+ER37+ER38</f>
        <v>11781.725</v>
      </c>
      <c r="ES34" s="57">
        <f t="shared" si="222"/>
        <v>2.7027027027026973E-2</v>
      </c>
      <c r="ET34" s="99">
        <f>ET35+ET36+ET37+ET38</f>
        <v>4.7</v>
      </c>
      <c r="EU34" s="93">
        <f>EU35+EU36+EU37+EU38</f>
        <v>0</v>
      </c>
      <c r="EV34" s="57">
        <f t="shared" si="223"/>
        <v>1</v>
      </c>
      <c r="EW34" s="84"/>
      <c r="EX34" s="76">
        <f>Serviceorderfile_Current!$V376</f>
        <v>8.0791618160651918E-2</v>
      </c>
      <c r="EY34" s="47">
        <f>Aged!E77</f>
        <v>0.2</v>
      </c>
      <c r="EZ34" s="99">
        <f>Serviceorderfile_Current!$U376*Serviceorderfile_Current!$H376</f>
        <v>30279.75</v>
      </c>
      <c r="FA34" s="93">
        <f>Serviceorderfile_PREVIOUS!$U376*Serviceorderfile_PREVIOUS!$H376</f>
        <v>12043.75</v>
      </c>
      <c r="FB34" s="57">
        <f t="shared" si="224"/>
        <v>1.5141463414634146</v>
      </c>
      <c r="FC34" s="84"/>
      <c r="FD34" s="118">
        <f t="shared" si="66"/>
        <v>108367.90000000001</v>
      </c>
      <c r="FE34" s="77">
        <f t="shared" si="67"/>
        <v>92567.674999999988</v>
      </c>
      <c r="FF34" s="143">
        <f t="shared" si="53"/>
        <v>0.17068836394562159</v>
      </c>
      <c r="FG34" s="94"/>
      <c r="FH34" s="84"/>
      <c r="FI34" s="84"/>
      <c r="FJ34" s="84"/>
      <c r="FK34" s="84"/>
      <c r="FL34" s="84"/>
      <c r="FM34" s="84"/>
      <c r="FN34" s="84"/>
      <c r="FO34" s="84"/>
      <c r="FP34" s="84"/>
      <c r="FQ34" s="84"/>
      <c r="FR34" s="84"/>
      <c r="FS34" s="84"/>
      <c r="FT34" s="84"/>
      <c r="FU34" s="84"/>
      <c r="FV34" s="84"/>
      <c r="FW34" s="84"/>
      <c r="FX34" s="84"/>
    </row>
    <row r="35" spans="1:180" s="63" customFormat="1" ht="12" hidden="1" customHeight="1" outlineLevel="1" x14ac:dyDescent="0.25">
      <c r="A35" s="112" t="s">
        <v>26</v>
      </c>
      <c r="B35" s="114">
        <f>Serviceorderfile_Current!$W318</f>
        <v>1518.1000000000001</v>
      </c>
      <c r="C35" s="98">
        <f>Serviceorderfile_PREVIOUS!$W318</f>
        <v>1110.375</v>
      </c>
      <c r="D35" s="64">
        <f t="shared" si="152"/>
        <v>0.3671957671957673</v>
      </c>
      <c r="E35" s="98">
        <f>'YOY Orders'!$J9</f>
        <v>2788.2750000000001</v>
      </c>
      <c r="F35" s="98">
        <f>'YOY Orders'!$B9</f>
        <v>2917.5250000000001</v>
      </c>
      <c r="G35" s="64">
        <f t="shared" si="171"/>
        <v>-4.4301248489730161E-2</v>
      </c>
      <c r="H35" s="114">
        <f>Serviceorderfile_Current!$W320</f>
        <v>1245.5</v>
      </c>
      <c r="I35" s="98">
        <f>Serviceorderfile_PREVIOUS!$W320</f>
        <v>568.70000000000005</v>
      </c>
      <c r="J35" s="64">
        <f t="shared" si="2"/>
        <v>1.1900826446280992</v>
      </c>
      <c r="K35" s="98">
        <f>'YOY Orders'!$K9</f>
        <v>1693.175</v>
      </c>
      <c r="L35" s="98">
        <f>'YOY Orders'!$C9</f>
        <v>1279.575</v>
      </c>
      <c r="M35" s="64">
        <f t="shared" si="172"/>
        <v>0.32323232323232309</v>
      </c>
      <c r="N35" s="114">
        <f>Serviceorderfile_Current!$W319</f>
        <v>3194.8250000000003</v>
      </c>
      <c r="O35" s="98">
        <f>Serviceorderfile_PREVIOUS!$W319</f>
        <v>2393.4749999999999</v>
      </c>
      <c r="P35" s="64">
        <f t="shared" si="4"/>
        <v>0.33480608738340711</v>
      </c>
      <c r="Q35" s="98">
        <f>'YOY Orders'!$O9</f>
        <v>3727.1000000000004</v>
      </c>
      <c r="R35" s="98">
        <f>'YOY Orders'!$G9</f>
        <v>3411.0250000000001</v>
      </c>
      <c r="S35" s="64">
        <f t="shared" si="173"/>
        <v>9.2662762659317943E-2</v>
      </c>
      <c r="T35" s="114">
        <f>Serviceorderfile_Current!$W321</f>
        <v>4750.5250000000005</v>
      </c>
      <c r="U35" s="98">
        <f>Serviceorderfile_PREVIOUS!$W321</f>
        <v>3675.4</v>
      </c>
      <c r="V35" s="64">
        <f t="shared" si="6"/>
        <v>0.2925191815856778</v>
      </c>
      <c r="W35" s="98">
        <f>'YOY Orders'!$L9</f>
        <v>4963.2</v>
      </c>
      <c r="X35" s="98">
        <f>'YOY Orders'!$D9</f>
        <v>4092.5250000000001</v>
      </c>
      <c r="Y35" s="64">
        <f t="shared" si="174"/>
        <v>0.21274763135228247</v>
      </c>
      <c r="Z35" s="114">
        <f>Serviceorderfile_Current!$W322</f>
        <v>232.65</v>
      </c>
      <c r="AA35" s="98">
        <f>Serviceorderfile_PREVIOUS!$W322</f>
        <v>123.375</v>
      </c>
      <c r="AB35" s="64">
        <f t="shared" si="8"/>
        <v>0.88571428571428568</v>
      </c>
      <c r="AC35" s="98">
        <f>'YOY Orders'!$N9</f>
        <v>359.55</v>
      </c>
      <c r="AD35" s="98">
        <f>'YOY Orders'!$F9</f>
        <v>225.60000000000002</v>
      </c>
      <c r="AE35" s="64">
        <f t="shared" si="175"/>
        <v>0.59375</v>
      </c>
      <c r="AF35" s="184"/>
      <c r="AG35" s="65"/>
      <c r="AH35" s="64">
        <f t="shared" si="10"/>
        <v>1</v>
      </c>
      <c r="AI35" s="65"/>
      <c r="AJ35" s="65"/>
      <c r="AK35" s="64">
        <f t="shared" si="176"/>
        <v>1</v>
      </c>
      <c r="AL35" s="170">
        <f t="shared" si="54"/>
        <v>10941.6</v>
      </c>
      <c r="AM35" s="66">
        <f t="shared" si="55"/>
        <v>7871.3249999999998</v>
      </c>
      <c r="AN35" s="64">
        <f t="shared" si="12"/>
        <v>0.39005821764442472</v>
      </c>
      <c r="AO35" s="170">
        <f t="shared" si="165"/>
        <v>13531.3</v>
      </c>
      <c r="AP35" s="66">
        <f t="shared" si="166"/>
        <v>11926.250000000002</v>
      </c>
      <c r="AQ35" s="64">
        <f t="shared" si="177"/>
        <v>0.13458128078817722</v>
      </c>
      <c r="AR35" s="72"/>
      <c r="AS35" s="112" t="s">
        <v>26</v>
      </c>
      <c r="AT35" s="114">
        <f>Serviceorderfile_Current!$I318*Serviceorderfile_Current!$U318</f>
        <v>603.95000000000005</v>
      </c>
      <c r="AU35" s="98">
        <f>Serviceorderfile_PREVIOUS!$I318*Serviceorderfile_PREVIOUS!$U318</f>
        <v>667.4</v>
      </c>
      <c r="AV35" s="64">
        <f t="shared" si="178"/>
        <v>-9.5070422535211141E-2</v>
      </c>
      <c r="AW35" s="67">
        <f t="shared" si="179"/>
        <v>0.39783281733746129</v>
      </c>
      <c r="AX35" s="68">
        <f t="shared" si="16"/>
        <v>0.60105820105820107</v>
      </c>
      <c r="AY35" s="119">
        <f t="shared" si="180"/>
        <v>-20.322538372073979</v>
      </c>
      <c r="AZ35" s="114">
        <f>Serviceorderfile_Current!$I320*Serviceorderfile_Current!$U320</f>
        <v>290.22500000000002</v>
      </c>
      <c r="BA35" s="98">
        <f>Serviceorderfile_PREVIOUS!$I320*Serviceorderfile_PREVIOUS!$U320</f>
        <v>286.7</v>
      </c>
      <c r="BB35" s="64">
        <f t="shared" si="181"/>
        <v>1.2295081967213184E-2</v>
      </c>
      <c r="BC35" s="67">
        <f t="shared" si="182"/>
        <v>0.23301886792452833</v>
      </c>
      <c r="BD35" s="68">
        <f t="shared" si="183"/>
        <v>0.50413223140495866</v>
      </c>
      <c r="BE35" s="119">
        <f t="shared" si="184"/>
        <v>-27.111336348043036</v>
      </c>
      <c r="BF35" s="114">
        <f>Serviceorderfile_Current!$I319*Serviceorderfile_Current!$U319</f>
        <v>608.65</v>
      </c>
      <c r="BG35" s="98">
        <f>Serviceorderfile_PREVIOUS!$I319*Serviceorderfile_PREVIOUS!$U319</f>
        <v>383.05</v>
      </c>
      <c r="BH35" s="64">
        <f t="shared" si="185"/>
        <v>0.58895705521472386</v>
      </c>
      <c r="BI35" s="67">
        <f t="shared" si="186"/>
        <v>0.19051121735932325</v>
      </c>
      <c r="BJ35" s="68">
        <f t="shared" si="187"/>
        <v>0.16003927344133531</v>
      </c>
      <c r="BK35" s="119">
        <f t="shared" si="188"/>
        <v>3.0471943917987936</v>
      </c>
      <c r="BL35" s="114">
        <f>Serviceorderfile_Current!$I321*Serviceorderfile_Current!$U321</f>
        <v>925.90000000000009</v>
      </c>
      <c r="BM35" s="98">
        <f>Serviceorderfile_PREVIOUS!$I321*Serviceorderfile_PREVIOUS!$U321</f>
        <v>521.70000000000005</v>
      </c>
      <c r="BN35" s="64">
        <f t="shared" si="189"/>
        <v>0.77477477477477485</v>
      </c>
      <c r="BO35" s="67">
        <f t="shared" si="190"/>
        <v>0.19490477368290873</v>
      </c>
      <c r="BP35" s="68">
        <f t="shared" si="191"/>
        <v>0.14194373401534527</v>
      </c>
      <c r="BQ35" s="119">
        <f t="shared" si="192"/>
        <v>5.2961039667563465</v>
      </c>
      <c r="BR35" s="114">
        <f>Serviceorderfile_Current!$I322*Serviceorderfile_Current!$U322</f>
        <v>77.55</v>
      </c>
      <c r="BS35" s="98">
        <f>Serviceorderfile_PREVIOUS!$I322*Serviceorderfile_PREVIOUS!$U322</f>
        <v>106.925</v>
      </c>
      <c r="BT35" s="64">
        <f t="shared" si="193"/>
        <v>-0.27472527472527475</v>
      </c>
      <c r="BU35" s="67">
        <f t="shared" si="194"/>
        <v>0.33333333333333331</v>
      </c>
      <c r="BV35" s="68">
        <f t="shared" si="195"/>
        <v>0.8666666666666667</v>
      </c>
      <c r="BW35" s="119">
        <f t="shared" si="196"/>
        <v>-53.333333333333343</v>
      </c>
      <c r="BX35" s="184"/>
      <c r="BY35" s="65"/>
      <c r="BZ35" s="64">
        <f t="shared" si="197"/>
        <v>1</v>
      </c>
      <c r="CA35" s="65"/>
      <c r="CB35" s="65"/>
      <c r="CC35" s="64">
        <f t="shared" ref="CC35:CC38" si="257">IF(CB35&gt;0,CA35/CB35-1,1)</f>
        <v>1</v>
      </c>
      <c r="CD35" s="122">
        <f t="shared" si="201"/>
        <v>2506.2750000000001</v>
      </c>
      <c r="CE35" s="69">
        <f t="shared" si="202"/>
        <v>1965.7749999999999</v>
      </c>
      <c r="CF35" s="57">
        <f t="shared" si="203"/>
        <v>0.27495517035266004</v>
      </c>
      <c r="CG35" s="67">
        <f t="shared" si="204"/>
        <v>0.22905927835051546</v>
      </c>
      <c r="CH35" s="68">
        <f t="shared" si="154"/>
        <v>0.24973876698014627</v>
      </c>
      <c r="CI35" s="119">
        <f t="shared" si="205"/>
        <v>-2.0679488629630818</v>
      </c>
      <c r="CJ35" s="85"/>
      <c r="CK35" s="112" t="s">
        <v>26</v>
      </c>
      <c r="CL35" s="114">
        <f>Serviceorderfile_Current!$J318*Serviceorderfile_Current!$U318</f>
        <v>390.1</v>
      </c>
      <c r="CM35" s="98">
        <f>Serviceorderfile_PREVIOUS!$J318*Serviceorderfile_PREVIOUS!$U318</f>
        <v>357.2</v>
      </c>
      <c r="CN35" s="64">
        <f t="shared" si="206"/>
        <v>9.2105263157894912E-2</v>
      </c>
      <c r="CO35" s="114">
        <f>Serviceorderfile_Current!$J320*Serviceorderfile_Current!$U320</f>
        <v>364.25</v>
      </c>
      <c r="CP35" s="98">
        <f>Serviceorderfile_PREVIOUS!$J320*Serviceorderfile_PREVIOUS!$U320</f>
        <v>106.925</v>
      </c>
      <c r="CQ35" s="64">
        <f t="shared" si="207"/>
        <v>2.4065934065934065</v>
      </c>
      <c r="CR35" s="114">
        <f>Serviceorderfile_Current!$J319*Serviceorderfile_Current!$U319</f>
        <v>505.25</v>
      </c>
      <c r="CS35" s="98">
        <f>Serviceorderfile_PREVIOUS!$J319*Serviceorderfile_PREVIOUS!$U319</f>
        <v>475.875</v>
      </c>
      <c r="CT35" s="64">
        <f t="shared" si="208"/>
        <v>6.1728395061728447E-2</v>
      </c>
      <c r="CU35" s="114">
        <f>Serviceorderfile_Current!$J321*Serviceorderfile_Current!$U321</f>
        <v>553.42500000000007</v>
      </c>
      <c r="CV35" s="98">
        <f>Serviceorderfile_PREVIOUS!$J321*Serviceorderfile_PREVIOUS!$U321</f>
        <v>581.625</v>
      </c>
      <c r="CW35" s="64">
        <f t="shared" si="209"/>
        <v>-4.8484848484848353E-2</v>
      </c>
      <c r="CX35" s="114">
        <f>Serviceorderfile_Current!$J322*Serviceorderfile_Current!$U322</f>
        <v>113.97500000000001</v>
      </c>
      <c r="CY35" s="98">
        <f>Serviceorderfile_PREVIOUS!$J322*Serviceorderfile_PREVIOUS!$U322</f>
        <v>14.100000000000001</v>
      </c>
      <c r="CZ35" s="64">
        <f t="shared" si="210"/>
        <v>7.0833333333333339</v>
      </c>
      <c r="DA35" s="184"/>
      <c r="DB35" s="65"/>
      <c r="DC35" s="64">
        <f t="shared" si="211"/>
        <v>1</v>
      </c>
      <c r="DD35" s="118">
        <f t="shared" si="167"/>
        <v>1927</v>
      </c>
      <c r="DE35" s="77">
        <f t="shared" si="168"/>
        <v>1535.7249999999999</v>
      </c>
      <c r="DF35" s="57">
        <f t="shared" si="212"/>
        <v>0.25478194338179039</v>
      </c>
      <c r="DG35" s="86"/>
      <c r="DH35" s="112" t="s">
        <v>26</v>
      </c>
      <c r="DI35" s="114">
        <f>Serviceorderfile_Current!$K318*Serviceorderfile_Current!$U318</f>
        <v>346.625</v>
      </c>
      <c r="DJ35" s="98">
        <f>Serviceorderfile_PREVIOUS!$K318*Serviceorderfile_PREVIOUS!$U318</f>
        <v>17.625</v>
      </c>
      <c r="DK35" s="64">
        <f t="shared" si="213"/>
        <v>18.666666666666668</v>
      </c>
      <c r="DL35" s="114">
        <f>Serviceorderfile_Current!$K320*Serviceorderfile_Current!$U320</f>
        <v>106.925</v>
      </c>
      <c r="DM35" s="98">
        <f>Serviceorderfile_PREVIOUS!$K320*Serviceorderfile_PREVIOUS!$U320</f>
        <v>7.0500000000000007</v>
      </c>
      <c r="DN35" s="64">
        <f t="shared" si="214"/>
        <v>14.166666666666664</v>
      </c>
      <c r="DO35" s="114">
        <f>Serviceorderfile_Current!$K319*Serviceorderfile_Current!$U319</f>
        <v>565.17500000000007</v>
      </c>
      <c r="DP35" s="98">
        <f>Serviceorderfile_PREVIOUS!$K319*Serviceorderfile_PREVIOUS!$U319</f>
        <v>374.82499999999999</v>
      </c>
      <c r="DQ35" s="64">
        <f t="shared" si="215"/>
        <v>0.50783699059561149</v>
      </c>
      <c r="DR35" s="114">
        <f>Serviceorderfile_Current!$K321*Serviceorderfile_Current!$U321</f>
        <v>661.52499999999998</v>
      </c>
      <c r="DS35" s="98">
        <f>Serviceorderfile_PREVIOUS!$K321*Serviceorderfile_PREVIOUS!$U321</f>
        <v>314.90000000000003</v>
      </c>
      <c r="DT35" s="64">
        <f t="shared" si="216"/>
        <v>1.100746268656716</v>
      </c>
      <c r="DU35" s="114">
        <f>Serviceorderfile_Current!$K322*Serviceorderfile_Current!$U322</f>
        <v>29.375</v>
      </c>
      <c r="DV35" s="98">
        <f>Serviceorderfile_PREVIOUS!$K322*Serviceorderfile_PREVIOUS!$U322</f>
        <v>2.35</v>
      </c>
      <c r="DW35" s="64">
        <f t="shared" si="217"/>
        <v>11.5</v>
      </c>
      <c r="DX35" s="184"/>
      <c r="DY35" s="65"/>
      <c r="DZ35" s="64">
        <f t="shared" si="218"/>
        <v>1</v>
      </c>
      <c r="EA35" s="118">
        <f t="shared" si="169"/>
        <v>1709.625</v>
      </c>
      <c r="EB35" s="77">
        <f t="shared" si="170"/>
        <v>716.75000000000011</v>
      </c>
      <c r="EC35" s="57">
        <f t="shared" si="219"/>
        <v>1.3852459016393439</v>
      </c>
      <c r="ED35" s="94"/>
      <c r="EE35" s="125" t="s">
        <v>26</v>
      </c>
      <c r="EF35" s="76">
        <f>Serviceorderfile_Current!$V315</f>
        <v>0.9994543139513733</v>
      </c>
      <c r="EG35" s="57">
        <f>Aged!E20</f>
        <v>0.54</v>
      </c>
      <c r="EH35" s="99">
        <f>Serviceorderfile_Current!$U310*Serviceorderfile_Current!$H310</f>
        <v>4852.75</v>
      </c>
      <c r="EI35" s="93">
        <f>Serviceorderfile_PREVIOUS!$U310*Serviceorderfile_PREVIOUS!$H310</f>
        <v>5009.0250000000005</v>
      </c>
      <c r="EJ35" s="57">
        <f t="shared" si="47"/>
        <v>-3.1198686371100237E-2</v>
      </c>
      <c r="EK35" s="99">
        <f>Serviceorderfile_Current!$U312*Serviceorderfile_Current!$H312</f>
        <v>6876.1</v>
      </c>
      <c r="EL35" s="93">
        <f>Serviceorderfile_PREVIOUS!$U312*Serviceorderfile_PREVIOUS!$H312</f>
        <v>8904.15</v>
      </c>
      <c r="EM35" s="57">
        <f t="shared" si="220"/>
        <v>-0.22776458168382152</v>
      </c>
      <c r="EN35" s="99">
        <f>Serviceorderfile_Current!$U311*Serviceorderfile_Current!$H311</f>
        <v>5120.6500000000005</v>
      </c>
      <c r="EO35" s="93">
        <f>Serviceorderfile_PREVIOUS!$U311*Serviceorderfile_PREVIOUS!$H311</f>
        <v>4224.125</v>
      </c>
      <c r="EP35" s="57">
        <f t="shared" si="221"/>
        <v>0.21223922114047311</v>
      </c>
      <c r="EQ35" s="99">
        <f>Serviceorderfile_Current!$U313*Serviceorderfile_Current!$H313</f>
        <v>2529.7750000000001</v>
      </c>
      <c r="ER35" s="93">
        <f>Serviceorderfile_PREVIOUS!$U313*Serviceorderfile_PREVIOUS!$H313</f>
        <v>2192.5500000000002</v>
      </c>
      <c r="ES35" s="57">
        <f t="shared" si="222"/>
        <v>0.1538049303322615</v>
      </c>
      <c r="ET35" s="99">
        <f>Serviceorderfile_Current!$U314*Serviceorderfile_Current!$H314</f>
        <v>0</v>
      </c>
      <c r="EU35" s="93">
        <f>Serviceorderfile_PREVIOUS!$U314*Serviceorderfile_PREVIOUS!$H314</f>
        <v>0</v>
      </c>
      <c r="EV35" s="57">
        <f t="shared" si="223"/>
        <v>1</v>
      </c>
      <c r="EW35" s="84"/>
      <c r="EX35" s="106"/>
      <c r="EY35" s="106"/>
      <c r="EZ35" s="106"/>
      <c r="FA35" s="106"/>
      <c r="FB35" s="57">
        <f t="shared" si="224"/>
        <v>1</v>
      </c>
      <c r="FC35" s="84"/>
      <c r="FD35" s="122">
        <f t="shared" si="66"/>
        <v>19379.275000000001</v>
      </c>
      <c r="FE35" s="69">
        <f t="shared" si="67"/>
        <v>20329.850000000002</v>
      </c>
      <c r="FF35" s="143">
        <f t="shared" si="53"/>
        <v>-4.6757600277424594E-2</v>
      </c>
      <c r="FG35" s="94"/>
      <c r="FH35" s="84"/>
      <c r="FI35" s="84"/>
      <c r="FJ35" s="84"/>
      <c r="FK35" s="84"/>
      <c r="FL35" s="84"/>
      <c r="FM35" s="84"/>
      <c r="FN35" s="84"/>
      <c r="FO35" s="84"/>
      <c r="FP35" s="84"/>
      <c r="FQ35" s="84"/>
      <c r="FR35" s="84"/>
      <c r="FS35" s="84"/>
      <c r="FT35" s="84"/>
      <c r="FU35" s="84"/>
      <c r="FV35" s="84"/>
      <c r="FW35" s="84"/>
      <c r="FX35" s="84"/>
    </row>
    <row r="36" spans="1:180" s="63" customFormat="1" ht="12" hidden="1" customHeight="1" outlineLevel="1" x14ac:dyDescent="0.25">
      <c r="A36" s="112" t="s">
        <v>27</v>
      </c>
      <c r="B36" s="114">
        <f>Serviceorderfile_Current!$W335</f>
        <v>1566.2750000000001</v>
      </c>
      <c r="C36" s="98">
        <f>Serviceorderfile_PREVIOUS!$W335</f>
        <v>847.17500000000007</v>
      </c>
      <c r="D36" s="64">
        <f t="shared" si="152"/>
        <v>0.84882108183079064</v>
      </c>
      <c r="E36" s="98">
        <f>'YOY Orders'!$J10</f>
        <v>2861.125</v>
      </c>
      <c r="F36" s="98">
        <f>'YOY Orders'!$B10</f>
        <v>2169.0500000000002</v>
      </c>
      <c r="G36" s="64">
        <f t="shared" si="171"/>
        <v>0.31906825568797381</v>
      </c>
      <c r="H36" s="114">
        <f>Serviceorderfile_Current!$W337</f>
        <v>1499.3</v>
      </c>
      <c r="I36" s="98">
        <f>Serviceorderfile_PREVIOUS!$W337</f>
        <v>898.875</v>
      </c>
      <c r="J36" s="64">
        <f t="shared" si="2"/>
        <v>0.66797385620915017</v>
      </c>
      <c r="K36" s="98">
        <f>'YOY Orders'!$K10</f>
        <v>2279.5</v>
      </c>
      <c r="L36" s="98">
        <f>'YOY Orders'!$C10</f>
        <v>1330.1000000000001</v>
      </c>
      <c r="M36" s="64">
        <f t="shared" si="172"/>
        <v>0.71378091872791494</v>
      </c>
      <c r="N36" s="114">
        <f>Serviceorderfile_Current!$W336</f>
        <v>2152.6</v>
      </c>
      <c r="O36" s="98">
        <f>Serviceorderfile_PREVIOUS!$W336</f>
        <v>1970.4750000000001</v>
      </c>
      <c r="P36" s="64">
        <f t="shared" si="4"/>
        <v>9.2426952892069147E-2</v>
      </c>
      <c r="Q36" s="98">
        <f>'YOY Orders'!$O10</f>
        <v>2710.7249999999999</v>
      </c>
      <c r="R36" s="98">
        <f>'YOY Orders'!$G10</f>
        <v>2380.5500000000002</v>
      </c>
      <c r="S36" s="64">
        <f t="shared" si="173"/>
        <v>0.13869693978282327</v>
      </c>
      <c r="T36" s="114">
        <f>Serviceorderfile_Current!$W338</f>
        <v>3620.1750000000002</v>
      </c>
      <c r="U36" s="98">
        <f>Serviceorderfile_PREVIOUS!$W338</f>
        <v>3416.9</v>
      </c>
      <c r="V36" s="64">
        <f t="shared" si="6"/>
        <v>5.9491059147180225E-2</v>
      </c>
      <c r="W36" s="98">
        <f>'YOY Orders'!$L10</f>
        <v>3929.2000000000003</v>
      </c>
      <c r="X36" s="98">
        <f>'YOY Orders'!$D10</f>
        <v>3932.7250000000004</v>
      </c>
      <c r="Y36" s="64">
        <f t="shared" si="174"/>
        <v>-8.9632506722436833E-4</v>
      </c>
      <c r="Z36" s="114">
        <f>Serviceorderfile_Current!$W339</f>
        <v>137.47499999999999</v>
      </c>
      <c r="AA36" s="98">
        <f>Serviceorderfile_PREVIOUS!$W339</f>
        <v>99.875</v>
      </c>
      <c r="AB36" s="64">
        <f t="shared" si="8"/>
        <v>0.37647058823529411</v>
      </c>
      <c r="AC36" s="98">
        <f>'YOY Orders'!$N10</f>
        <v>246.75</v>
      </c>
      <c r="AD36" s="98">
        <f>'YOY Orders'!$F10</f>
        <v>239.70000000000002</v>
      </c>
      <c r="AE36" s="64">
        <f t="shared" si="175"/>
        <v>2.9411764705882248E-2</v>
      </c>
      <c r="AF36" s="184"/>
      <c r="AG36" s="65"/>
      <c r="AH36" s="64">
        <f t="shared" si="10"/>
        <v>1</v>
      </c>
      <c r="AI36" s="65"/>
      <c r="AJ36" s="65"/>
      <c r="AK36" s="64">
        <f t="shared" si="176"/>
        <v>1</v>
      </c>
      <c r="AL36" s="170">
        <f t="shared" si="54"/>
        <v>8975.8250000000007</v>
      </c>
      <c r="AM36" s="66">
        <f t="shared" si="55"/>
        <v>7233.3</v>
      </c>
      <c r="AN36" s="64">
        <f t="shared" si="12"/>
        <v>0.24090318388564014</v>
      </c>
      <c r="AO36" s="170">
        <f t="shared" si="165"/>
        <v>12027.300000000001</v>
      </c>
      <c r="AP36" s="66">
        <f t="shared" si="166"/>
        <v>10052.125000000002</v>
      </c>
      <c r="AQ36" s="64">
        <f t="shared" si="177"/>
        <v>0.19649327878433653</v>
      </c>
      <c r="AR36" s="72"/>
      <c r="AS36" s="112" t="s">
        <v>27</v>
      </c>
      <c r="AT36" s="114">
        <f>Serviceorderfile_Current!$I335*Serviceorderfile_Current!$U335</f>
        <v>626.27499999999998</v>
      </c>
      <c r="AU36" s="98">
        <f>Serviceorderfile_PREVIOUS!$I335*Serviceorderfile_PREVIOUS!$U335</f>
        <v>492.32500000000005</v>
      </c>
      <c r="AV36" s="64">
        <f t="shared" si="178"/>
        <v>0.27207637231503567</v>
      </c>
      <c r="AW36" s="67">
        <f t="shared" si="179"/>
        <v>0.3998499624906226</v>
      </c>
      <c r="AX36" s="68">
        <f t="shared" si="16"/>
        <v>0.58113730929264906</v>
      </c>
      <c r="AY36" s="119">
        <f t="shared" si="180"/>
        <v>-18.128734680202648</v>
      </c>
      <c r="AZ36" s="114">
        <f>Serviceorderfile_Current!$I337*Serviceorderfile_Current!$U337</f>
        <v>334.875</v>
      </c>
      <c r="BA36" s="98">
        <f>Serviceorderfile_PREVIOUS!$I337*Serviceorderfile_PREVIOUS!$U337</f>
        <v>262.02500000000003</v>
      </c>
      <c r="BB36" s="64">
        <f t="shared" si="181"/>
        <v>0.27802690582959633</v>
      </c>
      <c r="BC36" s="67">
        <f t="shared" si="182"/>
        <v>0.22335423197492163</v>
      </c>
      <c r="BD36" s="68">
        <f t="shared" si="183"/>
        <v>0.29150326797385623</v>
      </c>
      <c r="BE36" s="119">
        <f t="shared" si="184"/>
        <v>-6.8149035998934595</v>
      </c>
      <c r="BF36" s="114">
        <f>Serviceorderfile_Current!$I336*Serviceorderfile_Current!$U336</f>
        <v>397.15000000000003</v>
      </c>
      <c r="BG36" s="98">
        <f>Serviceorderfile_PREVIOUS!$I336*Serviceorderfile_PREVIOUS!$U336</f>
        <v>334.875</v>
      </c>
      <c r="BH36" s="64">
        <f t="shared" si="185"/>
        <v>0.18596491228070189</v>
      </c>
      <c r="BI36" s="67">
        <f t="shared" si="186"/>
        <v>0.18449781659388648</v>
      </c>
      <c r="BJ36" s="68">
        <f t="shared" si="187"/>
        <v>0.16994633273703039</v>
      </c>
      <c r="BK36" s="119">
        <f t="shared" si="188"/>
        <v>1.4551483856856091</v>
      </c>
      <c r="BL36" s="114">
        <f>Serviceorderfile_Current!$I338*Serviceorderfile_Current!$U338</f>
        <v>491.15000000000003</v>
      </c>
      <c r="BM36" s="98">
        <f>Serviceorderfile_PREVIOUS!$I338*Serviceorderfile_PREVIOUS!$U338</f>
        <v>817.80000000000007</v>
      </c>
      <c r="BN36" s="64">
        <f t="shared" si="189"/>
        <v>-0.39942528735632188</v>
      </c>
      <c r="BO36" s="67">
        <f t="shared" si="190"/>
        <v>0.13567023693605973</v>
      </c>
      <c r="BP36" s="68">
        <f t="shared" si="191"/>
        <v>0.23933975240715269</v>
      </c>
      <c r="BQ36" s="119">
        <f t="shared" si="192"/>
        <v>-10.366951547109297</v>
      </c>
      <c r="BR36" s="114">
        <f>Serviceorderfile_Current!$I339*Serviceorderfile_Current!$U3389</f>
        <v>0</v>
      </c>
      <c r="BS36" s="98">
        <f>Serviceorderfile_PREVIOUS!$I339*Serviceorderfile_PREVIOUS!$U3406</f>
        <v>0</v>
      </c>
      <c r="BT36" s="64">
        <f t="shared" si="193"/>
        <v>1</v>
      </c>
      <c r="BU36" s="67">
        <f t="shared" si="194"/>
        <v>0</v>
      </c>
      <c r="BV36" s="68">
        <f t="shared" si="195"/>
        <v>0</v>
      </c>
      <c r="BW36" s="119">
        <f t="shared" si="196"/>
        <v>0</v>
      </c>
      <c r="BX36" s="184"/>
      <c r="BY36" s="65"/>
      <c r="BZ36" s="64">
        <f t="shared" si="197"/>
        <v>1</v>
      </c>
      <c r="CA36" s="65"/>
      <c r="CB36" s="65"/>
      <c r="CC36" s="64">
        <f t="shared" si="257"/>
        <v>1</v>
      </c>
      <c r="CD36" s="122">
        <f t="shared" si="201"/>
        <v>1849.45</v>
      </c>
      <c r="CE36" s="69">
        <f t="shared" si="202"/>
        <v>1907.0250000000001</v>
      </c>
      <c r="CF36" s="57">
        <f t="shared" si="203"/>
        <v>-3.0191004313000591E-2</v>
      </c>
      <c r="CG36" s="67">
        <f t="shared" si="204"/>
        <v>0.20604791203037046</v>
      </c>
      <c r="CH36" s="68">
        <f t="shared" si="154"/>
        <v>0.26364522417153996</v>
      </c>
      <c r="CI36" s="119">
        <f t="shared" si="205"/>
        <v>-5.7597312141169503</v>
      </c>
      <c r="CJ36" s="85"/>
      <c r="CK36" s="112" t="s">
        <v>27</v>
      </c>
      <c r="CL36" s="114">
        <f>Serviceorderfile_Current!$J335*Serviceorderfile_Current!$U335</f>
        <v>346.625</v>
      </c>
      <c r="CM36" s="98">
        <f>Serviceorderfile_PREVIOUS!$J335*Serviceorderfile_PREVIOUS!$U335</f>
        <v>205.625</v>
      </c>
      <c r="CN36" s="64">
        <f t="shared" si="206"/>
        <v>0.68571428571428572</v>
      </c>
      <c r="CO36" s="114">
        <f>Serviceorderfile_Current!$J337*Serviceorderfile_Current!$U337</f>
        <v>321.95</v>
      </c>
      <c r="CP36" s="98">
        <f>Serviceorderfile_PREVIOUS!$J337*Serviceorderfile_PREVIOUS!$U337</f>
        <v>331.35</v>
      </c>
      <c r="CQ36" s="64">
        <f t="shared" si="207"/>
        <v>-2.8368794326241287E-2</v>
      </c>
      <c r="CR36" s="114">
        <f>Serviceorderfile_Current!$J336*Serviceorderfile_Current!$U336</f>
        <v>301.97500000000002</v>
      </c>
      <c r="CS36" s="98">
        <f>Serviceorderfile_PREVIOUS!$J336*Serviceorderfile_PREVIOUS!$U336</f>
        <v>331.35</v>
      </c>
      <c r="CT36" s="64">
        <f t="shared" si="208"/>
        <v>-8.8652482269503508E-2</v>
      </c>
      <c r="CU36" s="114">
        <f>Serviceorderfile_Current!$J338*Serviceorderfile_Current!$U338</f>
        <v>564</v>
      </c>
      <c r="CV36" s="98">
        <f>Serviceorderfile_PREVIOUS!$J338*Serviceorderfile_PREVIOUS!$U338</f>
        <v>435.92500000000001</v>
      </c>
      <c r="CW36" s="64">
        <f t="shared" si="209"/>
        <v>0.29380053908355785</v>
      </c>
      <c r="CX36" s="114">
        <f>Serviceorderfile_Current!$J339*Serviceorderfile_Current!$U3389</f>
        <v>0</v>
      </c>
      <c r="CY36" s="98">
        <f>Serviceorderfile_PREVIOUS!$J339*Serviceorderfile_PREVIOUS!$U3406</f>
        <v>0</v>
      </c>
      <c r="CZ36" s="64">
        <f t="shared" si="210"/>
        <v>1</v>
      </c>
      <c r="DA36" s="184"/>
      <c r="DB36" s="65"/>
      <c r="DC36" s="64">
        <f t="shared" si="211"/>
        <v>1</v>
      </c>
      <c r="DD36" s="118">
        <f t="shared" si="167"/>
        <v>1534.5500000000002</v>
      </c>
      <c r="DE36" s="77">
        <f t="shared" si="168"/>
        <v>1304.25</v>
      </c>
      <c r="DF36" s="57">
        <f t="shared" si="212"/>
        <v>0.17657657657657677</v>
      </c>
      <c r="DG36" s="86"/>
      <c r="DH36" s="112" t="s">
        <v>27</v>
      </c>
      <c r="DI36" s="114">
        <f>Serviceorderfile_Current!$K335*Serviceorderfile_Current!$U335</f>
        <v>233.82500000000002</v>
      </c>
      <c r="DJ36" s="98">
        <f>Serviceorderfile_PREVIOUS!$K335*Serviceorderfile_PREVIOUS!$U335</f>
        <v>49.35</v>
      </c>
      <c r="DK36" s="64">
        <f t="shared" si="213"/>
        <v>3.7380952380952381</v>
      </c>
      <c r="DL36" s="114">
        <f>Serviceorderfile_Current!$K337*Serviceorderfile_Current!$U337</f>
        <v>471.17500000000001</v>
      </c>
      <c r="DM36" s="98">
        <f>Serviceorderfile_PREVIOUS!$K337*Serviceorderfile_PREVIOUS!$U337</f>
        <v>97.525000000000006</v>
      </c>
      <c r="DN36" s="64">
        <f t="shared" si="214"/>
        <v>3.831325301204819</v>
      </c>
      <c r="DO36" s="114">
        <f>Serviceorderfile_Current!$K336*Serviceorderfile_Current!$U336</f>
        <v>258.5</v>
      </c>
      <c r="DP36" s="98">
        <f>Serviceorderfile_PREVIOUS!$K336*Serviceorderfile_PREVIOUS!$U336</f>
        <v>267.90000000000003</v>
      </c>
      <c r="DQ36" s="64">
        <f t="shared" si="215"/>
        <v>-3.5087719298245723E-2</v>
      </c>
      <c r="DR36" s="114">
        <f>Serviceorderfile_Current!$K338*Serviceorderfile_Current!$U338</f>
        <v>360.72500000000002</v>
      </c>
      <c r="DS36" s="98">
        <f>Serviceorderfile_PREVIOUS!$K338*Serviceorderfile_PREVIOUS!$U338</f>
        <v>217.375</v>
      </c>
      <c r="DT36" s="64">
        <f t="shared" si="216"/>
        <v>0.65945945945945961</v>
      </c>
      <c r="DU36" s="114">
        <f>Serviceorderfile_Current!$K339*Serviceorderfile_Current!$U3389</f>
        <v>0</v>
      </c>
      <c r="DV36" s="98">
        <f>Serviceorderfile_PREVIOUS!$K339*Serviceorderfile_PREVIOUS!$U3406</f>
        <v>0</v>
      </c>
      <c r="DW36" s="64">
        <f t="shared" si="217"/>
        <v>1</v>
      </c>
      <c r="DX36" s="184"/>
      <c r="DY36" s="65"/>
      <c r="DZ36" s="64">
        <f t="shared" si="218"/>
        <v>1</v>
      </c>
      <c r="EA36" s="118">
        <f t="shared" si="169"/>
        <v>1324.2249999999999</v>
      </c>
      <c r="EB36" s="77">
        <f t="shared" si="170"/>
        <v>632.15000000000009</v>
      </c>
      <c r="EC36" s="57">
        <f t="shared" si="219"/>
        <v>1.0947955390334569</v>
      </c>
      <c r="ED36" s="94"/>
      <c r="EE36" s="125" t="s">
        <v>27</v>
      </c>
      <c r="EF36" s="76">
        <f>Serviceorderfile_Current!$V332</f>
        <v>0.99937566035923542</v>
      </c>
      <c r="EG36" s="57">
        <f>Aged!E21</f>
        <v>0.55000000000000004</v>
      </c>
      <c r="EH36" s="99">
        <f>Serviceorderfile_Current!$U327*Serviceorderfile_Current!$H327</f>
        <v>7018.2750000000005</v>
      </c>
      <c r="EI36" s="93">
        <f>Serviceorderfile_PREVIOUS!$U327*Serviceorderfile_PREVIOUS!$H327</f>
        <v>6591.75</v>
      </c>
      <c r="EJ36" s="57">
        <f t="shared" si="47"/>
        <v>6.4705882352941169E-2</v>
      </c>
      <c r="EK36" s="99">
        <f>Serviceorderfile_Current!$U329*Serviceorderfile_Current!$H329</f>
        <v>10478.65</v>
      </c>
      <c r="EL36" s="93">
        <f>Serviceorderfile_PREVIOUS!$U329*Serviceorderfile_PREVIOUS!$H329</f>
        <v>7341.4000000000005</v>
      </c>
      <c r="EM36" s="57">
        <f t="shared" si="220"/>
        <v>0.42733674775928288</v>
      </c>
      <c r="EN36" s="99">
        <f>Serviceorderfile_Current!$U328*Serviceorderfile_Current!$H328</f>
        <v>3567.3</v>
      </c>
      <c r="EO36" s="93">
        <f>Serviceorderfile_PREVIOUS!$U328*Serviceorderfile_PREVIOUS!$H328</f>
        <v>2773</v>
      </c>
      <c r="EP36" s="57">
        <f t="shared" si="221"/>
        <v>0.28644067796610173</v>
      </c>
      <c r="EQ36" s="99">
        <f>Serviceorderfile_Current!$U330*Serviceorderfile_Current!$H330</f>
        <v>3401.625</v>
      </c>
      <c r="ER36" s="93">
        <f>Serviceorderfile_PREVIOUS!$U330*Serviceorderfile_PREVIOUS!$H330</f>
        <v>2498.0500000000002</v>
      </c>
      <c r="ES36" s="57">
        <f t="shared" si="222"/>
        <v>0.36171213546566316</v>
      </c>
      <c r="ET36" s="99">
        <f>Serviceorderfile_Current!$U331*Serviceorderfile_Current!$H331</f>
        <v>4.7</v>
      </c>
      <c r="EU36" s="93">
        <f>Serviceorderfile_PREVIOUS!$U331*Serviceorderfile_PREVIOUS!$H331</f>
        <v>0</v>
      </c>
      <c r="EV36" s="57">
        <f t="shared" si="223"/>
        <v>1</v>
      </c>
      <c r="EW36" s="84"/>
      <c r="EX36" s="106"/>
      <c r="EY36" s="106"/>
      <c r="EZ36" s="106"/>
      <c r="FA36" s="106"/>
      <c r="FB36" s="57">
        <f t="shared" si="224"/>
        <v>1</v>
      </c>
      <c r="FC36" s="84"/>
      <c r="FD36" s="122">
        <f t="shared" si="66"/>
        <v>24470.550000000003</v>
      </c>
      <c r="FE36" s="69">
        <f t="shared" si="67"/>
        <v>19204.2</v>
      </c>
      <c r="FF36" s="143">
        <f t="shared" si="53"/>
        <v>0.27422907488986792</v>
      </c>
      <c r="FG36" s="94"/>
      <c r="FH36" s="84"/>
      <c r="FI36" s="84"/>
      <c r="FJ36" s="84"/>
      <c r="FK36" s="84"/>
      <c r="FL36" s="84"/>
      <c r="FM36" s="84"/>
      <c r="FN36" s="84"/>
      <c r="FO36" s="84"/>
      <c r="FP36" s="84"/>
      <c r="FQ36" s="84"/>
      <c r="FR36" s="84"/>
      <c r="FS36" s="84"/>
      <c r="FT36" s="84"/>
      <c r="FU36" s="84"/>
      <c r="FV36" s="84"/>
      <c r="FW36" s="84"/>
      <c r="FX36" s="84"/>
    </row>
    <row r="37" spans="1:180" s="63" customFormat="1" ht="12" hidden="1" customHeight="1" outlineLevel="1" x14ac:dyDescent="0.25">
      <c r="A37" s="112" t="s">
        <v>28</v>
      </c>
      <c r="B37" s="114">
        <f>Serviceorderfile_Current!$W352</f>
        <v>1203.2</v>
      </c>
      <c r="C37" s="98">
        <f>Serviceorderfile_PREVIOUS!$W352</f>
        <v>796.65</v>
      </c>
      <c r="D37" s="64">
        <f t="shared" si="152"/>
        <v>0.51032448377581141</v>
      </c>
      <c r="E37" s="98">
        <f>'YOY Orders'!$J11</f>
        <v>2518.0250000000001</v>
      </c>
      <c r="F37" s="98">
        <f>'YOY Orders'!$B11</f>
        <v>2342.9500000000003</v>
      </c>
      <c r="G37" s="64">
        <f t="shared" si="171"/>
        <v>7.4724172517552478E-2</v>
      </c>
      <c r="H37" s="114">
        <f>Serviceorderfile_Current!$W354</f>
        <v>1511.05</v>
      </c>
      <c r="I37" s="98">
        <f>Serviceorderfile_PREVIOUS!$W354</f>
        <v>943.52500000000009</v>
      </c>
      <c r="J37" s="64">
        <f t="shared" si="2"/>
        <v>0.6014943960149437</v>
      </c>
      <c r="K37" s="98">
        <f>'YOY Orders'!$K11</f>
        <v>2372.3250000000003</v>
      </c>
      <c r="L37" s="98">
        <f>'YOY Orders'!$C11</f>
        <v>1724.9</v>
      </c>
      <c r="M37" s="64">
        <f t="shared" si="172"/>
        <v>0.37534059945504095</v>
      </c>
      <c r="N37" s="114">
        <f>Serviceorderfile_Current!$W353</f>
        <v>4644.7750000000005</v>
      </c>
      <c r="O37" s="98">
        <f>Serviceorderfile_PREVIOUS!$W353</f>
        <v>3535.5750000000003</v>
      </c>
      <c r="P37" s="64">
        <f t="shared" si="4"/>
        <v>0.31372549019607843</v>
      </c>
      <c r="Q37" s="98">
        <f>'YOY Orders'!$O11</f>
        <v>5442.6</v>
      </c>
      <c r="R37" s="98">
        <f>'YOY Orders'!$G11</f>
        <v>4262.9000000000005</v>
      </c>
      <c r="S37" s="64">
        <f t="shared" si="173"/>
        <v>0.27673649393605282</v>
      </c>
      <c r="T37" s="114">
        <f>Serviceorderfile_Current!$W355</f>
        <v>5399.125</v>
      </c>
      <c r="U37" s="98">
        <f>Serviceorderfile_PREVIOUS!$W355</f>
        <v>3889.25</v>
      </c>
      <c r="V37" s="64">
        <f t="shared" si="6"/>
        <v>0.3882175226586102</v>
      </c>
      <c r="W37" s="98">
        <f>'YOY Orders'!$L11</f>
        <v>5372.1</v>
      </c>
      <c r="X37" s="98">
        <f>'YOY Orders'!$D11</f>
        <v>4117.2</v>
      </c>
      <c r="Y37" s="64">
        <f t="shared" si="174"/>
        <v>0.30479452054794542</v>
      </c>
      <c r="Z37" s="114">
        <f>Serviceorderfile_Current!$W356</f>
        <v>292.57499999999999</v>
      </c>
      <c r="AA37" s="98">
        <f>Serviceorderfile_PREVIOUS!$W356</f>
        <v>169.20000000000002</v>
      </c>
      <c r="AB37" s="64">
        <f t="shared" si="8"/>
        <v>0.72916666666666652</v>
      </c>
      <c r="AC37" s="98">
        <f>'YOY Orders'!$N11</f>
        <v>526.4</v>
      </c>
      <c r="AD37" s="98">
        <f>'YOY Orders'!$F11</f>
        <v>251.45000000000002</v>
      </c>
      <c r="AE37" s="64">
        <f t="shared" si="175"/>
        <v>1.0934579439252334</v>
      </c>
      <c r="AF37" s="184"/>
      <c r="AG37" s="65"/>
      <c r="AH37" s="64">
        <f t="shared" si="10"/>
        <v>1</v>
      </c>
      <c r="AI37" s="65"/>
      <c r="AJ37" s="65"/>
      <c r="AK37" s="64">
        <f t="shared" si="176"/>
        <v>1</v>
      </c>
      <c r="AL37" s="170">
        <f t="shared" si="54"/>
        <v>13050.724999999999</v>
      </c>
      <c r="AM37" s="66">
        <f t="shared" si="55"/>
        <v>9334.1999999999989</v>
      </c>
      <c r="AN37" s="64">
        <f t="shared" si="12"/>
        <v>0.39816213494461228</v>
      </c>
      <c r="AO37" s="170">
        <f t="shared" si="165"/>
        <v>16231.45</v>
      </c>
      <c r="AP37" s="66">
        <f t="shared" si="166"/>
        <v>12699.4</v>
      </c>
      <c r="AQ37" s="64">
        <f t="shared" si="177"/>
        <v>0.27812731310140637</v>
      </c>
      <c r="AR37" s="72"/>
      <c r="AS37" s="112" t="s">
        <v>28</v>
      </c>
      <c r="AT37" s="114">
        <f>Serviceorderfile_Current!$I352*Serviceorderfile_Current!$U352</f>
        <v>452.375</v>
      </c>
      <c r="AU37" s="98">
        <f>Serviceorderfile_PREVIOUS!$I352*Serviceorderfile_PREVIOUS!$U352</f>
        <v>445.32499999999999</v>
      </c>
      <c r="AV37" s="64">
        <f t="shared" si="178"/>
        <v>1.5831134564643801E-2</v>
      </c>
      <c r="AW37" s="67">
        <f t="shared" si="179"/>
        <v>0.3759765625</v>
      </c>
      <c r="AX37" s="68">
        <f t="shared" si="16"/>
        <v>0.55899705014749268</v>
      </c>
      <c r="AY37" s="119">
        <f t="shared" si="180"/>
        <v>-18.302048764749269</v>
      </c>
      <c r="AZ37" s="114">
        <f>Serviceorderfile_Current!$I354*Serviceorderfile_Current!$U354</f>
        <v>305.5</v>
      </c>
      <c r="BA37" s="98">
        <f>Serviceorderfile_PREVIOUS!$I354*Serviceorderfile_PREVIOUS!$U354</f>
        <v>427.7</v>
      </c>
      <c r="BB37" s="64">
        <f t="shared" si="181"/>
        <v>-0.2857142857142857</v>
      </c>
      <c r="BC37" s="67">
        <f t="shared" si="182"/>
        <v>0.2021772939346812</v>
      </c>
      <c r="BD37" s="68">
        <f t="shared" si="183"/>
        <v>0.45330012453300117</v>
      </c>
      <c r="BE37" s="119">
        <f t="shared" si="184"/>
        <v>-25.112283059831995</v>
      </c>
      <c r="BF37" s="114">
        <f>Serviceorderfile_Current!$I353*Serviceorderfile_Current!$U353</f>
        <v>841.30000000000007</v>
      </c>
      <c r="BG37" s="98">
        <f>Serviceorderfile_PREVIOUS!$I353*Serviceorderfile_PREVIOUS!$U353</f>
        <v>762.57500000000005</v>
      </c>
      <c r="BH37" s="64">
        <f t="shared" si="185"/>
        <v>0.1032357473035439</v>
      </c>
      <c r="BI37" s="67">
        <f t="shared" si="186"/>
        <v>0.18112825701998481</v>
      </c>
      <c r="BJ37" s="68">
        <f t="shared" si="187"/>
        <v>0.2156862745098039</v>
      </c>
      <c r="BK37" s="119">
        <f t="shared" si="188"/>
        <v>-3.4558017489819099</v>
      </c>
      <c r="BL37" s="114">
        <f>Serviceorderfile_Current!$I355*Serviceorderfile_Current!$U355</f>
        <v>890.65</v>
      </c>
      <c r="BM37" s="98">
        <f>Serviceorderfile_PREVIOUS!$I355*Serviceorderfile_PREVIOUS!$U355</f>
        <v>783.72500000000002</v>
      </c>
      <c r="BN37" s="64">
        <f t="shared" si="189"/>
        <v>0.13643178410794587</v>
      </c>
      <c r="BO37" s="67">
        <f t="shared" si="190"/>
        <v>0.164961915125136</v>
      </c>
      <c r="BP37" s="68">
        <f t="shared" si="191"/>
        <v>0.20151057401812689</v>
      </c>
      <c r="BQ37" s="119">
        <f t="shared" si="192"/>
        <v>-3.6548658892990886</v>
      </c>
      <c r="BR37" s="114">
        <f>Serviceorderfile_Current!$I356*Serviceorderfile_Current!$U356</f>
        <v>94</v>
      </c>
      <c r="BS37" s="98">
        <f>Serviceorderfile_PREVIOUS!$I356*Serviceorderfile_PREVIOUS!$U356</f>
        <v>71.674999999999997</v>
      </c>
      <c r="BT37" s="64">
        <f t="shared" si="193"/>
        <v>0.3114754098360657</v>
      </c>
      <c r="BU37" s="67">
        <f t="shared" si="194"/>
        <v>0.32128514056224899</v>
      </c>
      <c r="BV37" s="68">
        <f t="shared" si="195"/>
        <v>0.42361111111111105</v>
      </c>
      <c r="BW37" s="119">
        <f t="shared" si="196"/>
        <v>-10.232597054886206</v>
      </c>
      <c r="BX37" s="184"/>
      <c r="BY37" s="65"/>
      <c r="BZ37" s="64">
        <f t="shared" si="197"/>
        <v>1</v>
      </c>
      <c r="CA37" s="65"/>
      <c r="CB37" s="65"/>
      <c r="CC37" s="64">
        <f t="shared" si="257"/>
        <v>1</v>
      </c>
      <c r="CD37" s="122">
        <f t="shared" si="201"/>
        <v>2583.8250000000003</v>
      </c>
      <c r="CE37" s="69">
        <f t="shared" si="202"/>
        <v>2491</v>
      </c>
      <c r="CF37" s="57">
        <f t="shared" si="203"/>
        <v>3.7264150943396412E-2</v>
      </c>
      <c r="CG37" s="67">
        <f t="shared" si="204"/>
        <v>0.19798325380390749</v>
      </c>
      <c r="CH37" s="68">
        <f t="shared" si="154"/>
        <v>0.26686807653575029</v>
      </c>
      <c r="CI37" s="119">
        <f t="shared" si="205"/>
        <v>-6.8884822731842794</v>
      </c>
      <c r="CJ37" s="85"/>
      <c r="CK37" s="112" t="s">
        <v>28</v>
      </c>
      <c r="CL37" s="114">
        <f>Serviceorderfile_Current!$J352*Serviceorderfile_Current!$U352</f>
        <v>420.65000000000003</v>
      </c>
      <c r="CM37" s="98">
        <f>Serviceorderfile_PREVIOUS!$J352*Serviceorderfile_PREVIOUS!$U352</f>
        <v>126.9</v>
      </c>
      <c r="CN37" s="64">
        <f t="shared" si="206"/>
        <v>2.3148148148148149</v>
      </c>
      <c r="CO37" s="114">
        <f>Serviceorderfile_Current!$J354*Serviceorderfile_Current!$U354</f>
        <v>427.7</v>
      </c>
      <c r="CP37" s="98">
        <f>Serviceorderfile_PREVIOUS!$J354*Serviceorderfile_PREVIOUS!$U354</f>
        <v>186.82500000000002</v>
      </c>
      <c r="CQ37" s="64">
        <f t="shared" si="207"/>
        <v>1.2893081761006289</v>
      </c>
      <c r="CR37" s="114">
        <f>Serviceorderfile_Current!$J353*Serviceorderfile_Current!$U353</f>
        <v>904.75</v>
      </c>
      <c r="CS37" s="98">
        <f>Serviceorderfile_PREVIOUS!$J353*Serviceorderfile_PREVIOUS!$U353</f>
        <v>730.85</v>
      </c>
      <c r="CT37" s="64">
        <f t="shared" si="208"/>
        <v>0.23794212218649524</v>
      </c>
      <c r="CU37" s="114">
        <f>Serviceorderfile_Current!$J355*Serviceorderfile_Current!$U355</f>
        <v>753.17500000000007</v>
      </c>
      <c r="CV37" s="98">
        <f>Serviceorderfile_PREVIOUS!$J355*Serviceorderfile_PREVIOUS!$U355</f>
        <v>493.5</v>
      </c>
      <c r="CW37" s="64">
        <f t="shared" si="209"/>
        <v>0.52619047619047632</v>
      </c>
      <c r="CX37" s="114">
        <f>Serviceorderfile_Current!$J356*Serviceorderfile_Current!$U356</f>
        <v>65.8</v>
      </c>
      <c r="CY37" s="98">
        <f>Serviceorderfile_PREVIOUS!$J356*Serviceorderfile_PREVIOUS!$U356</f>
        <v>30.55</v>
      </c>
      <c r="CZ37" s="64">
        <f t="shared" si="210"/>
        <v>1.1538461538461537</v>
      </c>
      <c r="DA37" s="184"/>
      <c r="DB37" s="65"/>
      <c r="DC37" s="64">
        <f t="shared" si="211"/>
        <v>1</v>
      </c>
      <c r="DD37" s="118">
        <f t="shared" si="167"/>
        <v>2572.0750000000003</v>
      </c>
      <c r="DE37" s="77">
        <f t="shared" si="168"/>
        <v>1568.625</v>
      </c>
      <c r="DF37" s="57">
        <f t="shared" si="212"/>
        <v>0.63970037453183548</v>
      </c>
      <c r="DG37" s="86"/>
      <c r="DH37" s="112" t="s">
        <v>28</v>
      </c>
      <c r="DI37" s="114">
        <f>Serviceorderfile_Current!$K352*Serviceorderfile_Current!$U352</f>
        <v>136.30000000000001</v>
      </c>
      <c r="DJ37" s="98">
        <f>Serviceorderfile_PREVIOUS!$K352*Serviceorderfile_PREVIOUS!$U352</f>
        <v>2.35</v>
      </c>
      <c r="DK37" s="64">
        <f t="shared" si="213"/>
        <v>57</v>
      </c>
      <c r="DL37" s="114">
        <f>Serviceorderfile_Current!$K354*Serviceorderfile_Current!$U354</f>
        <v>454.72500000000002</v>
      </c>
      <c r="DM37" s="98">
        <f>Serviceorderfile_PREVIOUS!$K354*Serviceorderfile_PREVIOUS!$U354</f>
        <v>8.2249999999999996</v>
      </c>
      <c r="DN37" s="64">
        <f t="shared" si="214"/>
        <v>54.285714285714292</v>
      </c>
      <c r="DO37" s="114">
        <f>Serviceorderfile_Current!$K353*Serviceorderfile_Current!$U353</f>
        <v>814.27499999999998</v>
      </c>
      <c r="DP37" s="98">
        <f>Serviceorderfile_PREVIOUS!$K353*Serviceorderfile_PREVIOUS!$U353</f>
        <v>451.20000000000005</v>
      </c>
      <c r="DQ37" s="64">
        <f t="shared" si="215"/>
        <v>0.80468749999999978</v>
      </c>
      <c r="DR37" s="114">
        <f>Serviceorderfile_Current!$K355*Serviceorderfile_Current!$U355</f>
        <v>823.67500000000007</v>
      </c>
      <c r="DS37" s="98">
        <f>Serviceorderfile_PREVIOUS!$K355*Serviceorderfile_PREVIOUS!$U355</f>
        <v>159.80000000000001</v>
      </c>
      <c r="DT37" s="64">
        <f t="shared" si="216"/>
        <v>4.1544117647058822</v>
      </c>
      <c r="DU37" s="114">
        <f>Serviceorderfile_Current!$K356*Serviceorderfile_Current!$U356</f>
        <v>52.875</v>
      </c>
      <c r="DV37" s="98">
        <f>Serviceorderfile_PREVIOUS!$K356*Serviceorderfile_PREVIOUS!$U356</f>
        <v>12.925000000000001</v>
      </c>
      <c r="DW37" s="64">
        <f t="shared" si="217"/>
        <v>3.0909090909090908</v>
      </c>
      <c r="DX37" s="184"/>
      <c r="DY37" s="65"/>
      <c r="DZ37" s="64">
        <f t="shared" si="218"/>
        <v>1</v>
      </c>
      <c r="EA37" s="118">
        <f t="shared" si="169"/>
        <v>2281.8500000000004</v>
      </c>
      <c r="EB37" s="77">
        <f t="shared" si="170"/>
        <v>634.5</v>
      </c>
      <c r="EC37" s="57">
        <f t="shared" si="219"/>
        <v>2.596296296296297</v>
      </c>
      <c r="ED37" s="94"/>
      <c r="EE37" s="125" t="s">
        <v>28</v>
      </c>
      <c r="EF37" s="76">
        <f>Serviceorderfile_Current!$V349</f>
        <v>0.99874914714578122</v>
      </c>
      <c r="EG37" s="57">
        <f>Aged!E22</f>
        <v>0.65</v>
      </c>
      <c r="EH37" s="99">
        <f>Serviceorderfile_Current!$U344*Serviceorderfile_Current!$H344</f>
        <v>5139.45</v>
      </c>
      <c r="EI37" s="93">
        <f>Serviceorderfile_PREVIOUS!$U344*Serviceorderfile_PREVIOUS!$H344</f>
        <v>5262.8249999999998</v>
      </c>
      <c r="EJ37" s="57">
        <f t="shared" si="47"/>
        <v>-2.3442732752846585E-2</v>
      </c>
      <c r="EK37" s="99">
        <f>Serviceorderfile_Current!$U346*Serviceorderfile_Current!$H346</f>
        <v>6534.1750000000002</v>
      </c>
      <c r="EL37" s="93">
        <f>Serviceorderfile_PREVIOUS!$U346*Serviceorderfile_PREVIOUS!$H346</f>
        <v>7954.75</v>
      </c>
      <c r="EM37" s="57">
        <f t="shared" si="220"/>
        <v>-0.17858197932053177</v>
      </c>
      <c r="EN37" s="99">
        <f>Serviceorderfile_Current!$U345*Serviceorderfile_Current!$H345</f>
        <v>4882.125</v>
      </c>
      <c r="EO37" s="93">
        <f>Serviceorderfile_PREVIOUS!$U345*Serviceorderfile_PREVIOUS!$H345</f>
        <v>6450.75</v>
      </c>
      <c r="EP37" s="57">
        <f t="shared" si="221"/>
        <v>-0.24316939890710387</v>
      </c>
      <c r="EQ37" s="99">
        <f>Serviceorderfile_Current!$U347*Serviceorderfile_Current!$H347</f>
        <v>4110.1500000000005</v>
      </c>
      <c r="ER37" s="93">
        <f>Serviceorderfile_PREVIOUS!$U347*Serviceorderfile_PREVIOUS!$H347</f>
        <v>4173.6000000000004</v>
      </c>
      <c r="ES37" s="57">
        <f t="shared" si="222"/>
        <v>-1.5202702702702631E-2</v>
      </c>
      <c r="ET37" s="99">
        <f>Serviceorderfile_Current!$U348*Serviceorderfile_Current!$H348</f>
        <v>0</v>
      </c>
      <c r="EU37" s="93">
        <f>Serviceorderfile_PREVIOUS!$U348*Serviceorderfile_PREVIOUS!$H348</f>
        <v>0</v>
      </c>
      <c r="EV37" s="57">
        <f t="shared" si="223"/>
        <v>1</v>
      </c>
      <c r="EW37" s="84"/>
      <c r="EX37" s="106"/>
      <c r="EY37" s="106"/>
      <c r="EZ37" s="106"/>
      <c r="FA37" s="106"/>
      <c r="FB37" s="57">
        <f t="shared" si="224"/>
        <v>1</v>
      </c>
      <c r="FC37" s="84"/>
      <c r="FD37" s="122">
        <f t="shared" si="66"/>
        <v>20665.900000000001</v>
      </c>
      <c r="FE37" s="69">
        <f t="shared" si="67"/>
        <v>23841.924999999999</v>
      </c>
      <c r="FF37" s="143">
        <f t="shared" si="53"/>
        <v>-0.13321176876447682</v>
      </c>
      <c r="FG37" s="94"/>
      <c r="FH37" s="84"/>
      <c r="FI37" s="84"/>
      <c r="FJ37" s="84"/>
      <c r="FK37" s="84"/>
      <c r="FL37" s="84"/>
      <c r="FM37" s="84"/>
      <c r="FN37" s="84"/>
      <c r="FO37" s="84"/>
      <c r="FP37" s="84"/>
      <c r="FQ37" s="84"/>
      <c r="FR37" s="84"/>
      <c r="FS37" s="84"/>
      <c r="FT37" s="84"/>
      <c r="FU37" s="84"/>
      <c r="FV37" s="84"/>
      <c r="FW37" s="84"/>
      <c r="FX37" s="84"/>
    </row>
    <row r="38" spans="1:180" s="63" customFormat="1" ht="12" hidden="1" customHeight="1" outlineLevel="1" x14ac:dyDescent="0.25">
      <c r="A38" s="112" t="s">
        <v>29</v>
      </c>
      <c r="B38" s="114">
        <f>Serviceorderfile_Current!$W369</f>
        <v>1502.825</v>
      </c>
      <c r="C38" s="98">
        <f>Serviceorderfile_PREVIOUS!$W369</f>
        <v>1165.6000000000001</v>
      </c>
      <c r="D38" s="64">
        <f t="shared" si="152"/>
        <v>0.28931451612903225</v>
      </c>
      <c r="E38" s="98">
        <f>'YOY Orders'!$J12</f>
        <v>2865.8250000000003</v>
      </c>
      <c r="F38" s="98">
        <f>'YOY Orders'!$B12</f>
        <v>2407.5750000000003</v>
      </c>
      <c r="G38" s="64">
        <f t="shared" si="171"/>
        <v>0.19033674963396785</v>
      </c>
      <c r="H38" s="114">
        <f>Serviceorderfile_Current!$W371</f>
        <v>1596.825</v>
      </c>
      <c r="I38" s="98">
        <f>Serviceorderfile_PREVIOUS!$W371</f>
        <v>1059.8500000000001</v>
      </c>
      <c r="J38" s="64">
        <f t="shared" si="2"/>
        <v>0.50665188470066513</v>
      </c>
      <c r="K38" s="98">
        <f>'YOY Orders'!$K12</f>
        <v>1807.15</v>
      </c>
      <c r="L38" s="98">
        <f>'YOY Orders'!$C12</f>
        <v>1471.1000000000001</v>
      </c>
      <c r="M38" s="64">
        <f t="shared" si="172"/>
        <v>0.22843450479233218</v>
      </c>
      <c r="N38" s="114">
        <f>Serviceorderfile_Current!$W370</f>
        <v>1043.4000000000001</v>
      </c>
      <c r="O38" s="98">
        <f>Serviceorderfile_PREVIOUS!$W370</f>
        <v>782.55000000000007</v>
      </c>
      <c r="P38" s="64">
        <f t="shared" si="4"/>
        <v>0.33333333333333326</v>
      </c>
      <c r="Q38" s="98">
        <f>'YOY Orders'!$O12</f>
        <v>1573.325</v>
      </c>
      <c r="R38" s="98">
        <f>'YOY Orders'!$G12</f>
        <v>958.80000000000007</v>
      </c>
      <c r="S38" s="64">
        <f t="shared" si="173"/>
        <v>0.64093137254901955</v>
      </c>
      <c r="T38" s="114">
        <f>Serviceorderfile_Current!$W372</f>
        <v>2365.2750000000001</v>
      </c>
      <c r="U38" s="98">
        <f>Serviceorderfile_PREVIOUS!$W372</f>
        <v>1965.7750000000001</v>
      </c>
      <c r="V38" s="64">
        <f t="shared" si="6"/>
        <v>0.20322773460848764</v>
      </c>
      <c r="W38" s="98">
        <f>'YOY Orders'!$L12</f>
        <v>3327.6</v>
      </c>
      <c r="X38" s="98">
        <f>'YOY Orders'!$D12</f>
        <v>2681.35</v>
      </c>
      <c r="Y38" s="64">
        <f t="shared" si="174"/>
        <v>0.24101665205959688</v>
      </c>
      <c r="Z38" s="114">
        <f>Serviceorderfile_Current!$W373</f>
        <v>239.70000000000002</v>
      </c>
      <c r="AA38" s="98">
        <f>Serviceorderfile_PREVIOUS!$W373</f>
        <v>121.02500000000001</v>
      </c>
      <c r="AB38" s="64">
        <f t="shared" si="8"/>
        <v>0.98058252427184467</v>
      </c>
      <c r="AC38" s="98">
        <f>'YOY Orders'!$N12</f>
        <v>387.75</v>
      </c>
      <c r="AD38" s="98">
        <f>'YOY Orders'!$F12</f>
        <v>262.02500000000003</v>
      </c>
      <c r="AE38" s="64">
        <f t="shared" si="175"/>
        <v>0.47982062780269041</v>
      </c>
      <c r="AF38" s="184"/>
      <c r="AG38" s="65"/>
      <c r="AH38" s="64">
        <f t="shared" si="10"/>
        <v>1</v>
      </c>
      <c r="AI38" s="65"/>
      <c r="AJ38" s="65"/>
      <c r="AK38" s="64">
        <f t="shared" si="176"/>
        <v>1</v>
      </c>
      <c r="AL38" s="170">
        <f t="shared" si="54"/>
        <v>6748.0250000000005</v>
      </c>
      <c r="AM38" s="66">
        <f t="shared" si="55"/>
        <v>5094.8</v>
      </c>
      <c r="AN38" s="64">
        <f t="shared" si="12"/>
        <v>0.32449261992619927</v>
      </c>
      <c r="AO38" s="170">
        <f t="shared" si="165"/>
        <v>9961.65</v>
      </c>
      <c r="AP38" s="66">
        <f t="shared" si="166"/>
        <v>7780.85</v>
      </c>
      <c r="AQ38" s="64">
        <f t="shared" si="177"/>
        <v>0.28027786167321045</v>
      </c>
      <c r="AR38" s="72"/>
      <c r="AS38" s="112" t="s">
        <v>29</v>
      </c>
      <c r="AT38" s="114">
        <f>Serviceorderfile_Current!$I369*Serviceorderfile_Current!$U369</f>
        <v>452.375</v>
      </c>
      <c r="AU38" s="98">
        <f>Serviceorderfile_PREVIOUS!$I369*Serviceorderfile_PREVIOUS!$U369</f>
        <v>494.67500000000001</v>
      </c>
      <c r="AV38" s="64">
        <f t="shared" si="178"/>
        <v>-8.5510688836104576E-2</v>
      </c>
      <c r="AW38" s="67">
        <f t="shared" si="179"/>
        <v>0.30101641907740423</v>
      </c>
      <c r="AX38" s="68">
        <f t="shared" si="16"/>
        <v>0.42439516129032256</v>
      </c>
      <c r="AY38" s="119">
        <f t="shared" si="180"/>
        <v>-12.337874221291834</v>
      </c>
      <c r="AZ38" s="114">
        <f>Serviceorderfile_Current!$I371*Serviceorderfile_Current!$U371</f>
        <v>284.35000000000002</v>
      </c>
      <c r="BA38" s="98">
        <f>Serviceorderfile_PREVIOUS!$I371*Serviceorderfile_PREVIOUS!$U371</f>
        <v>210.32500000000002</v>
      </c>
      <c r="BB38" s="64">
        <f t="shared" si="181"/>
        <v>0.35195530726256985</v>
      </c>
      <c r="BC38" s="67">
        <f t="shared" si="182"/>
        <v>0.1780721118469463</v>
      </c>
      <c r="BD38" s="68">
        <f t="shared" si="183"/>
        <v>0.19844789356984477</v>
      </c>
      <c r="BE38" s="119">
        <f t="shared" si="184"/>
        <v>-2.0375781722898472</v>
      </c>
      <c r="BF38" s="114">
        <f>Serviceorderfile_Current!$I370*Serviceorderfile_Current!$U370</f>
        <v>232.65</v>
      </c>
      <c r="BG38" s="98">
        <f>Serviceorderfile_PREVIOUS!$I370*Serviceorderfile_PREVIOUS!$U370</f>
        <v>212.67500000000001</v>
      </c>
      <c r="BH38" s="64">
        <f t="shared" si="185"/>
        <v>9.3922651933701529E-2</v>
      </c>
      <c r="BI38" s="67">
        <f t="shared" si="186"/>
        <v>0.22297297297297297</v>
      </c>
      <c r="BJ38" s="68">
        <f t="shared" si="187"/>
        <v>0.27177177177177175</v>
      </c>
      <c r="BK38" s="119">
        <f t="shared" si="188"/>
        <v>-4.8798798798798781</v>
      </c>
      <c r="BL38" s="114">
        <f>Serviceorderfile_Current!$I372*Serviceorderfile_Current!$U372</f>
        <v>364.25</v>
      </c>
      <c r="BM38" s="98">
        <f>Serviceorderfile_PREVIOUS!$I372*Serviceorderfile_PREVIOUS!$U372</f>
        <v>63.45</v>
      </c>
      <c r="BN38" s="64">
        <f t="shared" si="189"/>
        <v>4.7407407407407405</v>
      </c>
      <c r="BO38" s="67">
        <f t="shared" si="190"/>
        <v>0.15399900645802284</v>
      </c>
      <c r="BP38" s="68">
        <f t="shared" si="191"/>
        <v>3.2277346084877465E-2</v>
      </c>
      <c r="BQ38" s="119">
        <f t="shared" si="192"/>
        <v>12.172166037314538</v>
      </c>
      <c r="BR38" s="114">
        <f>Serviceorderfile_Current!$I373*Serviceorderfile_Current!$U373</f>
        <v>81.075000000000003</v>
      </c>
      <c r="BS38" s="98">
        <f>Serviceorderfile_PREVIOUS!$I373*Serviceorderfile_PREVIOUS!$U373</f>
        <v>35.25</v>
      </c>
      <c r="BT38" s="64">
        <f t="shared" si="193"/>
        <v>1.3000000000000003</v>
      </c>
      <c r="BU38" s="67">
        <f t="shared" si="194"/>
        <v>0.33823529411764702</v>
      </c>
      <c r="BV38" s="68">
        <f t="shared" si="195"/>
        <v>0.29126213592233008</v>
      </c>
      <c r="BW38" s="119">
        <f t="shared" si="196"/>
        <v>4.6973158195316946</v>
      </c>
      <c r="BX38" s="184"/>
      <c r="BY38" s="65"/>
      <c r="BZ38" s="64">
        <f t="shared" si="197"/>
        <v>1</v>
      </c>
      <c r="CA38" s="65"/>
      <c r="CB38" s="65"/>
      <c r="CC38" s="64">
        <f t="shared" si="257"/>
        <v>1</v>
      </c>
      <c r="CD38" s="122">
        <f t="shared" si="201"/>
        <v>1414.7000000000003</v>
      </c>
      <c r="CE38" s="69">
        <f t="shared" si="202"/>
        <v>1016.375</v>
      </c>
      <c r="CF38" s="57">
        <f t="shared" si="203"/>
        <v>0.39190751445086724</v>
      </c>
      <c r="CG38" s="67">
        <f t="shared" si="204"/>
        <v>0.20964652620581581</v>
      </c>
      <c r="CH38" s="68">
        <f t="shared" si="154"/>
        <v>0.19949261992619927</v>
      </c>
      <c r="CI38" s="119">
        <f t="shared" si="205"/>
        <v>1.0153906279616542</v>
      </c>
      <c r="CJ38" s="85"/>
      <c r="CK38" s="112" t="s">
        <v>29</v>
      </c>
      <c r="CL38" s="114">
        <f>Serviceorderfile_Current!$J369*Serviceorderfile_Current!$U369</f>
        <v>393.625</v>
      </c>
      <c r="CM38" s="98">
        <f>Serviceorderfile_PREVIOUS!$J369*Serviceorderfile_PREVIOUS!$U369</f>
        <v>122.2</v>
      </c>
      <c r="CN38" s="64">
        <f t="shared" si="206"/>
        <v>2.2211538461538463</v>
      </c>
      <c r="CO38" s="114">
        <f>Serviceorderfile_Current!$J371*Serviceorderfile_Current!$U371</f>
        <v>370.125</v>
      </c>
      <c r="CP38" s="98">
        <f>Serviceorderfile_PREVIOUS!$J371*Serviceorderfile_PREVIOUS!$U371</f>
        <v>63.45</v>
      </c>
      <c r="CQ38" s="64">
        <f t="shared" si="207"/>
        <v>4.833333333333333</v>
      </c>
      <c r="CR38" s="114">
        <f>Serviceorderfile_Current!$J370*Serviceorderfile_Current!$U370</f>
        <v>200.92500000000001</v>
      </c>
      <c r="CS38" s="98">
        <f>Serviceorderfile_PREVIOUS!$J370*Serviceorderfile_PREVIOUS!$U370</f>
        <v>239.70000000000002</v>
      </c>
      <c r="CT38" s="64">
        <f t="shared" si="208"/>
        <v>-0.16176470588235292</v>
      </c>
      <c r="CU38" s="114">
        <f>Serviceorderfile_Current!$J372*Serviceorderfile_Current!$U372</f>
        <v>118.67500000000001</v>
      </c>
      <c r="CV38" s="98">
        <f>Serviceorderfile_PREVIOUS!$J372*Serviceorderfile_PREVIOUS!$U372</f>
        <v>200.92500000000001</v>
      </c>
      <c r="CW38" s="64">
        <f t="shared" si="209"/>
        <v>-0.40935672514619881</v>
      </c>
      <c r="CX38" s="114">
        <f>Serviceorderfile_Current!$J373*Serviceorderfile_Current!$U373</f>
        <v>85.775000000000006</v>
      </c>
      <c r="CY38" s="98">
        <f>Serviceorderfile_PREVIOUS!$J373*Serviceorderfile_PREVIOUS!$U373</f>
        <v>21.150000000000002</v>
      </c>
      <c r="CZ38" s="64">
        <f t="shared" si="210"/>
        <v>3.0555555555555554</v>
      </c>
      <c r="DA38" s="184"/>
      <c r="DB38" s="65"/>
      <c r="DC38" s="64">
        <f t="shared" si="211"/>
        <v>1</v>
      </c>
      <c r="DD38" s="118">
        <f t="shared" si="167"/>
        <v>1169.125</v>
      </c>
      <c r="DE38" s="77">
        <f t="shared" si="168"/>
        <v>647.42500000000007</v>
      </c>
      <c r="DF38" s="57">
        <f t="shared" si="212"/>
        <v>0.80580762250453697</v>
      </c>
      <c r="DG38" s="86"/>
      <c r="DH38" s="112" t="s">
        <v>29</v>
      </c>
      <c r="DI38" s="114">
        <f>Serviceorderfile_Current!$K369*Serviceorderfile_Current!$U369</f>
        <v>499.375</v>
      </c>
      <c r="DJ38" s="98">
        <f>Serviceorderfile_PREVIOUS!$K369*Serviceorderfile_PREVIOUS!$U369</f>
        <v>3.5250000000000004</v>
      </c>
      <c r="DK38" s="64">
        <f t="shared" si="213"/>
        <v>140.66666666666666</v>
      </c>
      <c r="DL38" s="114">
        <f>Serviceorderfile_Current!$K371*Serviceorderfile_Current!$U371</f>
        <v>374.82499999999999</v>
      </c>
      <c r="DM38" s="98">
        <f>Serviceorderfile_PREVIOUS!$K371*Serviceorderfile_PREVIOUS!$U371</f>
        <v>334.875</v>
      </c>
      <c r="DN38" s="64">
        <f t="shared" si="214"/>
        <v>0.11929824561403501</v>
      </c>
      <c r="DO38" s="114">
        <f>Serviceorderfile_Current!$K370*Serviceorderfile_Current!$U370</f>
        <v>223.25</v>
      </c>
      <c r="DP38" s="98">
        <f>Serviceorderfile_PREVIOUS!$K370*Serviceorderfile_PREVIOUS!$U370</f>
        <v>109.27500000000001</v>
      </c>
      <c r="DQ38" s="64">
        <f t="shared" si="215"/>
        <v>1.043010752688172</v>
      </c>
      <c r="DR38" s="114">
        <f>Serviceorderfile_Current!$K372*Serviceorderfile_Current!$U372</f>
        <v>162.15</v>
      </c>
      <c r="DS38" s="98">
        <f>Serviceorderfile_PREVIOUS!$K372*Serviceorderfile_PREVIOUS!$U372</f>
        <v>861.27499999999998</v>
      </c>
      <c r="DT38" s="64">
        <f t="shared" si="216"/>
        <v>-0.81173260572987727</v>
      </c>
      <c r="DU38" s="114">
        <f>Serviceorderfile_Current!$K373*Serviceorderfile_Current!$U373</f>
        <v>15.275</v>
      </c>
      <c r="DV38" s="98">
        <f>Serviceorderfile_PREVIOUS!$K373*Serviceorderfile_PREVIOUS!$U373</f>
        <v>2.35</v>
      </c>
      <c r="DW38" s="64">
        <f t="shared" si="217"/>
        <v>5.5</v>
      </c>
      <c r="DX38" s="184"/>
      <c r="DY38" s="65"/>
      <c r="DZ38" s="64">
        <f t="shared" si="218"/>
        <v>1</v>
      </c>
      <c r="EA38" s="118">
        <f t="shared" si="169"/>
        <v>1274.8750000000002</v>
      </c>
      <c r="EB38" s="77">
        <f t="shared" si="170"/>
        <v>1311.2999999999997</v>
      </c>
      <c r="EC38" s="57">
        <f t="shared" si="219"/>
        <v>-2.7777777777777457E-2</v>
      </c>
      <c r="ED38" s="94"/>
      <c r="EE38" s="125" t="s">
        <v>29</v>
      </c>
      <c r="EF38" s="76">
        <f>Serviceorderfile_Current!$V366</f>
        <v>0.92537442645658385</v>
      </c>
      <c r="EG38" s="57">
        <f>Aged!E23</f>
        <v>0.66</v>
      </c>
      <c r="EH38" s="99">
        <f>Serviceorderfile_Current!$U361*Serviceorderfile_Current!$H361</f>
        <v>4111.3249999999998</v>
      </c>
      <c r="EI38" s="93">
        <f>Serviceorderfile_PREVIOUS!$U361*Serviceorderfile_PREVIOUS!$H361</f>
        <v>5635.3</v>
      </c>
      <c r="EJ38" s="57">
        <f t="shared" si="47"/>
        <v>-0.2704336947456214</v>
      </c>
      <c r="EK38" s="99">
        <f>Serviceorderfile_Current!$U363*Serviceorderfile_Current!$H363</f>
        <v>6249.8249999999998</v>
      </c>
      <c r="EL38" s="93">
        <f>Serviceorderfile_PREVIOUS!$U363*Serviceorderfile_PREVIOUS!$H363</f>
        <v>7913.625</v>
      </c>
      <c r="EM38" s="57">
        <f t="shared" si="220"/>
        <v>-0.21024498886414256</v>
      </c>
      <c r="EN38" s="99">
        <f>Serviceorderfile_Current!$U362*Serviceorderfile_Current!$H362</f>
        <v>1152.675</v>
      </c>
      <c r="EO38" s="93">
        <f>Serviceorderfile_PREVIOUS!$U362*Serviceorderfile_PREVIOUS!$H362</f>
        <v>681.5</v>
      </c>
      <c r="EP38" s="57">
        <f t="shared" si="221"/>
        <v>0.69137931034482758</v>
      </c>
      <c r="EQ38" s="99">
        <f>Serviceorderfile_Current!$U364*Serviceorderfile_Current!$H364</f>
        <v>2058.6</v>
      </c>
      <c r="ER38" s="93">
        <f>Serviceorderfile_PREVIOUS!$U364*Serviceorderfile_PREVIOUS!$H364</f>
        <v>2917.5250000000001</v>
      </c>
      <c r="ES38" s="57">
        <f t="shared" si="222"/>
        <v>-0.29440193314538865</v>
      </c>
      <c r="ET38" s="99">
        <f>Serviceorderfile_Current!$U365*Serviceorderfile_Current!$H365</f>
        <v>0</v>
      </c>
      <c r="EU38" s="93">
        <f>Serviceorderfile_PREVIOUS!$U365*Serviceorderfile_PREVIOUS!$H365</f>
        <v>0</v>
      </c>
      <c r="EV38" s="57">
        <f t="shared" si="223"/>
        <v>1</v>
      </c>
      <c r="EW38" s="84"/>
      <c r="EX38" s="106"/>
      <c r="EY38" s="106"/>
      <c r="EZ38" s="106"/>
      <c r="FA38" s="106"/>
      <c r="FB38" s="57">
        <f t="shared" si="224"/>
        <v>1</v>
      </c>
      <c r="FC38" s="84"/>
      <c r="FD38" s="122">
        <f t="shared" si="66"/>
        <v>13572.424999999999</v>
      </c>
      <c r="FE38" s="69">
        <f t="shared" si="67"/>
        <v>17147.95</v>
      </c>
      <c r="FF38" s="143">
        <f t="shared" si="53"/>
        <v>-0.20851034671782931</v>
      </c>
      <c r="FG38" s="94"/>
      <c r="FH38" s="84"/>
      <c r="FI38" s="84"/>
      <c r="FJ38" s="84"/>
      <c r="FK38" s="84"/>
      <c r="FL38" s="84"/>
      <c r="FM38" s="84"/>
      <c r="FN38" s="84"/>
      <c r="FO38" s="84"/>
      <c r="FP38" s="84"/>
      <c r="FQ38" s="84"/>
      <c r="FR38" s="84"/>
      <c r="FS38" s="84"/>
      <c r="FT38" s="84"/>
      <c r="FU38" s="84"/>
      <c r="FV38" s="84"/>
      <c r="FW38" s="84"/>
      <c r="FX38" s="84"/>
    </row>
    <row r="39" spans="1:180" s="63" customFormat="1" ht="12" customHeight="1" collapsed="1" x14ac:dyDescent="0.25">
      <c r="A39" s="110" t="s">
        <v>11</v>
      </c>
      <c r="B39" s="99">
        <f>Serviceorderfile_Current!$W131</f>
        <v>195.05</v>
      </c>
      <c r="C39" s="93">
        <f>Serviceorderfile_PREVIOUS!$W131</f>
        <v>171.55</v>
      </c>
      <c r="D39" s="57">
        <f t="shared" si="152"/>
        <v>0.1369863013698629</v>
      </c>
      <c r="E39" s="93">
        <f>'YOY Orders'!$J15</f>
        <v>824.85</v>
      </c>
      <c r="F39" s="93">
        <f>'YOY Orders'!$B15</f>
        <v>950.57500000000005</v>
      </c>
      <c r="G39" s="57">
        <f t="shared" si="171"/>
        <v>-0.13226205191594564</v>
      </c>
      <c r="H39" s="99">
        <f>Serviceorderfile_Current!$W133</f>
        <v>61.1</v>
      </c>
      <c r="I39" s="93">
        <f>Serviceorderfile_PREVIOUS!$W133</f>
        <v>22.324999999999999</v>
      </c>
      <c r="J39" s="57">
        <f t="shared" si="2"/>
        <v>1.736842105263158</v>
      </c>
      <c r="K39" s="93">
        <f>'YOY Orders'!$K15</f>
        <v>383.05</v>
      </c>
      <c r="L39" s="93">
        <f>'YOY Orders'!$C15</f>
        <v>327.82499999999999</v>
      </c>
      <c r="M39" s="57">
        <f t="shared" si="172"/>
        <v>0.16845878136200731</v>
      </c>
      <c r="N39" s="99">
        <f>Serviceorderfile_Current!$W132</f>
        <v>536.97500000000002</v>
      </c>
      <c r="O39" s="93">
        <f>Serviceorderfile_PREVIOUS!$W132</f>
        <v>376</v>
      </c>
      <c r="P39" s="57">
        <f t="shared" si="4"/>
        <v>0.42812500000000009</v>
      </c>
      <c r="Q39" s="93">
        <f>'YOY Orders'!$O15</f>
        <v>1536.9</v>
      </c>
      <c r="R39" s="93">
        <f>'YOY Orders'!$G15</f>
        <v>659.17500000000007</v>
      </c>
      <c r="S39" s="57">
        <f t="shared" si="173"/>
        <v>1.3315508021390374</v>
      </c>
      <c r="T39" s="99">
        <f>Serviceorderfile_Current!$W134</f>
        <v>720.27499999999998</v>
      </c>
      <c r="U39" s="93">
        <f>Serviceorderfile_PREVIOUS!$W134</f>
        <v>482.92500000000001</v>
      </c>
      <c r="V39" s="57">
        <f t="shared" si="6"/>
        <v>0.49148418491484169</v>
      </c>
      <c r="W39" s="93">
        <f>'YOY Orders'!$L15</f>
        <v>652.125</v>
      </c>
      <c r="X39" s="93">
        <f>'YOY Orders'!$D15</f>
        <v>368.95</v>
      </c>
      <c r="Y39" s="57">
        <f t="shared" si="174"/>
        <v>0.76751592356687914</v>
      </c>
      <c r="Z39" s="99">
        <f>Serviceorderfile_Current!$W135</f>
        <v>50.524999999999999</v>
      </c>
      <c r="AA39" s="93">
        <f>Serviceorderfile_PREVIOUS!$W135</f>
        <v>48.175000000000004</v>
      </c>
      <c r="AB39" s="57">
        <f t="shared" si="8"/>
        <v>4.878048780487787E-2</v>
      </c>
      <c r="AC39" s="93">
        <f>'YOY Orders'!$N15</f>
        <v>152.75</v>
      </c>
      <c r="AD39" s="93">
        <f>'YOY Orders'!$F15</f>
        <v>160.97499999999999</v>
      </c>
      <c r="AE39" s="57">
        <f t="shared" si="175"/>
        <v>-5.1094890510948843E-2</v>
      </c>
      <c r="AF39" s="99">
        <f>Serviceorderfile_Current!$W129</f>
        <v>116.325</v>
      </c>
      <c r="AG39" s="93">
        <f>Serviceorderfile_PREVIOUS!$W129</f>
        <v>0</v>
      </c>
      <c r="AH39" s="57">
        <f t="shared" si="10"/>
        <v>1</v>
      </c>
      <c r="AI39" s="93">
        <f>'YOY Orders'!$M15</f>
        <v>344.27500000000003</v>
      </c>
      <c r="AJ39" s="93">
        <f>'YOY Orders'!$E15</f>
        <v>263.2</v>
      </c>
      <c r="AK39" s="57">
        <f t="shared" si="176"/>
        <v>0.30803571428571441</v>
      </c>
      <c r="AL39" s="116">
        <f t="shared" si="54"/>
        <v>1680.25</v>
      </c>
      <c r="AM39" s="56">
        <f t="shared" si="55"/>
        <v>1100.9750000000001</v>
      </c>
      <c r="AN39" s="57">
        <f t="shared" si="12"/>
        <v>0.52614727854855903</v>
      </c>
      <c r="AO39" s="116">
        <f t="shared" si="165"/>
        <v>3893.9500000000003</v>
      </c>
      <c r="AP39" s="56">
        <f t="shared" si="166"/>
        <v>2730.7</v>
      </c>
      <c r="AQ39" s="57">
        <f t="shared" si="177"/>
        <v>0.42598967297762491</v>
      </c>
      <c r="AR39" s="72"/>
      <c r="AS39" s="110" t="s">
        <v>11</v>
      </c>
      <c r="AT39" s="99">
        <f>Serviceorderfile_Current!$I131*Serviceorderfile_Current!$U131</f>
        <v>70.5</v>
      </c>
      <c r="AU39" s="93">
        <f>Serviceorderfile_PREVIOUS!$I131*Serviceorderfile_PREVIOUS!$U131</f>
        <v>171.55</v>
      </c>
      <c r="AV39" s="57">
        <f t="shared" si="178"/>
        <v>-0.58904109589041098</v>
      </c>
      <c r="AW39" s="78">
        <f t="shared" si="179"/>
        <v>0.36144578313253012</v>
      </c>
      <c r="AX39" s="75">
        <f t="shared" si="16"/>
        <v>1</v>
      </c>
      <c r="AY39" s="119">
        <f t="shared" si="180"/>
        <v>-63.855421686746979</v>
      </c>
      <c r="AZ39" s="99">
        <f>Serviceorderfile_Current!$I133*Serviceorderfile_Current!$U133</f>
        <v>54.050000000000004</v>
      </c>
      <c r="BA39" s="93">
        <f>Serviceorderfile_PREVIOUS!$I133*Serviceorderfile_PREVIOUS!$U133</f>
        <v>22.324999999999999</v>
      </c>
      <c r="BB39" s="57">
        <f t="shared" si="181"/>
        <v>1.4210526315789478</v>
      </c>
      <c r="BC39" s="78">
        <f t="shared" si="182"/>
        <v>0.88461538461538469</v>
      </c>
      <c r="BD39" s="75">
        <f t="shared" si="183"/>
        <v>1</v>
      </c>
      <c r="BE39" s="119">
        <f t="shared" si="184"/>
        <v>-11.538461538461531</v>
      </c>
      <c r="BF39" s="99">
        <f>Serviceorderfile_Current!$I132*Serviceorderfile_Current!$U132</f>
        <v>124.55000000000001</v>
      </c>
      <c r="BG39" s="93">
        <f>Serviceorderfile_PREVIOUS!$I132*Serviceorderfile_PREVIOUS!$U132</f>
        <v>82.25</v>
      </c>
      <c r="BH39" s="57">
        <f t="shared" si="185"/>
        <v>0.51428571428571446</v>
      </c>
      <c r="BI39" s="78">
        <f t="shared" si="186"/>
        <v>0.23194748358862147</v>
      </c>
      <c r="BJ39" s="75">
        <f t="shared" si="187"/>
        <v>0.21875</v>
      </c>
      <c r="BK39" s="119">
        <f t="shared" si="188"/>
        <v>1.3197483588621468</v>
      </c>
      <c r="BL39" s="99">
        <f>Serviceorderfile_Current!$I134*Serviceorderfile_Current!$U134</f>
        <v>123.375</v>
      </c>
      <c r="BM39" s="93">
        <f>Serviceorderfile_PREVIOUS!$I134*Serviceorderfile_PREVIOUS!$U134</f>
        <v>70.5</v>
      </c>
      <c r="BN39" s="57">
        <f t="shared" si="189"/>
        <v>0.75</v>
      </c>
      <c r="BO39" s="78">
        <f t="shared" si="190"/>
        <v>0.17128874388254486</v>
      </c>
      <c r="BP39" s="75">
        <f t="shared" si="191"/>
        <v>0.145985401459854</v>
      </c>
      <c r="BQ39" s="119">
        <f t="shared" si="192"/>
        <v>2.530334242269086</v>
      </c>
      <c r="BR39" s="99">
        <f>Serviceorderfile_Current!$I135*Serviceorderfile_Current!$U135</f>
        <v>44.65</v>
      </c>
      <c r="BS39" s="93">
        <f>Serviceorderfile_PREVIOUS!$I135*Serviceorderfile_PREVIOUS!$U135</f>
        <v>39.950000000000003</v>
      </c>
      <c r="BT39" s="57">
        <f t="shared" si="193"/>
        <v>0.11764705882352922</v>
      </c>
      <c r="BU39" s="78">
        <f t="shared" si="194"/>
        <v>0.88372093023255816</v>
      </c>
      <c r="BV39" s="75">
        <f t="shared" si="195"/>
        <v>0.82926829268292679</v>
      </c>
      <c r="BW39" s="119">
        <f t="shared" si="196"/>
        <v>5.4452637549631362</v>
      </c>
      <c r="BX39" s="99">
        <f>Serviceorderfile_Current!$I129*Serviceorderfile_Current!$U131</f>
        <v>97.525000000000006</v>
      </c>
      <c r="BY39" s="93">
        <f>Serviceorderfile_PREVIOUS!$I129*Serviceorderfile_PREVIOUS!$U131</f>
        <v>0</v>
      </c>
      <c r="BZ39" s="57">
        <f t="shared" si="197"/>
        <v>1</v>
      </c>
      <c r="CA39" s="78">
        <f t="shared" si="198"/>
        <v>0.83838383838383845</v>
      </c>
      <c r="CB39" s="75" t="e">
        <f t="shared" si="199"/>
        <v>#DIV/0!</v>
      </c>
      <c r="CC39" s="119" t="e">
        <f t="shared" si="200"/>
        <v>#DIV/0!</v>
      </c>
      <c r="CD39" s="118">
        <f t="shared" si="201"/>
        <v>514.65</v>
      </c>
      <c r="CE39" s="77">
        <f t="shared" si="202"/>
        <v>386.57499999999999</v>
      </c>
      <c r="CF39" s="57">
        <f t="shared" si="203"/>
        <v>0.33130699088145898</v>
      </c>
      <c r="CG39" s="78">
        <f t="shared" si="204"/>
        <v>0.30629370629370628</v>
      </c>
      <c r="CH39" s="75">
        <f t="shared" si="154"/>
        <v>0.35112059765208103</v>
      </c>
      <c r="CI39" s="119">
        <f t="shared" si="205"/>
        <v>-4.4826891358374752</v>
      </c>
      <c r="CJ39" s="85"/>
      <c r="CK39" s="110" t="s">
        <v>11</v>
      </c>
      <c r="CL39" s="99">
        <f>Serviceorderfile_Current!$J131*Serviceorderfile_Current!$U131</f>
        <v>110.45</v>
      </c>
      <c r="CM39" s="93">
        <f>Serviceorderfile_PREVIOUS!$J131*Serviceorderfile_PREVIOUS!$U131</f>
        <v>0</v>
      </c>
      <c r="CN39" s="57">
        <f t="shared" si="206"/>
        <v>1</v>
      </c>
      <c r="CO39" s="99">
        <f>Serviceorderfile_Current!$J133*Serviceorderfile_Current!$U133</f>
        <v>7.0500000000000007</v>
      </c>
      <c r="CP39" s="93">
        <f>Serviceorderfile_PREVIOUS!$J133*Serviceorderfile_PREVIOUS!$U133</f>
        <v>0</v>
      </c>
      <c r="CQ39" s="57">
        <f t="shared" si="207"/>
        <v>1</v>
      </c>
      <c r="CR39" s="99">
        <f>Serviceorderfile_Current!$J132*Serviceorderfile_Current!$U132</f>
        <v>27.025000000000002</v>
      </c>
      <c r="CS39" s="93">
        <f>Serviceorderfile_PREVIOUS!$J132*Serviceorderfile_PREVIOUS!$U132</f>
        <v>19.975000000000001</v>
      </c>
      <c r="CT39" s="57">
        <f t="shared" si="208"/>
        <v>0.35294117647058831</v>
      </c>
      <c r="CU39" s="99">
        <f>Serviceorderfile_Current!$J134*Serviceorderfile_Current!$U134</f>
        <v>88.125</v>
      </c>
      <c r="CV39" s="93">
        <f>Serviceorderfile_PREVIOUS!$J134*Serviceorderfile_PREVIOUS!$U134</f>
        <v>84.600000000000009</v>
      </c>
      <c r="CW39" s="57">
        <f t="shared" si="209"/>
        <v>4.1666666666666519E-2</v>
      </c>
      <c r="CX39" s="99">
        <f>Serviceorderfile_Current!$J135*Serviceorderfile_Current!$U135</f>
        <v>3.5250000000000004</v>
      </c>
      <c r="CY39" s="93">
        <f>Serviceorderfile_PREVIOUS!$J135*Serviceorderfile_PREVIOUS!$U135</f>
        <v>0</v>
      </c>
      <c r="CZ39" s="57">
        <f t="shared" si="210"/>
        <v>1</v>
      </c>
      <c r="DA39" s="99">
        <f>Serviceorderfile_Current!$J129*Serviceorderfile_Current!$U131</f>
        <v>18.8</v>
      </c>
      <c r="DB39" s="93">
        <f>Serviceorderfile_PREVIOUS!$J129*Serviceorderfile_PREVIOUS!$U131</f>
        <v>0</v>
      </c>
      <c r="DC39" s="57">
        <f t="shared" si="211"/>
        <v>1</v>
      </c>
      <c r="DD39" s="118">
        <f t="shared" si="167"/>
        <v>254.97500000000002</v>
      </c>
      <c r="DE39" s="77">
        <f t="shared" si="168"/>
        <v>104.57500000000002</v>
      </c>
      <c r="DF39" s="57">
        <f t="shared" si="212"/>
        <v>1.4382022471910112</v>
      </c>
      <c r="DG39" s="86"/>
      <c r="DH39" s="110" t="s">
        <v>11</v>
      </c>
      <c r="DI39" s="99">
        <f>Serviceorderfile_Current!$K131*Serviceorderfile_Current!$U131</f>
        <v>10.575000000000001</v>
      </c>
      <c r="DJ39" s="93">
        <f>Serviceorderfile_PREVIOUS!$K131*Serviceorderfile_PREVIOUS!$U131</f>
        <v>0</v>
      </c>
      <c r="DK39" s="57">
        <f t="shared" si="213"/>
        <v>1</v>
      </c>
      <c r="DL39" s="99">
        <f>Serviceorderfile_Current!$K133*Serviceorderfile_Current!$U133</f>
        <v>0</v>
      </c>
      <c r="DM39" s="93">
        <f>Serviceorderfile_PREVIOUS!$K133*Serviceorderfile_PREVIOUS!$U133</f>
        <v>0</v>
      </c>
      <c r="DN39" s="57">
        <f t="shared" si="214"/>
        <v>1</v>
      </c>
      <c r="DO39" s="99">
        <f>Serviceorderfile_Current!$K132*Serviceorderfile_Current!$U132</f>
        <v>16.45</v>
      </c>
      <c r="DP39" s="93">
        <f>Serviceorderfile_PREVIOUS!$K132*Serviceorderfile_PREVIOUS!$U132</f>
        <v>38.774999999999999</v>
      </c>
      <c r="DQ39" s="57">
        <f t="shared" si="215"/>
        <v>-0.57575757575757569</v>
      </c>
      <c r="DR39" s="99">
        <f>Serviceorderfile_Current!$K134*Serviceorderfile_Current!$U134</f>
        <v>111.625</v>
      </c>
      <c r="DS39" s="93">
        <f>Serviceorderfile_PREVIOUS!$K134*Serviceorderfile_PREVIOUS!$U134</f>
        <v>16.45</v>
      </c>
      <c r="DT39" s="57">
        <f t="shared" si="216"/>
        <v>5.7857142857142856</v>
      </c>
      <c r="DU39" s="99">
        <f>Serviceorderfile_Current!$K135*Serviceorderfile_Current!$U135</f>
        <v>2.35</v>
      </c>
      <c r="DV39" s="93">
        <f>Serviceorderfile_PREVIOUS!$K135*Serviceorderfile_PREVIOUS!$U135</f>
        <v>0</v>
      </c>
      <c r="DW39" s="57">
        <f t="shared" si="217"/>
        <v>1</v>
      </c>
      <c r="DX39" s="99">
        <f>Serviceorderfile_Current!$K129*Serviceorderfile_Current!$U131</f>
        <v>0</v>
      </c>
      <c r="DY39" s="93">
        <f>Serviceorderfile_PREVIOUS!$K129*Serviceorderfile_PREVIOUS!$U131</f>
        <v>0</v>
      </c>
      <c r="DZ39" s="57">
        <f t="shared" si="218"/>
        <v>1</v>
      </c>
      <c r="EA39" s="118">
        <f t="shared" si="169"/>
        <v>141</v>
      </c>
      <c r="EB39" s="77">
        <f t="shared" si="170"/>
        <v>55.224999999999994</v>
      </c>
      <c r="EC39" s="57">
        <f t="shared" si="219"/>
        <v>1.5531914893617023</v>
      </c>
      <c r="ED39" s="94"/>
      <c r="EE39" s="124" t="s">
        <v>11</v>
      </c>
      <c r="EF39" s="76">
        <f>Serviceorderfile_Current!$V128</f>
        <v>0.98642172523961658</v>
      </c>
      <c r="EG39" s="57">
        <f>Aged!E9</f>
        <v>0.71</v>
      </c>
      <c r="EH39" s="99">
        <f>Serviceorderfile_Current!$U123*Serviceorderfile_Current!$H123</f>
        <v>445.32499999999999</v>
      </c>
      <c r="EI39" s="93">
        <f>Serviceorderfile_PREVIOUS!$U123*Serviceorderfile_PREVIOUS!$H123</f>
        <v>539.32500000000005</v>
      </c>
      <c r="EJ39" s="57">
        <f t="shared" si="47"/>
        <v>-0.17429193899782147</v>
      </c>
      <c r="EK39" s="99">
        <f>Serviceorderfile_Current!$U125*Serviceorderfile_Current!$H125</f>
        <v>304.32499999999999</v>
      </c>
      <c r="EL39" s="93">
        <f>Serviceorderfile_PREVIOUS!$U125*Serviceorderfile_PREVIOUS!$H125</f>
        <v>207.97499999999999</v>
      </c>
      <c r="EM39" s="57">
        <f t="shared" si="220"/>
        <v>0.46327683615819204</v>
      </c>
      <c r="EN39" s="99">
        <f>Serviceorderfile_Current!$U124*Serviceorderfile_Current!$H124</f>
        <v>385.40000000000003</v>
      </c>
      <c r="EO39" s="93">
        <f>Serviceorderfile_PREVIOUS!$U124*Serviceorderfile_PREVIOUS!$H124</f>
        <v>1095.1000000000001</v>
      </c>
      <c r="EP39" s="57">
        <f t="shared" si="221"/>
        <v>-0.64806866952789699</v>
      </c>
      <c r="EQ39" s="99">
        <f>Serviceorderfile_Current!$U126*Serviceorderfile_Current!$H126</f>
        <v>336.05</v>
      </c>
      <c r="ER39" s="93">
        <f>Serviceorderfile_PREVIOUS!$U126*Serviceorderfile_PREVIOUS!$H126</f>
        <v>242.05</v>
      </c>
      <c r="ES39" s="57">
        <f t="shared" si="222"/>
        <v>0.38834951456310685</v>
      </c>
      <c r="ET39" s="99">
        <f>Serviceorderfile_Current!$U127*Serviceorderfile_Current!$H127</f>
        <v>0</v>
      </c>
      <c r="EU39" s="93">
        <f>Serviceorderfile_PREVIOUS!$U127*Serviceorderfile_PREVIOUS!$H127</f>
        <v>0</v>
      </c>
      <c r="EV39" s="57">
        <f t="shared" si="223"/>
        <v>1</v>
      </c>
      <c r="EW39" s="84"/>
      <c r="EX39" s="76">
        <f>Serviceorderfile_Current!$V121</f>
        <v>1</v>
      </c>
      <c r="EY39" s="47">
        <f>Aged!E62</f>
        <v>0.12</v>
      </c>
      <c r="EZ39" s="99">
        <f>Serviceorderfile_Current!$U121*Serviceorderfile_Current!$H121</f>
        <v>430.05</v>
      </c>
      <c r="FA39" s="93">
        <f>Serviceorderfile_PREVIOUS!$U121*Serviceorderfile_PREVIOUS!$H121</f>
        <v>766.1</v>
      </c>
      <c r="FB39" s="57">
        <f t="shared" si="224"/>
        <v>-0.43865030674846628</v>
      </c>
      <c r="FC39" s="84"/>
      <c r="FD39" s="118">
        <f t="shared" si="66"/>
        <v>1901.15</v>
      </c>
      <c r="FE39" s="77">
        <f t="shared" si="67"/>
        <v>2850.55</v>
      </c>
      <c r="FF39" s="57">
        <f t="shared" si="53"/>
        <v>-0.33305853256389117</v>
      </c>
      <c r="FG39" s="94"/>
      <c r="FH39" s="84"/>
      <c r="FI39" s="84"/>
      <c r="FJ39" s="84"/>
      <c r="FK39" s="84"/>
      <c r="FL39" s="84"/>
      <c r="FM39" s="84"/>
      <c r="FN39" s="84"/>
      <c r="FO39" s="84"/>
      <c r="FP39" s="84"/>
      <c r="FQ39" s="84"/>
      <c r="FR39" s="84"/>
      <c r="FS39" s="84"/>
      <c r="FT39" s="84"/>
      <c r="FU39" s="84"/>
      <c r="FV39" s="84"/>
      <c r="FW39" s="84"/>
      <c r="FX39" s="84"/>
    </row>
    <row r="40" spans="1:180" s="63" customFormat="1" ht="12" customHeight="1" x14ac:dyDescent="0.25">
      <c r="A40" s="110" t="s">
        <v>31</v>
      </c>
      <c r="B40" s="99">
        <f>Serviceorderfile_Current!$W199</f>
        <v>1011.074972011</v>
      </c>
      <c r="C40" s="93">
        <f>Serviceorderfile_PREVIOUS!$W199</f>
        <v>920.62836369399997</v>
      </c>
      <c r="D40" s="57">
        <f t="shared" si="152"/>
        <v>9.8244429439567904E-2</v>
      </c>
      <c r="E40" s="93">
        <f>'YOY Orders'!$J20</f>
        <v>3522.4447149709999</v>
      </c>
      <c r="F40" s="93">
        <f>'YOY Orders'!$B20</f>
        <v>2964.2244107189999</v>
      </c>
      <c r="G40" s="57">
        <f t="shared" si="171"/>
        <v>0.18831917793855513</v>
      </c>
      <c r="H40" s="99">
        <f>Serviceorderfile_Current!$W201</f>
        <v>9.0135795229999989</v>
      </c>
      <c r="I40" s="93">
        <f>Serviceorderfile_PREVIOUS!$W201</f>
        <v>2.1756916089999998</v>
      </c>
      <c r="J40" s="57">
        <f t="shared" si="2"/>
        <v>3.1428571428571423</v>
      </c>
      <c r="K40" s="93">
        <f>'YOY Orders'!$K20</f>
        <v>23.932607698999998</v>
      </c>
      <c r="L40" s="93">
        <f>'YOY Orders'!$C20</f>
        <v>0.93243926099999996</v>
      </c>
      <c r="M40" s="57">
        <f t="shared" si="172"/>
        <v>24.666666666666664</v>
      </c>
      <c r="N40" s="99">
        <f>Serviceorderfile_Current!$W200</f>
        <v>465.90881741300001</v>
      </c>
      <c r="O40" s="93">
        <f>Serviceorderfile_PREVIOUS!$W200</f>
        <v>753.41092288799996</v>
      </c>
      <c r="P40" s="57">
        <f t="shared" si="4"/>
        <v>-0.38160066006600657</v>
      </c>
      <c r="Q40" s="93">
        <f>'YOY Orders'!$O20</f>
        <v>1653.5256228399999</v>
      </c>
      <c r="R40" s="93">
        <f>'YOY Orders'!$G20</f>
        <v>2436.1529759059999</v>
      </c>
      <c r="S40" s="57">
        <f t="shared" si="173"/>
        <v>-0.32125542230160764</v>
      </c>
      <c r="T40" s="99">
        <f>Serviceorderfile_Current!$W202</f>
        <v>851.31704529299998</v>
      </c>
      <c r="U40" s="93">
        <f>Serviceorderfile_PREVIOUS!$W202</f>
        <v>780.76247454399993</v>
      </c>
      <c r="V40" s="57">
        <f t="shared" si="6"/>
        <v>9.0366242038216527E-2</v>
      </c>
      <c r="W40" s="93">
        <f>'YOY Orders'!$L20</f>
        <v>1077.588972629</v>
      </c>
      <c r="X40" s="93">
        <f>'YOY Orders'!$D20</f>
        <v>1108.6702813289999</v>
      </c>
      <c r="Y40" s="57">
        <f t="shared" si="174"/>
        <v>-2.8034763106251637E-2</v>
      </c>
      <c r="Z40" s="99">
        <f>Serviceorderfile_Current!$W203</f>
        <v>657.68049209200001</v>
      </c>
      <c r="AA40" s="93">
        <f>Serviceorderfile_PREVIOUS!$W203</f>
        <v>1042.1562807109999</v>
      </c>
      <c r="AB40" s="57">
        <f t="shared" si="8"/>
        <v>-0.36892335222189077</v>
      </c>
      <c r="AC40" s="93">
        <f>'YOY Orders'!$N20</f>
        <v>3641.4861272919998</v>
      </c>
      <c r="AD40" s="93">
        <f>'YOY Orders'!$F20</f>
        <v>1251.644301349</v>
      </c>
      <c r="AE40" s="57">
        <f t="shared" si="175"/>
        <v>1.9093618077973677</v>
      </c>
      <c r="AF40" s="99">
        <f>Serviceorderfile_Current!$W197</f>
        <v>37.919196614000001</v>
      </c>
      <c r="AG40" s="93">
        <f>Serviceorderfile_PREVIOUS!$W197</f>
        <v>11.189271132</v>
      </c>
      <c r="AH40" s="57">
        <f t="shared" si="10"/>
        <v>2.3888888888888888</v>
      </c>
      <c r="AI40" s="93">
        <f>'YOY Orders'!$M20</f>
        <v>230.623310554</v>
      </c>
      <c r="AJ40" s="93">
        <f>'YOY Orders'!$E20</f>
        <v>112.51433749399999</v>
      </c>
      <c r="AK40" s="57">
        <f t="shared" si="176"/>
        <v>1.0497237569060776</v>
      </c>
      <c r="AL40" s="116">
        <f t="shared" si="54"/>
        <v>3032.9141029460002</v>
      </c>
      <c r="AM40" s="56">
        <f t="shared" si="55"/>
        <v>3510.3230045780001</v>
      </c>
      <c r="AN40" s="57">
        <f t="shared" si="12"/>
        <v>-0.13600141668142374</v>
      </c>
      <c r="AO40" s="116">
        <f t="shared" si="165"/>
        <v>10149.601355984998</v>
      </c>
      <c r="AP40" s="56">
        <f t="shared" si="166"/>
        <v>7874.138746057999</v>
      </c>
      <c r="AQ40" s="57">
        <f t="shared" si="177"/>
        <v>0.28897923738848963</v>
      </c>
      <c r="AR40" s="72"/>
      <c r="AS40" s="110" t="s">
        <v>31</v>
      </c>
      <c r="AT40" s="99">
        <f>Serviceorderfile_Current!$I199*Serviceorderfile_Current!$U199</f>
        <v>705.234894403</v>
      </c>
      <c r="AU40" s="93">
        <f>Serviceorderfile_PREVIOUS!$I199*Serviceorderfile_PREVIOUS!$U199</f>
        <v>749.68116584400002</v>
      </c>
      <c r="AV40" s="57">
        <f t="shared" si="178"/>
        <v>-5.9286898839137625E-2</v>
      </c>
      <c r="AW40" s="78">
        <f t="shared" si="179"/>
        <v>0.69750999077774367</v>
      </c>
      <c r="AX40" s="75">
        <f t="shared" si="16"/>
        <v>0.81431465226198518</v>
      </c>
      <c r="AY40" s="119">
        <f t="shared" si="180"/>
        <v>-11.680466148424152</v>
      </c>
      <c r="AZ40" s="99">
        <f>Serviceorderfile_Current!$I201*Serviceorderfile_Current!$U201</f>
        <v>9.0135795229999989</v>
      </c>
      <c r="BA40" s="93">
        <f>Serviceorderfile_PREVIOUS!$I201*Serviceorderfile_PREVIOUS!$U201</f>
        <v>2.1756916089999998</v>
      </c>
      <c r="BB40" s="57">
        <f t="shared" si="181"/>
        <v>3.1428571428571423</v>
      </c>
      <c r="BC40" s="78">
        <f t="shared" si="182"/>
        <v>1</v>
      </c>
      <c r="BD40" s="75">
        <f t="shared" si="183"/>
        <v>1</v>
      </c>
      <c r="BE40" s="119">
        <f t="shared" si="184"/>
        <v>0</v>
      </c>
      <c r="BF40" s="99">
        <f>Serviceorderfile_Current!$I200*Serviceorderfile_Current!$U200</f>
        <v>436.38157414799997</v>
      </c>
      <c r="BG40" s="93">
        <f>Serviceorderfile_PREVIOUS!$I200*Serviceorderfile_PREVIOUS!$U200</f>
        <v>719.53229640500001</v>
      </c>
      <c r="BH40" s="57">
        <f t="shared" si="185"/>
        <v>-0.39352051835853141</v>
      </c>
      <c r="BI40" s="78">
        <f t="shared" si="186"/>
        <v>0.93662441627751825</v>
      </c>
      <c r="BJ40" s="75">
        <f t="shared" si="187"/>
        <v>0.95503300330033014</v>
      </c>
      <c r="BK40" s="119">
        <f t="shared" si="188"/>
        <v>-1.8408587022811895</v>
      </c>
      <c r="BL40" s="99">
        <f>Serviceorderfile_Current!$I202*Serviceorderfile_Current!$U202</f>
        <v>138.933449889</v>
      </c>
      <c r="BM40" s="93">
        <f>Serviceorderfile_PREVIOUS!$I202*Serviceorderfile_PREVIOUS!$U202</f>
        <v>154.784917326</v>
      </c>
      <c r="BN40" s="57">
        <f t="shared" si="189"/>
        <v>-0.10240963855421681</v>
      </c>
      <c r="BO40" s="78">
        <f t="shared" si="190"/>
        <v>0.16319824753559695</v>
      </c>
      <c r="BP40" s="75">
        <f t="shared" si="191"/>
        <v>0.19824840764331211</v>
      </c>
      <c r="BQ40" s="119">
        <f t="shared" si="192"/>
        <v>-3.5050160107715165</v>
      </c>
      <c r="BR40" s="99">
        <f>Serviceorderfile_Current!$I203*Serviceorderfile_Current!$U203</f>
        <v>515.63891133300001</v>
      </c>
      <c r="BS40" s="93">
        <f>Serviceorderfile_PREVIOUS!$I203*Serviceorderfile_PREVIOUS!$U203</f>
        <v>326.35374135000001</v>
      </c>
      <c r="BT40" s="57">
        <f t="shared" si="193"/>
        <v>0.58000000000000007</v>
      </c>
      <c r="BU40" s="78">
        <f t="shared" si="194"/>
        <v>0.78402646502835538</v>
      </c>
      <c r="BV40" s="75">
        <f t="shared" si="195"/>
        <v>0.31315240083507312</v>
      </c>
      <c r="BW40" s="119">
        <f t="shared" si="196"/>
        <v>47.087406419328225</v>
      </c>
      <c r="BX40" s="99">
        <f>Serviceorderfile_Current!$I197*Serviceorderfile_Current!$U199</f>
        <v>37.919196614000001</v>
      </c>
      <c r="BY40" s="93">
        <f>Serviceorderfile_PREVIOUS!$I197*Serviceorderfile_PREVIOUS!$U199</f>
        <v>11.189271132</v>
      </c>
      <c r="BZ40" s="57">
        <f t="shared" si="197"/>
        <v>2.3888888888888888</v>
      </c>
      <c r="CA40" s="78">
        <f t="shared" si="198"/>
        <v>1</v>
      </c>
      <c r="CB40" s="75">
        <f t="shared" si="199"/>
        <v>1</v>
      </c>
      <c r="CC40" s="119">
        <f t="shared" si="200"/>
        <v>0</v>
      </c>
      <c r="CD40" s="118">
        <f t="shared" si="201"/>
        <v>1843.12160591</v>
      </c>
      <c r="CE40" s="77">
        <f t="shared" si="202"/>
        <v>1963.717083666</v>
      </c>
      <c r="CF40" s="57">
        <f t="shared" si="203"/>
        <v>-6.1411839189617012E-2</v>
      </c>
      <c r="CG40" s="78">
        <f t="shared" si="204"/>
        <v>0.60770649723303949</v>
      </c>
      <c r="CH40" s="75">
        <f t="shared" si="154"/>
        <v>0.55941207720913755</v>
      </c>
      <c r="CI40" s="119">
        <f t="shared" si="205"/>
        <v>4.8294420023901941</v>
      </c>
      <c r="CJ40" s="85"/>
      <c r="CK40" s="110" t="s">
        <v>31</v>
      </c>
      <c r="CL40" s="99">
        <f>Serviceorderfile_Current!$J199*Serviceorderfile_Current!$U199</f>
        <v>294.65080647600001</v>
      </c>
      <c r="CM40" s="93">
        <f>Serviceorderfile_PREVIOUS!$J199*Serviceorderfile_PREVIOUS!$U199</f>
        <v>16.473093610999999</v>
      </c>
      <c r="CN40" s="57">
        <f t="shared" si="206"/>
        <v>16.886792452830189</v>
      </c>
      <c r="CO40" s="99">
        <f>Serviceorderfile_Current!$J201*Serviceorderfile_Current!$U201</f>
        <v>0</v>
      </c>
      <c r="CP40" s="93">
        <f>Serviceorderfile_PREVIOUS!$J201*Serviceorderfile_PREVIOUS!$U201</f>
        <v>0</v>
      </c>
      <c r="CQ40" s="57">
        <f t="shared" si="207"/>
        <v>1</v>
      </c>
      <c r="CR40" s="99">
        <f>Serviceorderfile_Current!$J200*Serviceorderfile_Current!$U200</f>
        <v>3.1081308700000001</v>
      </c>
      <c r="CS40" s="93">
        <f>Serviceorderfile_PREVIOUS!$J200*Serviceorderfile_PREVIOUS!$U200</f>
        <v>22.067729177</v>
      </c>
      <c r="CT40" s="57">
        <f t="shared" si="208"/>
        <v>-0.85915492957746475</v>
      </c>
      <c r="CU40" s="99">
        <f>Serviceorderfile_Current!$J202*Serviceorderfile_Current!$U202</f>
        <v>147.63621632499999</v>
      </c>
      <c r="CV40" s="93">
        <f>Serviceorderfile_PREVIOUS!$J202*Serviceorderfile_PREVIOUS!$U202</f>
        <v>90.135795229999999</v>
      </c>
      <c r="CW40" s="57">
        <f t="shared" si="209"/>
        <v>0.63793103448275845</v>
      </c>
      <c r="CX40" s="99">
        <f>Serviceorderfile_Current!$J203*Serviceorderfile_Current!$U203</f>
        <v>77.703271749999999</v>
      </c>
      <c r="CY40" s="93">
        <f>Serviceorderfile_PREVIOUS!$J203*Serviceorderfile_PREVIOUS!$U203</f>
        <v>56.878794921000001</v>
      </c>
      <c r="CZ40" s="57">
        <f t="shared" si="210"/>
        <v>0.36612021857923494</v>
      </c>
      <c r="DA40" s="99">
        <f>Serviceorderfile_Current!$J197*Serviceorderfile_Current!$U199</f>
        <v>0</v>
      </c>
      <c r="DB40" s="93">
        <f>Serviceorderfile_PREVIOUS!$J197*Serviceorderfile_PREVIOUS!$U199</f>
        <v>0</v>
      </c>
      <c r="DC40" s="57">
        <f t="shared" si="211"/>
        <v>1</v>
      </c>
      <c r="DD40" s="118">
        <f t="shared" si="167"/>
        <v>523.098425421</v>
      </c>
      <c r="DE40" s="77">
        <f t="shared" si="168"/>
        <v>185.55541293900001</v>
      </c>
      <c r="DF40" s="57">
        <f t="shared" si="212"/>
        <v>1.8190954773869348</v>
      </c>
      <c r="DG40" s="86"/>
      <c r="DH40" s="110" t="s">
        <v>31</v>
      </c>
      <c r="DI40" s="99">
        <f>Serviceorderfile_Current!$K199*Serviceorderfile_Current!$U199</f>
        <v>8.7027664359999992</v>
      </c>
      <c r="DJ40" s="93">
        <f>Serviceorderfile_PREVIOUS!$K199*Serviceorderfile_PREVIOUS!$U199</f>
        <v>0</v>
      </c>
      <c r="DK40" s="57">
        <f t="shared" si="213"/>
        <v>1</v>
      </c>
      <c r="DL40" s="99">
        <f>Serviceorderfile_Current!$K201*Serviceorderfile_Current!$U201</f>
        <v>0</v>
      </c>
      <c r="DM40" s="93">
        <f>Serviceorderfile_PREVIOUS!$K201*Serviceorderfile_PREVIOUS!$U201</f>
        <v>0</v>
      </c>
      <c r="DN40" s="57">
        <f t="shared" si="214"/>
        <v>1</v>
      </c>
      <c r="DO40" s="99">
        <f>Serviceorderfile_Current!$K200*Serviceorderfile_Current!$U200</f>
        <v>3.1081308700000001</v>
      </c>
      <c r="DP40" s="93">
        <f>Serviceorderfile_PREVIOUS!$K200*Serviceorderfile_PREVIOUS!$U200</f>
        <v>5.594635566</v>
      </c>
      <c r="DQ40" s="57">
        <f t="shared" si="215"/>
        <v>-0.44444444444444442</v>
      </c>
      <c r="DR40" s="99">
        <f>Serviceorderfile_Current!$K202*Serviceorderfile_Current!$U202</f>
        <v>68.378879139999995</v>
      </c>
      <c r="DS40" s="93">
        <f>Serviceorderfile_PREVIOUS!$K202*Serviceorderfile_PREVIOUS!$U202</f>
        <v>115.622468364</v>
      </c>
      <c r="DT40" s="57">
        <f t="shared" si="216"/>
        <v>-0.40860215053763449</v>
      </c>
      <c r="DU40" s="99">
        <f>Serviceorderfile_Current!$K203*Serviceorderfile_Current!$U203</f>
        <v>0</v>
      </c>
      <c r="DV40" s="93">
        <f>Serviceorderfile_PREVIOUS!$K203*Serviceorderfile_PREVIOUS!$U203</f>
        <v>0</v>
      </c>
      <c r="DW40" s="57">
        <f t="shared" si="217"/>
        <v>1</v>
      </c>
      <c r="DX40" s="99">
        <f>Serviceorderfile_Current!$K197*Serviceorderfile_Current!$U199</f>
        <v>0</v>
      </c>
      <c r="DY40" s="93">
        <f>Serviceorderfile_PREVIOUS!$K197*Serviceorderfile_PREVIOUS!$U199</f>
        <v>0</v>
      </c>
      <c r="DZ40" s="57">
        <f t="shared" si="218"/>
        <v>1</v>
      </c>
      <c r="EA40" s="118">
        <f t="shared" si="169"/>
        <v>80.189776445999996</v>
      </c>
      <c r="EB40" s="77">
        <f t="shared" si="170"/>
        <v>121.21710392999999</v>
      </c>
      <c r="EC40" s="57">
        <f t="shared" si="219"/>
        <v>-0.33846153846153848</v>
      </c>
      <c r="ED40" s="94"/>
      <c r="EE40" s="124" t="s">
        <v>31</v>
      </c>
      <c r="EF40" s="76">
        <f>Serviceorderfile_Current!$V196</f>
        <v>0.78930851639432964</v>
      </c>
      <c r="EG40" s="57">
        <f>Aged!E13</f>
        <v>0.56000000000000005</v>
      </c>
      <c r="EH40" s="99">
        <f>Serviceorderfile_Current!$U191*Serviceorderfile_Current!$H191</f>
        <v>1988.2713175389999</v>
      </c>
      <c r="EI40" s="93">
        <f>Serviceorderfile_PREVIOUS!$U191*Serviceorderfile_PREVIOUS!$H191</f>
        <v>1910.8788588759999</v>
      </c>
      <c r="EJ40" s="57">
        <f t="shared" si="47"/>
        <v>4.0500975927130867E-2</v>
      </c>
      <c r="EK40" s="99">
        <f>Serviceorderfile_Current!$U193*Serviceorderfile_Current!$H193</f>
        <v>83.919533489999992</v>
      </c>
      <c r="EL40" s="93">
        <f>Serviceorderfile_PREVIOUS!$U193*Serviceorderfile_PREVIOUS!$H193</f>
        <v>47.554402310999997</v>
      </c>
      <c r="EM40" s="57">
        <f t="shared" si="220"/>
        <v>0.76470588235294112</v>
      </c>
      <c r="EN40" s="99">
        <f>Serviceorderfile_Current!$U192*Serviceorderfile_Current!$H192</f>
        <v>0</v>
      </c>
      <c r="EO40" s="93">
        <f>Serviceorderfile_PREVIOUS!$U192*Serviceorderfile_PREVIOUS!$H192</f>
        <v>0</v>
      </c>
      <c r="EP40" s="57">
        <f t="shared" si="221"/>
        <v>1</v>
      </c>
      <c r="EQ40" s="99">
        <f>Serviceorderfile_Current!$U194*Serviceorderfile_Current!$H194</f>
        <v>800.03288593799994</v>
      </c>
      <c r="ER40" s="93">
        <f>Serviceorderfile_PREVIOUS!$U194*Serviceorderfile_PREVIOUS!$H194</f>
        <v>483.31435028499999</v>
      </c>
      <c r="ES40" s="57">
        <f t="shared" si="222"/>
        <v>0.65530546623794206</v>
      </c>
      <c r="ET40" s="99">
        <f>Serviceorderfile_Current!$U195*Serviceorderfile_Current!$H195</f>
        <v>14.919028175999999</v>
      </c>
      <c r="EU40" s="93">
        <f>Serviceorderfile_PREVIOUS!$U195*Serviceorderfile_PREVIOUS!$H195</f>
        <v>6.5270748269999999</v>
      </c>
      <c r="EV40" s="57">
        <f t="shared" si="223"/>
        <v>1.2857142857142856</v>
      </c>
      <c r="EW40" s="84"/>
      <c r="EX40" s="76">
        <f>Serviceorderfile_Current!$V189</f>
        <v>0.47429105640386415</v>
      </c>
      <c r="EY40" s="47">
        <f>Aged!E66</f>
        <v>0.48</v>
      </c>
      <c r="EZ40" s="99">
        <f>Serviceorderfile_Current!$U189*Serviceorderfile_Current!$H189</f>
        <v>997.39919618299996</v>
      </c>
      <c r="FA40" s="93">
        <f>Serviceorderfile_PREVIOUS!$U189*Serviceorderfile_PREVIOUS!$H189</f>
        <v>1420.726620677</v>
      </c>
      <c r="FB40" s="57">
        <f t="shared" si="224"/>
        <v>-0.29796543425946187</v>
      </c>
      <c r="FC40" s="84"/>
      <c r="FD40" s="118">
        <f t="shared" si="66"/>
        <v>3884.5419613260001</v>
      </c>
      <c r="FE40" s="77">
        <f t="shared" si="67"/>
        <v>3869.0013069759998</v>
      </c>
      <c r="FF40" s="57">
        <f t="shared" si="53"/>
        <v>4.0167095115681839E-3</v>
      </c>
      <c r="FG40" s="94"/>
      <c r="FH40" s="84"/>
      <c r="FI40" s="84"/>
      <c r="FJ40" s="84"/>
      <c r="FK40" s="84"/>
      <c r="FL40" s="84"/>
      <c r="FM40" s="84"/>
      <c r="FN40" s="84"/>
      <c r="FO40" s="84"/>
      <c r="FP40" s="84"/>
      <c r="FQ40" s="84"/>
      <c r="FR40" s="84"/>
      <c r="FS40" s="84"/>
      <c r="FT40" s="84"/>
      <c r="FU40" s="84"/>
      <c r="FV40" s="84"/>
      <c r="FW40" s="84"/>
      <c r="FX40" s="84"/>
    </row>
    <row r="41" spans="1:180" s="63" customFormat="1" ht="12" customHeight="1" x14ac:dyDescent="0.25">
      <c r="A41" s="110" t="s">
        <v>2</v>
      </c>
      <c r="B41" s="99">
        <f>Serviceorderfile_Current!$W12</f>
        <v>2132.625</v>
      </c>
      <c r="C41" s="93">
        <f>Serviceorderfile_PREVIOUS!$W12</f>
        <v>1159.7250000000001</v>
      </c>
      <c r="D41" s="57">
        <f t="shared" si="152"/>
        <v>0.83890577507598763</v>
      </c>
      <c r="E41" s="93">
        <f>'YOY Orders'!$J21</f>
        <v>3456.85</v>
      </c>
      <c r="F41" s="93">
        <f>'YOY Orders'!$B21</f>
        <v>2358.2249999999999</v>
      </c>
      <c r="G41" s="57">
        <f t="shared" si="171"/>
        <v>0.46586945690084702</v>
      </c>
      <c r="H41" s="99">
        <f>Serviceorderfile_Current!$W14</f>
        <v>2151.4250000000002</v>
      </c>
      <c r="I41" s="93">
        <f>Serviceorderfile_PREVIOUS!$W14</f>
        <v>1467.575</v>
      </c>
      <c r="J41" s="57">
        <f t="shared" si="2"/>
        <v>0.46597277822257821</v>
      </c>
      <c r="K41" s="93">
        <f>'YOY Orders'!$K21</f>
        <v>2627.3</v>
      </c>
      <c r="L41" s="93">
        <f>'YOY Orders'!$C21</f>
        <v>1767.2</v>
      </c>
      <c r="M41" s="57">
        <f t="shared" si="172"/>
        <v>0.48670212765957444</v>
      </c>
      <c r="N41" s="99">
        <f>Serviceorderfile_Current!$W13</f>
        <v>3953.875</v>
      </c>
      <c r="O41" s="93">
        <f>Serviceorderfile_PREVIOUS!$W13</f>
        <v>2827.05</v>
      </c>
      <c r="P41" s="57">
        <f t="shared" si="4"/>
        <v>0.3985868661679135</v>
      </c>
      <c r="Q41" s="93">
        <f>'YOY Orders'!$O21</f>
        <v>3525</v>
      </c>
      <c r="R41" s="93">
        <f>'YOY Orders'!$G21</f>
        <v>3094.9500000000003</v>
      </c>
      <c r="S41" s="57">
        <f t="shared" si="173"/>
        <v>0.13895216400911159</v>
      </c>
      <c r="T41" s="99">
        <f>Serviceorderfile_Current!$W15</f>
        <v>5870.3</v>
      </c>
      <c r="U41" s="93">
        <f>Serviceorderfile_PREVIOUS!$W15</f>
        <v>4769.3249999999998</v>
      </c>
      <c r="V41" s="57">
        <f t="shared" si="6"/>
        <v>0.23084503572308468</v>
      </c>
      <c r="W41" s="93">
        <f>'YOY Orders'!$L21</f>
        <v>5605.9250000000002</v>
      </c>
      <c r="X41" s="93">
        <f>'YOY Orders'!$D21</f>
        <v>5244.0250000000005</v>
      </c>
      <c r="Y41" s="57">
        <f t="shared" si="174"/>
        <v>6.9011875420120994E-2</v>
      </c>
      <c r="Z41" s="99">
        <f>Serviceorderfile_Current!$W16</f>
        <v>162.15</v>
      </c>
      <c r="AA41" s="93">
        <f>Serviceorderfile_PREVIOUS!$W16</f>
        <v>28.200000000000003</v>
      </c>
      <c r="AB41" s="57">
        <f t="shared" si="8"/>
        <v>4.75</v>
      </c>
      <c r="AC41" s="93">
        <f>'YOY Orders'!$N21</f>
        <v>353.67500000000001</v>
      </c>
      <c r="AD41" s="93">
        <f>'YOY Orders'!$F21</f>
        <v>180.95000000000002</v>
      </c>
      <c r="AE41" s="57">
        <f t="shared" si="175"/>
        <v>0.95454545454545436</v>
      </c>
      <c r="AF41" s="99">
        <f>Serviceorderfile_Current!$W10</f>
        <v>439.45</v>
      </c>
      <c r="AG41" s="93">
        <f>Serviceorderfile_PREVIOUS!$W10</f>
        <v>52.875</v>
      </c>
      <c r="AH41" s="57">
        <f t="shared" si="10"/>
        <v>7.3111111111111118</v>
      </c>
      <c r="AI41" s="93">
        <f>'YOY Orders'!$M21</f>
        <v>810.75</v>
      </c>
      <c r="AJ41" s="93">
        <f>'YOY Orders'!$E21</f>
        <v>398.32499999999999</v>
      </c>
      <c r="AK41" s="57">
        <f t="shared" si="176"/>
        <v>1.0353982300884956</v>
      </c>
      <c r="AL41" s="116">
        <f t="shared" si="54"/>
        <v>14709.825000000001</v>
      </c>
      <c r="AM41" s="56">
        <f t="shared" si="55"/>
        <v>10304.75</v>
      </c>
      <c r="AN41" s="57">
        <f t="shared" si="12"/>
        <v>0.42748004561003428</v>
      </c>
      <c r="AO41" s="116">
        <f t="shared" si="165"/>
        <v>16379.5</v>
      </c>
      <c r="AP41" s="56">
        <f t="shared" si="166"/>
        <v>13043.675000000001</v>
      </c>
      <c r="AQ41" s="57">
        <f t="shared" si="177"/>
        <v>0.25574272588055114</v>
      </c>
      <c r="AR41" s="72"/>
      <c r="AS41" s="110" t="s">
        <v>2</v>
      </c>
      <c r="AT41" s="99">
        <f>Serviceorderfile_Current!$I12*Serviceorderfile_Current!$U12</f>
        <v>586.32500000000005</v>
      </c>
      <c r="AU41" s="93">
        <f>Serviceorderfile_PREVIOUS!$I12*Serviceorderfile_PREVIOUS!$U12</f>
        <v>924.72500000000002</v>
      </c>
      <c r="AV41" s="57">
        <f t="shared" si="178"/>
        <v>-0.36594663278271911</v>
      </c>
      <c r="AW41" s="78">
        <f t="shared" si="179"/>
        <v>0.27493112947658405</v>
      </c>
      <c r="AX41" s="75">
        <f t="shared" si="16"/>
        <v>0.79736575481256322</v>
      </c>
      <c r="AY41" s="119">
        <f t="shared" si="180"/>
        <v>-52.243462533597921</v>
      </c>
      <c r="AZ41" s="99">
        <f>Serviceorderfile_Current!$I14*Serviceorderfile_Current!$U14</f>
        <v>401.85</v>
      </c>
      <c r="BA41" s="93">
        <f>Serviceorderfile_PREVIOUS!$I14*Serviceorderfile_PREVIOUS!$U14</f>
        <v>1077.4750000000001</v>
      </c>
      <c r="BB41" s="57">
        <f t="shared" si="181"/>
        <v>-0.62704471101417669</v>
      </c>
      <c r="BC41" s="78">
        <f t="shared" si="182"/>
        <v>0.18678317859093391</v>
      </c>
      <c r="BD41" s="75">
        <f t="shared" si="183"/>
        <v>0.73418734987990397</v>
      </c>
      <c r="BE41" s="119">
        <f t="shared" si="184"/>
        <v>-54.740417128897015</v>
      </c>
      <c r="BF41" s="99">
        <f>Serviceorderfile_Current!$I13*Serviceorderfile_Current!$U13</f>
        <v>663.875</v>
      </c>
      <c r="BG41" s="93">
        <f>Serviceorderfile_PREVIOUS!$I13*Serviceorderfile_PREVIOUS!$U13</f>
        <v>432.40000000000003</v>
      </c>
      <c r="BH41" s="57">
        <f t="shared" si="185"/>
        <v>0.53532608695652151</v>
      </c>
      <c r="BI41" s="78">
        <f t="shared" si="186"/>
        <v>0.16790490341753342</v>
      </c>
      <c r="BJ41" s="75">
        <f t="shared" si="187"/>
        <v>0.15295095594347466</v>
      </c>
      <c r="BK41" s="119">
        <f t="shared" si="188"/>
        <v>1.495394747405876</v>
      </c>
      <c r="BL41" s="99">
        <f>Serviceorderfile_Current!$I15*Serviceorderfile_Current!$U15</f>
        <v>897.7</v>
      </c>
      <c r="BM41" s="93">
        <f>Serviceorderfile_PREVIOUS!$I15*Serviceorderfile_PREVIOUS!$U15</f>
        <v>1128</v>
      </c>
      <c r="BN41" s="57">
        <f t="shared" si="189"/>
        <v>-0.20416666666666661</v>
      </c>
      <c r="BO41" s="78">
        <f t="shared" si="190"/>
        <v>0.15292233787029624</v>
      </c>
      <c r="BP41" s="75">
        <f t="shared" si="191"/>
        <v>0.23651145602365115</v>
      </c>
      <c r="BQ41" s="119">
        <f t="shared" si="192"/>
        <v>-8.3589118153354907</v>
      </c>
      <c r="BR41" s="99">
        <f>Serviceorderfile_Current!$I16*Serviceorderfile_Current!$U16</f>
        <v>69.325000000000003</v>
      </c>
      <c r="BS41" s="93">
        <f>Serviceorderfile_PREVIOUS!$I16*Serviceorderfile_PREVIOUS!$U16</f>
        <v>27.025000000000002</v>
      </c>
      <c r="BT41" s="57">
        <f t="shared" si="193"/>
        <v>1.5652173913043477</v>
      </c>
      <c r="BU41" s="78">
        <f t="shared" si="194"/>
        <v>0.42753623188405798</v>
      </c>
      <c r="BV41" s="75">
        <f t="shared" si="195"/>
        <v>0.95833333333333326</v>
      </c>
      <c r="BW41" s="119">
        <f t="shared" si="196"/>
        <v>-53.079710144927525</v>
      </c>
      <c r="BX41" s="99">
        <f>Serviceorderfile_Current!$I10*Serviceorderfile_Current!$U12</f>
        <v>128.07500000000002</v>
      </c>
      <c r="BY41" s="93">
        <f>Serviceorderfile_PREVIOUS!$I10*Serviceorderfile_PREVIOUS!$U12</f>
        <v>52.875</v>
      </c>
      <c r="BZ41" s="57">
        <f t="shared" si="197"/>
        <v>1.4222222222222225</v>
      </c>
      <c r="CA41" s="78">
        <f t="shared" si="198"/>
        <v>0.29144385026737973</v>
      </c>
      <c r="CB41" s="75">
        <f t="shared" si="199"/>
        <v>1</v>
      </c>
      <c r="CC41" s="119">
        <f t="shared" si="200"/>
        <v>-70.855614973262021</v>
      </c>
      <c r="CD41" s="118">
        <f t="shared" si="201"/>
        <v>2747.15</v>
      </c>
      <c r="CE41" s="77">
        <f t="shared" si="202"/>
        <v>3642.5</v>
      </c>
      <c r="CF41" s="57">
        <f t="shared" si="203"/>
        <v>-0.24580645161290315</v>
      </c>
      <c r="CG41" s="78">
        <f t="shared" si="204"/>
        <v>0.18675613068136432</v>
      </c>
      <c r="CH41" s="75">
        <f t="shared" si="154"/>
        <v>0.35347776510832385</v>
      </c>
      <c r="CI41" s="119">
        <f t="shared" si="205"/>
        <v>-16.672163442695954</v>
      </c>
      <c r="CJ41" s="85"/>
      <c r="CK41" s="110" t="s">
        <v>2</v>
      </c>
      <c r="CL41" s="99">
        <f>Serviceorderfile_Current!$J12*Serviceorderfile_Current!$U12</f>
        <v>1212.6000000000001</v>
      </c>
      <c r="CM41" s="93">
        <f>Serviceorderfile_PREVIOUS!$J12*Serviceorderfile_PREVIOUS!$U12</f>
        <v>153.92500000000001</v>
      </c>
      <c r="CN41" s="57">
        <f t="shared" si="206"/>
        <v>6.877862595419848</v>
      </c>
      <c r="CO41" s="99">
        <f>Serviceorderfile_Current!$J14*Serviceorderfile_Current!$U14</f>
        <v>789.6</v>
      </c>
      <c r="CP41" s="93">
        <f>Serviceorderfile_PREVIOUS!$J14*Serviceorderfile_PREVIOUS!$U14</f>
        <v>210.32500000000002</v>
      </c>
      <c r="CQ41" s="57">
        <f t="shared" si="207"/>
        <v>2.7541899441340778</v>
      </c>
      <c r="CR41" s="99">
        <f>Serviceorderfile_Current!$J13*Serviceorderfile_Current!$U13</f>
        <v>521.70000000000005</v>
      </c>
      <c r="CS41" s="93">
        <f>Serviceorderfile_PREVIOUS!$J13*Serviceorderfile_PREVIOUS!$U13</f>
        <v>356.02500000000003</v>
      </c>
      <c r="CT41" s="57">
        <f t="shared" si="208"/>
        <v>0.46534653465346532</v>
      </c>
      <c r="CU41" s="99">
        <f>Serviceorderfile_Current!$J15*Serviceorderfile_Current!$U15</f>
        <v>1172.6500000000001</v>
      </c>
      <c r="CV41" s="93">
        <f>Serviceorderfile_PREVIOUS!$J15*Serviceorderfile_PREVIOUS!$U15</f>
        <v>552.25</v>
      </c>
      <c r="CW41" s="57">
        <f t="shared" si="209"/>
        <v>1.1234042553191492</v>
      </c>
      <c r="CX41" s="99">
        <f>Serviceorderfile_Current!$J16*Serviceorderfile_Current!$U16</f>
        <v>74.025000000000006</v>
      </c>
      <c r="CY41" s="93">
        <f>Serviceorderfile_PREVIOUS!$J16*Serviceorderfile_PREVIOUS!$U16</f>
        <v>0</v>
      </c>
      <c r="CZ41" s="57">
        <f t="shared" si="210"/>
        <v>1</v>
      </c>
      <c r="DA41" s="99">
        <f>Serviceorderfile_Current!$J10*Serviceorderfile_Current!$U12</f>
        <v>291.40000000000003</v>
      </c>
      <c r="DB41" s="93">
        <f>Serviceorderfile_PREVIOUS!$J10*Serviceorderfile_PREVIOUS!$U12</f>
        <v>0</v>
      </c>
      <c r="DC41" s="57">
        <f t="shared" si="211"/>
        <v>1</v>
      </c>
      <c r="DD41" s="118">
        <f t="shared" si="167"/>
        <v>4061.9750000000008</v>
      </c>
      <c r="DE41" s="77">
        <f t="shared" si="168"/>
        <v>1272.5250000000001</v>
      </c>
      <c r="DF41" s="57">
        <f t="shared" si="212"/>
        <v>2.1920590951061869</v>
      </c>
      <c r="DG41" s="86"/>
      <c r="DH41" s="110" t="s">
        <v>2</v>
      </c>
      <c r="DI41" s="99">
        <f>Serviceorderfile_Current!$K12*Serviceorderfile_Current!$U12</f>
        <v>218.55</v>
      </c>
      <c r="DJ41" s="93">
        <f>Serviceorderfile_PREVIOUS!$K12*Serviceorderfile_PREVIOUS!$U12</f>
        <v>1.175</v>
      </c>
      <c r="DK41" s="57">
        <f t="shared" si="213"/>
        <v>185</v>
      </c>
      <c r="DL41" s="99">
        <f>Serviceorderfile_Current!$K14*Serviceorderfile_Current!$U14</f>
        <v>501.72500000000002</v>
      </c>
      <c r="DM41" s="93">
        <f>Serviceorderfile_PREVIOUS!$K14*Serviceorderfile_PREVIOUS!$U14</f>
        <v>10.575000000000001</v>
      </c>
      <c r="DN41" s="57">
        <f t="shared" si="214"/>
        <v>46.444444444444443</v>
      </c>
      <c r="DO41" s="99">
        <f>Serviceorderfile_Current!$K13*Serviceorderfile_Current!$U13</f>
        <v>404.2</v>
      </c>
      <c r="DP41" s="93">
        <f>Serviceorderfile_PREVIOUS!$K13*Serviceorderfile_PREVIOUS!$U13</f>
        <v>277.3</v>
      </c>
      <c r="DQ41" s="57">
        <f t="shared" si="215"/>
        <v>0.45762711864406769</v>
      </c>
      <c r="DR41" s="99">
        <f>Serviceorderfile_Current!$K15*Serviceorderfile_Current!$U15</f>
        <v>515.82500000000005</v>
      </c>
      <c r="DS41" s="93">
        <f>Serviceorderfile_PREVIOUS!$K15*Serviceorderfile_PREVIOUS!$U15</f>
        <v>336.05</v>
      </c>
      <c r="DT41" s="57">
        <f t="shared" si="216"/>
        <v>0.534965034965035</v>
      </c>
      <c r="DU41" s="99">
        <f>Serviceorderfile_Current!$K16*Serviceorderfile_Current!$U16</f>
        <v>17.625</v>
      </c>
      <c r="DV41" s="93">
        <f>Serviceorderfile_PREVIOUS!$K16*Serviceorderfile_PREVIOUS!$U16</f>
        <v>0</v>
      </c>
      <c r="DW41" s="57">
        <f t="shared" si="217"/>
        <v>1</v>
      </c>
      <c r="DX41" s="99">
        <f>Serviceorderfile_Current!$K10*Serviceorderfile_Current!$U12</f>
        <v>19.975000000000001</v>
      </c>
      <c r="DY41" s="93">
        <f>Serviceorderfile_PREVIOUS!$K10*Serviceorderfile_PREVIOUS!$U12</f>
        <v>0</v>
      </c>
      <c r="DZ41" s="57">
        <f t="shared" si="218"/>
        <v>1</v>
      </c>
      <c r="EA41" s="118">
        <f t="shared" si="169"/>
        <v>1677.9</v>
      </c>
      <c r="EB41" s="77">
        <f t="shared" si="170"/>
        <v>625.1</v>
      </c>
      <c r="EC41" s="57">
        <f t="shared" si="219"/>
        <v>1.6842105263157894</v>
      </c>
      <c r="ED41" s="94"/>
      <c r="EE41" s="124" t="s">
        <v>2</v>
      </c>
      <c r="EF41" s="76">
        <f>Serviceorderfile_Current!$V9</f>
        <v>0.96918345572083098</v>
      </c>
      <c r="EG41" s="57">
        <f>Aged!E2</f>
        <v>0.43</v>
      </c>
      <c r="EH41" s="99">
        <f>Serviceorderfile_Current!$U4*Serviceorderfile_Current!$H4</f>
        <v>4059.625</v>
      </c>
      <c r="EI41" s="93">
        <f>Serviceorderfile_PREVIOUS!$U4*Serviceorderfile_PREVIOUS!$H4</f>
        <v>4332.2250000000004</v>
      </c>
      <c r="EJ41" s="57">
        <f t="shared" si="47"/>
        <v>-6.2923786276105287E-2</v>
      </c>
      <c r="EK41" s="99">
        <f>Serviceorderfile_Current!$U6*Serviceorderfile_Current!$H6</f>
        <v>7241.5250000000005</v>
      </c>
      <c r="EL41" s="93">
        <f>Serviceorderfile_PREVIOUS!$U6*Serviceorderfile_PREVIOUS!$H6</f>
        <v>6746.85</v>
      </c>
      <c r="EM41" s="57">
        <f t="shared" si="220"/>
        <v>7.3319400905607734E-2</v>
      </c>
      <c r="EN41" s="99">
        <f>Serviceorderfile_Current!$U5*Serviceorderfile_Current!$H5</f>
        <v>4336.9250000000002</v>
      </c>
      <c r="EO41" s="93">
        <f>Serviceorderfile_PREVIOUS!$U5*Serviceorderfile_PREVIOUS!$H5</f>
        <v>7033.55</v>
      </c>
      <c r="EP41" s="57">
        <f t="shared" si="221"/>
        <v>-0.38339458737053123</v>
      </c>
      <c r="EQ41" s="99">
        <f>Serviceorderfile_Current!$U7*Serviceorderfile_Current!$H7</f>
        <v>3083.2000000000003</v>
      </c>
      <c r="ER41" s="93">
        <f>Serviceorderfile_PREVIOUS!$U7*Serviceorderfile_PREVIOUS!$H7</f>
        <v>2780.05</v>
      </c>
      <c r="ES41" s="57">
        <f t="shared" si="222"/>
        <v>0.10904480135249361</v>
      </c>
      <c r="ET41" s="99">
        <f>Serviceorderfile_Current!$U8*Serviceorderfile_Current!$H8</f>
        <v>2.35</v>
      </c>
      <c r="EU41" s="93">
        <f>Serviceorderfile_PREVIOUS!$U8*Serviceorderfile_PREVIOUS!$H8</f>
        <v>43.475000000000001</v>
      </c>
      <c r="EV41" s="57">
        <f t="shared" si="223"/>
        <v>-0.94594594594594594</v>
      </c>
      <c r="EW41" s="84"/>
      <c r="EX41" s="76">
        <f>Serviceorderfile_Current!$V2</f>
        <v>1</v>
      </c>
      <c r="EY41" s="47">
        <f>Aged!E55</f>
        <v>0.87</v>
      </c>
      <c r="EZ41" s="99">
        <f>Serviceorderfile_Current!$U2*Serviceorderfile_Current!$H2</f>
        <v>901.22500000000002</v>
      </c>
      <c r="FA41" s="93">
        <f>Serviceorderfile_PREVIOUS!$U2*Serviceorderfile_PREVIOUS!$H2</f>
        <v>690.9</v>
      </c>
      <c r="FB41" s="57">
        <f t="shared" si="224"/>
        <v>0.30442176870748305</v>
      </c>
      <c r="FC41" s="84"/>
      <c r="FD41" s="118">
        <f t="shared" si="66"/>
        <v>19624.850000000002</v>
      </c>
      <c r="FE41" s="77">
        <f t="shared" si="67"/>
        <v>21627.050000000003</v>
      </c>
      <c r="FF41" s="57">
        <f t="shared" si="53"/>
        <v>-9.2578507008584165E-2</v>
      </c>
      <c r="FG41" s="94"/>
      <c r="FH41" s="84"/>
      <c r="FI41" s="84"/>
      <c r="FJ41" s="84"/>
      <c r="FK41" s="84"/>
      <c r="FL41" s="84"/>
      <c r="FM41" s="84"/>
      <c r="FN41" s="84"/>
      <c r="FO41" s="84"/>
      <c r="FP41" s="84"/>
      <c r="FQ41" s="84"/>
      <c r="FR41" s="84"/>
      <c r="FS41" s="84"/>
      <c r="FT41" s="84"/>
      <c r="FU41" s="84"/>
      <c r="FV41" s="84"/>
      <c r="FW41" s="84"/>
      <c r="FX41" s="84"/>
    </row>
    <row r="42" spans="1:180" s="63" customFormat="1" ht="12" customHeight="1" x14ac:dyDescent="0.25">
      <c r="A42" s="110" t="s">
        <v>6</v>
      </c>
      <c r="B42" s="99">
        <f>Serviceorderfile_Current!$W403</f>
        <v>383.05</v>
      </c>
      <c r="C42" s="93">
        <f>Serviceorderfile_PREVIOUS!$W403</f>
        <v>182.125</v>
      </c>
      <c r="D42" s="57">
        <f>IF(C42&gt;0,B42/C42-1,1)</f>
        <v>1.1032258064516132</v>
      </c>
      <c r="E42" s="93">
        <f>'YOY Orders'!$J5</f>
        <v>1045.75</v>
      </c>
      <c r="F42" s="93">
        <f>'YOY Orders'!$B5</f>
        <v>536.97500000000002</v>
      </c>
      <c r="G42" s="57">
        <f>IF(F42&gt;0,E42/F42-1,1)</f>
        <v>0.94748358862144411</v>
      </c>
      <c r="H42" s="99">
        <f>Serviceorderfile_Current!$W405</f>
        <v>378.35</v>
      </c>
      <c r="I42" s="93">
        <f>Serviceorderfile_PREVIOUS!$W405</f>
        <v>217.375</v>
      </c>
      <c r="J42" s="57">
        <f>IF(I42&gt;0,H42/I42-1,1)</f>
        <v>0.74054054054054075</v>
      </c>
      <c r="K42" s="93">
        <f>'YOY Orders'!$K5</f>
        <v>1545.125</v>
      </c>
      <c r="L42" s="93">
        <f>'YOY Orders'!$C5</f>
        <v>391.27500000000003</v>
      </c>
      <c r="M42" s="57">
        <f>IF(L42&gt;0,K42/L42-1,1)</f>
        <v>2.9489489489489484</v>
      </c>
      <c r="N42" s="99">
        <f>Serviceorderfile_Current!$W404</f>
        <v>616.875</v>
      </c>
      <c r="O42" s="93">
        <f>Serviceorderfile_PREVIOUS!$W404</f>
        <v>479.40000000000003</v>
      </c>
      <c r="P42" s="57">
        <f>IF(O42&gt;0,N42/O42-1,1)</f>
        <v>0.28676470588235281</v>
      </c>
      <c r="Q42" s="93">
        <f>'YOY Orders'!$O5</f>
        <v>1120.95</v>
      </c>
      <c r="R42" s="93">
        <f>'YOY Orders'!$G5</f>
        <v>1482.8500000000001</v>
      </c>
      <c r="S42" s="57">
        <f>IF(R42&gt;0,Q42/R42-1,1)</f>
        <v>-0.24405705229793984</v>
      </c>
      <c r="T42" s="99">
        <f>Serviceorderfile_Current!$W406</f>
        <v>1817.7250000000001</v>
      </c>
      <c r="U42" s="93">
        <f>Serviceorderfile_PREVIOUS!$W406</f>
        <v>1535.7250000000001</v>
      </c>
      <c r="V42" s="57">
        <f>IF(U42&gt;0,T42/U42-1,1)</f>
        <v>0.18362662586074974</v>
      </c>
      <c r="W42" s="93">
        <f>'YOY Orders'!$L5</f>
        <v>2138.5</v>
      </c>
      <c r="X42" s="93">
        <f>'YOY Orders'!$D5</f>
        <v>1851.8000000000002</v>
      </c>
      <c r="Y42" s="57">
        <f>IF(X42&gt;0,W42/X42-1,1)</f>
        <v>0.15482233502538056</v>
      </c>
      <c r="Z42" s="99">
        <f>Serviceorderfile_Current!$W407</f>
        <v>145.70000000000002</v>
      </c>
      <c r="AA42" s="93">
        <f>Serviceorderfile_PREVIOUS!$W407</f>
        <v>44.65</v>
      </c>
      <c r="AB42" s="57">
        <f>IF(AA42&gt;0,Z42/AA42-1,1)</f>
        <v>2.2631578947368425</v>
      </c>
      <c r="AC42" s="93">
        <f>'YOY Orders'!$N5</f>
        <v>727.32500000000005</v>
      </c>
      <c r="AD42" s="93">
        <f>'YOY Orders'!$F5</f>
        <v>117.5</v>
      </c>
      <c r="AE42" s="57">
        <f>IF(AD42&gt;0,AC42/AD42-1,1)</f>
        <v>5.19</v>
      </c>
      <c r="AF42" s="99">
        <f>Serviceorderfile_Current!$W401</f>
        <v>34.075000000000003</v>
      </c>
      <c r="AG42" s="93">
        <f>Serviceorderfile_PREVIOUS!$W401</f>
        <v>11.75</v>
      </c>
      <c r="AH42" s="57">
        <f>IF(AG42&gt;0,AF42/AG42-1,1)</f>
        <v>1.9000000000000004</v>
      </c>
      <c r="AI42" s="93">
        <f>'YOY Orders'!$M5</f>
        <v>110.45</v>
      </c>
      <c r="AJ42" s="93">
        <f>'YOY Orders'!$E5</f>
        <v>79.900000000000006</v>
      </c>
      <c r="AK42" s="57">
        <f>IF(AJ42&gt;0,AI42/AJ42-1,1)</f>
        <v>0.38235294117647056</v>
      </c>
      <c r="AL42" s="116">
        <f t="shared" si="54"/>
        <v>3375.7749999999996</v>
      </c>
      <c r="AM42" s="56">
        <f t="shared" si="55"/>
        <v>2471.0250000000001</v>
      </c>
      <c r="AN42" s="57">
        <f>IF(AM42&gt;0,AL42/AM42-1,1)</f>
        <v>0.36614360437470261</v>
      </c>
      <c r="AO42" s="116">
        <f t="shared" si="165"/>
        <v>6688.0999999999995</v>
      </c>
      <c r="AP42" s="56">
        <f t="shared" si="166"/>
        <v>4460.3</v>
      </c>
      <c r="AQ42" s="57">
        <f>IF(AP42&gt;0,AO42/AP42-1,1)</f>
        <v>0.49947312961011581</v>
      </c>
      <c r="AR42" s="72"/>
      <c r="AS42" s="110" t="s">
        <v>6</v>
      </c>
      <c r="AT42" s="99">
        <f>Serviceorderfile_Current!$I403*Serviceorderfile_Current!$U403</f>
        <v>197.4</v>
      </c>
      <c r="AU42" s="93">
        <f>Serviceorderfile_PREVIOUS!$I403*Serviceorderfile_PREVIOUS!$U403</f>
        <v>129.25</v>
      </c>
      <c r="AV42" s="57">
        <f>IF(AU42&gt;0,AT42/AU42-1,1)</f>
        <v>0.52727272727272734</v>
      </c>
      <c r="AW42" s="78">
        <f>AT42/B42</f>
        <v>0.51533742331288346</v>
      </c>
      <c r="AX42" s="75">
        <f>AU42/C42</f>
        <v>0.70967741935483875</v>
      </c>
      <c r="AY42" s="119">
        <f>(AW42-AX42)*100</f>
        <v>-19.433999604195527</v>
      </c>
      <c r="AZ42" s="99">
        <f>Serviceorderfile_Current!$I405*Serviceorderfile_Current!$U405</f>
        <v>306.67500000000001</v>
      </c>
      <c r="BA42" s="93">
        <f>Serviceorderfile_PREVIOUS!$I405*Serviceorderfile_PREVIOUS!$U405</f>
        <v>186.82500000000002</v>
      </c>
      <c r="BB42" s="57">
        <f>IF(BA42&gt;0,AZ42/BA42-1,1)</f>
        <v>0.64150943396226401</v>
      </c>
      <c r="BC42" s="78">
        <f>AZ42/H42</f>
        <v>0.81055900621118016</v>
      </c>
      <c r="BD42" s="75">
        <f>BA42/I42</f>
        <v>0.85945945945945956</v>
      </c>
      <c r="BE42" s="119">
        <f>(BC42-BD42)*100</f>
        <v>-4.8900453248279412</v>
      </c>
      <c r="BF42" s="99">
        <f>Serviceorderfile_Current!$I404*Serviceorderfile_Current!$U404</f>
        <v>113.97500000000001</v>
      </c>
      <c r="BG42" s="93">
        <f>Serviceorderfile_PREVIOUS!$I404*Serviceorderfile_PREVIOUS!$U404</f>
        <v>171.55</v>
      </c>
      <c r="BH42" s="57">
        <f>IF(BG42&gt;0,BF42/BG42-1,1)</f>
        <v>-0.33561643835616439</v>
      </c>
      <c r="BI42" s="78">
        <f>BF42/N42</f>
        <v>0.18476190476190477</v>
      </c>
      <c r="BJ42" s="75">
        <f>BG42/O42</f>
        <v>0.35784313725490197</v>
      </c>
      <c r="BK42" s="119">
        <f>(BI42-BJ42)*100</f>
        <v>-17.308123249299719</v>
      </c>
      <c r="BL42" s="99">
        <f>Serviceorderfile_Current!$I406*Serviceorderfile_Current!$U406</f>
        <v>417.125</v>
      </c>
      <c r="BM42" s="93">
        <f>Serviceorderfile_PREVIOUS!$I406*Serviceorderfile_PREVIOUS!$U406</f>
        <v>526.4</v>
      </c>
      <c r="BN42" s="57">
        <f>IF(BM42&gt;0,BL42/BM42-1,1)</f>
        <v>-0.2075892857142857</v>
      </c>
      <c r="BO42" s="78">
        <f>BL42/T42</f>
        <v>0.22947640594699417</v>
      </c>
      <c r="BP42" s="75">
        <f>BM42/U42</f>
        <v>0.34276970160673292</v>
      </c>
      <c r="BQ42" s="119">
        <f>(BO42-BP42)*100</f>
        <v>-11.329329565973875</v>
      </c>
      <c r="BR42" s="99">
        <f>Serviceorderfile_Current!$I407*Serviceorderfile_Current!$U407</f>
        <v>124.55000000000001</v>
      </c>
      <c r="BS42" s="93">
        <f>Serviceorderfile_PREVIOUS!$I407*Serviceorderfile_PREVIOUS!$U407</f>
        <v>32.9</v>
      </c>
      <c r="BT42" s="57">
        <f>IF(BS42&gt;0,BR42/BS42-1,1)</f>
        <v>2.785714285714286</v>
      </c>
      <c r="BU42" s="78">
        <f>BR42/Z42</f>
        <v>0.85483870967741937</v>
      </c>
      <c r="BV42" s="75">
        <f>BS42/AA42</f>
        <v>0.73684210526315785</v>
      </c>
      <c r="BW42" s="119">
        <f>(BU42-BV42)*100</f>
        <v>11.799660441426152</v>
      </c>
      <c r="BX42" s="99">
        <f>Serviceorderfile_Current!$I401*Serviceorderfile_Current!$U403</f>
        <v>21.150000000000002</v>
      </c>
      <c r="BY42" s="93">
        <f>Serviceorderfile_PREVIOUS!$I401*Serviceorderfile_PREVIOUS!$U403</f>
        <v>11.75</v>
      </c>
      <c r="BZ42" s="57">
        <f>IF(BY42&gt;0,BX42/BY42-1,1)</f>
        <v>0.80000000000000027</v>
      </c>
      <c r="CA42" s="78">
        <f>BX42/AF42</f>
        <v>0.62068965517241381</v>
      </c>
      <c r="CB42" s="75">
        <f>BY42/AG42</f>
        <v>1</v>
      </c>
      <c r="CC42" s="119">
        <f>(CA42-CB42)*100</f>
        <v>-37.931034482758619</v>
      </c>
      <c r="CD42" s="118">
        <f>AT42+BL42+BR42+BX42+BF42+AZ42</f>
        <v>1180.875</v>
      </c>
      <c r="CE42" s="77">
        <f>AU42+BM42+BS42+BY42+BG42+BA42</f>
        <v>1058.675</v>
      </c>
      <c r="CF42" s="57">
        <f>IF(CE42&gt;0,CD42/CE42-1,1)</f>
        <v>0.11542730299667037</v>
      </c>
      <c r="CG42" s="78">
        <f>CD42/AL42</f>
        <v>0.34980856247824577</v>
      </c>
      <c r="CH42" s="75">
        <f>CE42/AM42</f>
        <v>0.42843556823585349</v>
      </c>
      <c r="CI42" s="119">
        <f>(CG42-CH42)*100</f>
        <v>-7.8627005757607726</v>
      </c>
      <c r="CJ42" s="85"/>
      <c r="CK42" s="110" t="s">
        <v>6</v>
      </c>
      <c r="CL42" s="99">
        <f>Serviceorderfile_Current!$J403*Serviceorderfile_Current!$U403</f>
        <v>166.85</v>
      </c>
      <c r="CM42" s="93">
        <f>Serviceorderfile_PREVIOUS!$J403*Serviceorderfile_PREVIOUS!$U403</f>
        <v>52.875</v>
      </c>
      <c r="CN42" s="57">
        <f>IF(CM42&gt;0,CL42/CM42-1,1)</f>
        <v>2.1555555555555554</v>
      </c>
      <c r="CO42" s="99">
        <f>Serviceorderfile_Current!$J405*Serviceorderfile_Current!$U405</f>
        <v>71.674999999999997</v>
      </c>
      <c r="CP42" s="93">
        <f>Serviceorderfile_PREVIOUS!$J405*Serviceorderfile_PREVIOUS!$U405</f>
        <v>0</v>
      </c>
      <c r="CQ42" s="57">
        <f>IF(CP42&gt;0,CO42/CP42-1,1)</f>
        <v>1</v>
      </c>
      <c r="CR42" s="99">
        <f>Serviceorderfile_Current!$J404*Serviceorderfile_Current!$U404</f>
        <v>99.875</v>
      </c>
      <c r="CS42" s="93">
        <f>Serviceorderfile_PREVIOUS!$J404*Serviceorderfile_PREVIOUS!$U404</f>
        <v>97.525000000000006</v>
      </c>
      <c r="CT42" s="57">
        <f>IF(CS42&gt;0,CR42/CS42-1,1)</f>
        <v>2.409638554216853E-2</v>
      </c>
      <c r="CU42" s="99">
        <f>Serviceorderfile_Current!$J406*Serviceorderfile_Current!$U406</f>
        <v>385.40000000000003</v>
      </c>
      <c r="CV42" s="93">
        <f>Serviceorderfile_PREVIOUS!$J406*Serviceorderfile_PREVIOUS!$U406</f>
        <v>285.52500000000003</v>
      </c>
      <c r="CW42" s="57">
        <f>IF(CV42&gt;0,CU42/CV42-1,1)</f>
        <v>0.34979423868312742</v>
      </c>
      <c r="CX42" s="99">
        <f>Serviceorderfile_Current!$J407*Serviceorderfile_Current!$U407</f>
        <v>14.100000000000001</v>
      </c>
      <c r="CY42" s="93">
        <f>Serviceorderfile_PREVIOUS!$J407*Serviceorderfile_PREVIOUS!$U407</f>
        <v>11.75</v>
      </c>
      <c r="CZ42" s="57">
        <f>IF(CY42&gt;0,CX42/CY42-1,1)</f>
        <v>0.20000000000000018</v>
      </c>
      <c r="DA42" s="99">
        <f>Serviceorderfile_Current!$J401*Serviceorderfile_Current!$U403</f>
        <v>8.2249999999999996</v>
      </c>
      <c r="DB42" s="93">
        <f>Serviceorderfile_PREVIOUS!$J401*Serviceorderfile_PREVIOUS!$U403</f>
        <v>0</v>
      </c>
      <c r="DC42" s="57">
        <f>IF(DB42&gt;0,DA42/DB42-1,1)</f>
        <v>1</v>
      </c>
      <c r="DD42" s="118">
        <f t="shared" si="167"/>
        <v>746.125</v>
      </c>
      <c r="DE42" s="77">
        <f t="shared" si="168"/>
        <v>447.67500000000007</v>
      </c>
      <c r="DF42" s="57">
        <f>IF(DE42&gt;0,DD42/DE42-1,1)</f>
        <v>0.66666666666666652</v>
      </c>
      <c r="DG42" s="86"/>
      <c r="DH42" s="110" t="s">
        <v>6</v>
      </c>
      <c r="DI42" s="99">
        <f>Serviceorderfile_Current!$K403*Serviceorderfile_Current!$U403</f>
        <v>0</v>
      </c>
      <c r="DJ42" s="93">
        <f>Serviceorderfile_PREVIOUS!$K403*Serviceorderfile_PREVIOUS!$U403</f>
        <v>0</v>
      </c>
      <c r="DK42" s="57">
        <f>IF(DJ42&gt;0,DI42/DJ42-1,1)</f>
        <v>1</v>
      </c>
      <c r="DL42" s="99">
        <f>Serviceorderfile_Current!$K405*Serviceorderfile_Current!$U405</f>
        <v>0</v>
      </c>
      <c r="DM42" s="93">
        <f>Serviceorderfile_PREVIOUS!$K405*Serviceorderfile_PREVIOUS!$U405</f>
        <v>21.150000000000002</v>
      </c>
      <c r="DN42" s="57">
        <f>IF(DM42&gt;0,DL42/DM42-1,1)</f>
        <v>-1</v>
      </c>
      <c r="DO42" s="99">
        <f>Serviceorderfile_Current!$K404*Serviceorderfile_Current!$U404</f>
        <v>94</v>
      </c>
      <c r="DP42" s="93">
        <f>Serviceorderfile_PREVIOUS!$K404*Serviceorderfile_PREVIOUS!$U404</f>
        <v>51.7</v>
      </c>
      <c r="DQ42" s="57">
        <f>IF(DP42&gt;0,DO42/DP42-1,1)</f>
        <v>0.81818181818181812</v>
      </c>
      <c r="DR42" s="99">
        <f>Serviceorderfile_Current!$K406*Serviceorderfile_Current!$U406</f>
        <v>203.27500000000001</v>
      </c>
      <c r="DS42" s="93">
        <f>Serviceorderfile_PREVIOUS!$K406*Serviceorderfile_PREVIOUS!$U406</f>
        <v>91.65</v>
      </c>
      <c r="DT42" s="57">
        <f>IF(DS42&gt;0,DR42/DS42-1,1)</f>
        <v>1.2179487179487181</v>
      </c>
      <c r="DU42" s="99">
        <f>Serviceorderfile_Current!$K407*Serviceorderfile_Current!$U407</f>
        <v>7.0500000000000007</v>
      </c>
      <c r="DV42" s="93">
        <f>Serviceorderfile_PREVIOUS!$K407*Serviceorderfile_PREVIOUS!$U407</f>
        <v>0</v>
      </c>
      <c r="DW42" s="57">
        <f>IF(DV42&gt;0,DU42/DV42-1,1)</f>
        <v>1</v>
      </c>
      <c r="DX42" s="99">
        <f>Serviceorderfile_Current!$K401*Serviceorderfile_Current!$U403</f>
        <v>0</v>
      </c>
      <c r="DY42" s="93">
        <f>Serviceorderfile_PREVIOUS!$K401*Serviceorderfile_PREVIOUS!$U403</f>
        <v>0</v>
      </c>
      <c r="DZ42" s="57">
        <f>IF(DY42&gt;0,DX42/DY42-1,1)</f>
        <v>1</v>
      </c>
      <c r="EA42" s="118">
        <f t="shared" si="169"/>
        <v>304.32499999999999</v>
      </c>
      <c r="EB42" s="77">
        <f t="shared" si="170"/>
        <v>164.5</v>
      </c>
      <c r="EC42" s="57">
        <f>IF(EB42&gt;0,EA42/EB42-1,1)</f>
        <v>0.84999999999999987</v>
      </c>
      <c r="ED42" s="94"/>
      <c r="EE42" s="124" t="s">
        <v>6</v>
      </c>
      <c r="EF42" s="76">
        <f>Serviceorderfile_Current!$V400</f>
        <v>1</v>
      </c>
      <c r="EG42" s="57">
        <f>Aged!E25</f>
        <v>0.83</v>
      </c>
      <c r="EH42" s="99">
        <f>Serviceorderfile_Current!$U395*Serviceorderfile_Current!$H395</f>
        <v>784.9</v>
      </c>
      <c r="EI42" s="93">
        <f>Serviceorderfile_PREVIOUS!$U395*Serviceorderfile_PREVIOUS!$H395</f>
        <v>605.125</v>
      </c>
      <c r="EJ42" s="57">
        <f>IF(EI42&gt;0,EH42/EI42-1,1)</f>
        <v>0.29708737864077661</v>
      </c>
      <c r="EK42" s="99">
        <f>Serviceorderfile_Current!$U397*Serviceorderfile_Current!$H397</f>
        <v>723.80000000000007</v>
      </c>
      <c r="EL42" s="93">
        <f>Serviceorderfile_PREVIOUS!$U397*Serviceorderfile_PREVIOUS!$H397</f>
        <v>1111.55</v>
      </c>
      <c r="EM42" s="57">
        <f>IF(EL42&gt;0,EK42/EL42-1,1)</f>
        <v>-0.34883720930232553</v>
      </c>
      <c r="EN42" s="99">
        <f>Serviceorderfile_Current!$U396*Serviceorderfile_Current!$H396</f>
        <v>2500.4</v>
      </c>
      <c r="EO42" s="93">
        <f>Serviceorderfile_PREVIOUS!$U396*Serviceorderfile_PREVIOUS!$H396</f>
        <v>522.875</v>
      </c>
      <c r="EP42" s="57">
        <f>IF(EO42&gt;0,EN42/EO42-1,1)</f>
        <v>3.7820224719101123</v>
      </c>
      <c r="EQ42" s="99">
        <f>Serviceorderfile_Current!$U398*Serviceorderfile_Current!$H398</f>
        <v>417.125</v>
      </c>
      <c r="ER42" s="93">
        <f>Serviceorderfile_PREVIOUS!$U398*Serviceorderfile_PREVIOUS!$H398</f>
        <v>346.625</v>
      </c>
      <c r="ES42" s="57">
        <f>IF(ER42&gt;0,EQ42/ER42-1,1)</f>
        <v>0.20338983050847448</v>
      </c>
      <c r="ET42" s="99">
        <f>Serviceorderfile_Current!$U399*Serviceorderfile_Current!$H399</f>
        <v>0</v>
      </c>
      <c r="EU42" s="93">
        <f>Serviceorderfile_PREVIOUS!$U399*Serviceorderfile_PREVIOUS!$H399</f>
        <v>0</v>
      </c>
      <c r="EV42" s="57">
        <f>IF(EU42&gt;0,ET42/EU42-1,1)</f>
        <v>1</v>
      </c>
      <c r="EW42" s="84"/>
      <c r="EX42" s="76">
        <f>Serviceorderfile_Current!$V393</f>
        <v>0.9963503649635036</v>
      </c>
      <c r="EY42" s="47">
        <f>Aged!E78</f>
        <v>0.87</v>
      </c>
      <c r="EZ42" s="99">
        <f>Serviceorderfile_Current!$U393*Serviceorderfile_Current!$H393</f>
        <v>321.95</v>
      </c>
      <c r="FA42" s="93">
        <f>Serviceorderfile_PREVIOUS!$U393*Serviceorderfile_PREVIOUS!$H393</f>
        <v>205.625</v>
      </c>
      <c r="FB42" s="57">
        <f>IF(FA42&gt;0,EZ42/FA42-1,1)</f>
        <v>0.56571428571428561</v>
      </c>
      <c r="FC42" s="84"/>
      <c r="FD42" s="118">
        <f t="shared" si="66"/>
        <v>4748.1750000000002</v>
      </c>
      <c r="FE42" s="77">
        <f t="shared" si="67"/>
        <v>2791.8</v>
      </c>
      <c r="FF42" s="57">
        <f>IF(FE42&gt;0,FD42/FE42-1,1)</f>
        <v>0.70075757575757569</v>
      </c>
      <c r="FG42" s="94"/>
      <c r="FH42" s="84"/>
      <c r="FI42" s="84"/>
      <c r="FJ42" s="84"/>
      <c r="FK42" s="84"/>
      <c r="FL42" s="84"/>
      <c r="FM42" s="84"/>
      <c r="FN42" s="84"/>
      <c r="FO42" s="84"/>
      <c r="FP42" s="84"/>
      <c r="FQ42" s="84"/>
      <c r="FR42" s="84"/>
      <c r="FS42" s="84"/>
      <c r="FT42" s="84"/>
      <c r="FU42" s="84"/>
      <c r="FV42" s="84"/>
      <c r="FW42" s="84"/>
      <c r="FX42" s="84"/>
    </row>
    <row r="43" spans="1:180" s="63" customFormat="1" ht="12" customHeight="1" x14ac:dyDescent="0.25">
      <c r="A43" s="110" t="s">
        <v>30</v>
      </c>
      <c r="B43" s="99">
        <f>Serviceorderfile_Current!$W437</f>
        <v>728.76836489309994</v>
      </c>
      <c r="C43" s="93">
        <f>Serviceorderfile_PREVIOUS!$W437</f>
        <v>446.54309449559997</v>
      </c>
      <c r="D43" s="57">
        <f>IF(C43&gt;0,B43/C43-1,1)</f>
        <v>0.6320224719101124</v>
      </c>
      <c r="E43" s="93">
        <f>'YOY Orders'!$J34</f>
        <v>1123.8837434495999</v>
      </c>
      <c r="F43" s="93">
        <f>'YOY Orders'!$B34</f>
        <v>637.20194383080002</v>
      </c>
      <c r="G43" s="57">
        <f>IF(F43&gt;0,E43/F43-1,1)</f>
        <v>0.76377952755905487</v>
      </c>
      <c r="H43" s="99">
        <f>Serviceorderfile_Current!$W439</f>
        <v>454.06910170619994</v>
      </c>
      <c r="I43" s="93">
        <f>Serviceorderfile_PREVIOUS!$W439</f>
        <v>334.90732087169999</v>
      </c>
      <c r="J43" s="57">
        <f>IF(I43&gt;0,H43/I43-1,1)</f>
        <v>0.35580524344569264</v>
      </c>
      <c r="K43" s="93">
        <f>'YOY Orders'!$K34</f>
        <v>242.08656527429997</v>
      </c>
      <c r="L43" s="93">
        <f>'YOY Orders'!$C34</f>
        <v>322.36397552069997</v>
      </c>
      <c r="M43" s="57">
        <f>IF(L43&gt;0,K43/L43-1,1)</f>
        <v>-0.24902723735408561</v>
      </c>
      <c r="N43" s="99">
        <f>Serviceorderfile_Current!$W438</f>
        <v>1327.0859381358</v>
      </c>
      <c r="O43" s="93">
        <f>Serviceorderfile_PREVIOUS!$W438</f>
        <v>1289.4559020827999</v>
      </c>
      <c r="P43" s="57">
        <f>IF(O43&gt;0,N43/O43-1,1)</f>
        <v>2.9182879377432025E-2</v>
      </c>
      <c r="Q43" s="93">
        <f>'YOY Orders'!$O34</f>
        <v>1455.0280607159998</v>
      </c>
      <c r="R43" s="93">
        <f>'YOY Orders'!$G34</f>
        <v>1547.8488163134</v>
      </c>
      <c r="S43" s="57">
        <f>IF(R43&gt;0,Q43/R43-1,1)</f>
        <v>-5.9967585089141129E-2</v>
      </c>
      <c r="T43" s="99">
        <f>Serviceorderfile_Current!$W440</f>
        <v>3502.1020219991997</v>
      </c>
      <c r="U43" s="93">
        <f>Serviceorderfile_PREVIOUS!$W440</f>
        <v>3334.0211942957999</v>
      </c>
      <c r="V43" s="57">
        <f>IF(U43&gt;0,T43/U43-1,1)</f>
        <v>5.0413844996237689E-2</v>
      </c>
      <c r="W43" s="93">
        <f>'YOY Orders'!$L34</f>
        <v>1307.0165855742</v>
      </c>
      <c r="X43" s="93">
        <f>'YOY Orders'!$D34</f>
        <v>707.4446777963999</v>
      </c>
      <c r="Y43" s="57">
        <f>IF(X43&gt;0,W43/X43-1,1)</f>
        <v>0.84751773049645407</v>
      </c>
      <c r="Z43" s="99">
        <f>Serviceorderfile_Current!$W441</f>
        <v>308.56629563460001</v>
      </c>
      <c r="AA43" s="93">
        <f>Serviceorderfile_PREVIOUS!$W441</f>
        <v>136.72246432589998</v>
      </c>
      <c r="AB43" s="57">
        <f>IF(AA43&gt;0,Z43/AA43-1,1)</f>
        <v>1.2568807339449544</v>
      </c>
      <c r="AC43" s="93">
        <f>'YOY Orders'!$N34</f>
        <v>297.27728481869997</v>
      </c>
      <c r="AD43" s="93">
        <f>'YOY Orders'!$F34</f>
        <v>195.67618747559999</v>
      </c>
      <c r="AE43" s="57">
        <f>IF(AD43&gt;0,AC43/AD43-1,1)</f>
        <v>0.51923076923076916</v>
      </c>
      <c r="AF43" s="99">
        <f>Serviceorderfile_Current!$W435</f>
        <v>66.479730360299996</v>
      </c>
      <c r="AG43" s="93">
        <f>Serviceorderfile_PREVIOUS!$W435</f>
        <v>28.849694307299998</v>
      </c>
      <c r="AH43" s="57">
        <f>IF(AG43&gt;0,AF43/AG43-1,1)</f>
        <v>1.3043478260869565</v>
      </c>
      <c r="AI43" s="93">
        <f>'YOY Orders'!$M34</f>
        <v>107.87277001859999</v>
      </c>
      <c r="AJ43" s="93">
        <f>'YOY Orders'!$E34</f>
        <v>87.803417456999995</v>
      </c>
      <c r="AK43" s="57">
        <f>IF(AJ43&gt;0,AI43/AJ43-1,1)</f>
        <v>0.22857142857142865</v>
      </c>
      <c r="AL43" s="116">
        <f t="shared" si="54"/>
        <v>6387.0714527291984</v>
      </c>
      <c r="AM43" s="56">
        <f t="shared" si="55"/>
        <v>5570.4996703791003</v>
      </c>
      <c r="AN43" s="57">
        <f>IF(AM43&gt;0,AL43/AM43-1,1)</f>
        <v>0.1465886061697812</v>
      </c>
      <c r="AO43" s="116">
        <f t="shared" si="165"/>
        <v>4533.1650098513992</v>
      </c>
      <c r="AP43" s="56">
        <f t="shared" si="166"/>
        <v>3498.3390183939</v>
      </c>
      <c r="AQ43" s="57">
        <f>IF(AP43&gt;0,AO43/AP43-1,1)</f>
        <v>0.29580494801003931</v>
      </c>
      <c r="AR43" s="72"/>
      <c r="AS43" s="110" t="s">
        <v>30</v>
      </c>
      <c r="AT43" s="99">
        <f>Serviceorderfile_Current!$I437*Serviceorderfile_Current!$U437</f>
        <v>153.02881328219999</v>
      </c>
      <c r="AU43" s="93">
        <f>Serviceorderfile_PREVIOUS!$I437*Serviceorderfile_PREVIOUS!$U437</f>
        <v>189.4045148001</v>
      </c>
      <c r="AV43" s="57">
        <f>IF(AU43&gt;0,AT43/AU43-1,1)</f>
        <v>-0.19205298013245042</v>
      </c>
      <c r="AW43" s="78">
        <f>AT43/B43</f>
        <v>0.20998278829604131</v>
      </c>
      <c r="AX43" s="75">
        <f>AU43/C43</f>
        <v>0.42415730337078655</v>
      </c>
      <c r="AY43" s="119">
        <f>(AW43-AX43)*100</f>
        <v>-21.417451507474524</v>
      </c>
      <c r="AZ43" s="99">
        <f>Serviceorderfile_Current!$I439*Serviceorderfile_Current!$U439</f>
        <v>86.549082921899995</v>
      </c>
      <c r="BA43" s="93">
        <f>Serviceorderfile_PREVIOUS!$I439*Serviceorderfile_PREVIOUS!$U439</f>
        <v>77.768741176199995</v>
      </c>
      <c r="BB43" s="57">
        <f>IF(BA43&gt;0,AZ43/BA43-1,1)</f>
        <v>0.11290322580645151</v>
      </c>
      <c r="BC43" s="78">
        <f>AZ43/H43</f>
        <v>0.19060773480662985</v>
      </c>
      <c r="BD43" s="75">
        <f>BA43/I43</f>
        <v>0.23220973782771534</v>
      </c>
      <c r="BE43" s="119">
        <f>(BC43-BD43)*100</f>
        <v>-4.1602003021085494</v>
      </c>
      <c r="BF43" s="99">
        <f>Serviceorderfile_Current!$I438*Serviceorderfile_Current!$U438</f>
        <v>191.91318387029997</v>
      </c>
      <c r="BG43" s="93">
        <f>Serviceorderfile_PREVIOUS!$I438*Serviceorderfile_PREVIOUS!$U438</f>
        <v>339.92465901209999</v>
      </c>
      <c r="BH43" s="57">
        <f>IF(BG43&gt;0,BF43/BG43-1,1)</f>
        <v>-0.43542435424354253</v>
      </c>
      <c r="BI43" s="78">
        <f>BF43/N43</f>
        <v>0.14461247637051039</v>
      </c>
      <c r="BJ43" s="75">
        <f>BG43/O43</f>
        <v>0.26361867704280156</v>
      </c>
      <c r="BK43" s="119">
        <f>(BI43-BJ43)*100</f>
        <v>-11.900620067229116</v>
      </c>
      <c r="BL43" s="99">
        <f>Serviceorderfile_Current!$I440*Serviceorderfile_Current!$U440</f>
        <v>403.89572030219995</v>
      </c>
      <c r="BM43" s="93">
        <f>Serviceorderfile_PREVIOUS!$I440*Serviceorderfile_PREVIOUS!$U440</f>
        <v>906.88386887729996</v>
      </c>
      <c r="BN43" s="57">
        <f>IF(BM43&gt;0,BL43/BM43-1,1)</f>
        <v>-0.55463347164591981</v>
      </c>
      <c r="BO43" s="78">
        <f>BL43/T43</f>
        <v>0.1153295128939828</v>
      </c>
      <c r="BP43" s="75">
        <f>BM43/U43</f>
        <v>0.27200902934537247</v>
      </c>
      <c r="BQ43" s="119">
        <f>(BO43-BP43)*100</f>
        <v>-15.667951645138967</v>
      </c>
      <c r="BR43" s="99">
        <f>Serviceorderfile_Current!$I441*Serviceorderfile_Current!$U441</f>
        <v>79.023075711299995</v>
      </c>
      <c r="BS43" s="93">
        <f>Serviceorderfile_PREVIOUS!$I441*Serviceorderfile_PREVIOUS!$U441</f>
        <v>80.277410246399995</v>
      </c>
      <c r="BT43" s="57">
        <f>IF(BS43&gt;0,BR43/BS43-1,1)</f>
        <v>-1.5625E-2</v>
      </c>
      <c r="BU43" s="78">
        <f>BR43/Z43</f>
        <v>0.25609756097560971</v>
      </c>
      <c r="BV43" s="75">
        <f>BS43/AA43</f>
        <v>0.58715596330275233</v>
      </c>
      <c r="BW43" s="119">
        <f>(BU43-BV43)*100</f>
        <v>-33.105840232714264</v>
      </c>
      <c r="BX43" s="99">
        <f>Serviceorderfile_Current!$I435*Serviceorderfile_Current!$U437</f>
        <v>15.052014421199999</v>
      </c>
      <c r="BY43" s="93">
        <f>Serviceorderfile_PREVIOUS!$I435*Serviceorderfile_PREVIOUS!$U437</f>
        <v>22.578021631799999</v>
      </c>
      <c r="BZ43" s="57">
        <f>IF(BY43&gt;0,BX43/BY43-1,1)</f>
        <v>-0.33333333333333337</v>
      </c>
      <c r="CA43" s="78">
        <f>BX43/AF43</f>
        <v>0.22641509433962265</v>
      </c>
      <c r="CB43" s="75">
        <f>BY43/AG43</f>
        <v>0.78260869565217395</v>
      </c>
      <c r="CC43" s="119">
        <f>(CA43-CB43)*100</f>
        <v>-55.619360131255121</v>
      </c>
      <c r="CD43" s="118">
        <f>AT43+BL43+BR43+BX43+BF43+AZ43</f>
        <v>929.4618905090997</v>
      </c>
      <c r="CE43" s="77">
        <f>AU43+BM43+BS43+BY43+BG43+BA43</f>
        <v>1616.8372157438998</v>
      </c>
      <c r="CF43" s="57">
        <f>IF(CE43&gt;0,CD43/CE43-1,1)</f>
        <v>-0.42513576415826237</v>
      </c>
      <c r="CG43" s="78">
        <f>CD43/AL43</f>
        <v>0.14552238805970147</v>
      </c>
      <c r="CH43" s="75">
        <f>CE43/AM43</f>
        <v>0.29024994370637242</v>
      </c>
      <c r="CI43" s="119">
        <f>(CG43-CH43)*100</f>
        <v>-14.472755564667095</v>
      </c>
      <c r="CJ43" s="85"/>
      <c r="CK43" s="110" t="s">
        <v>30</v>
      </c>
      <c r="CL43" s="99">
        <f>Serviceorderfile_Current!$J437*Serviceorderfile_Current!$U437</f>
        <v>269.6819250465</v>
      </c>
      <c r="CM43" s="93">
        <f>Serviceorderfile_PREVIOUS!$J437*Serviceorderfile_PREVIOUS!$U437</f>
        <v>184.3871766597</v>
      </c>
      <c r="CN43" s="57">
        <f>IF(CM43&gt;0,CL43/CM43-1,1)</f>
        <v>0.46258503401360551</v>
      </c>
      <c r="CO43" s="99">
        <f>Serviceorderfile_Current!$J439*Serviceorderfile_Current!$U439</f>
        <v>120.41611536959999</v>
      </c>
      <c r="CP43" s="93">
        <f>Serviceorderfile_PREVIOUS!$J439*Serviceorderfile_PREVIOUS!$U439</f>
        <v>189.4045148001</v>
      </c>
      <c r="CQ43" s="57">
        <f>IF(CP43&gt;0,CO43/CP43-1,1)</f>
        <v>-0.36423841059602657</v>
      </c>
      <c r="CR43" s="99">
        <f>Serviceorderfile_Current!$J438*Serviceorderfile_Current!$U438</f>
        <v>239.5778962041</v>
      </c>
      <c r="CS43" s="93">
        <f>Serviceorderfile_PREVIOUS!$J438*Serviceorderfile_PREVIOUS!$U438</f>
        <v>240.83223073919999</v>
      </c>
      <c r="CT43" s="57">
        <f>IF(CS43&gt;0,CR43/CS43-1,1)</f>
        <v>-5.2083333333332593E-3</v>
      </c>
      <c r="CU43" s="99">
        <f>Serviceorderfile_Current!$J440*Serviceorderfile_Current!$U440</f>
        <v>957.05725028129996</v>
      </c>
      <c r="CV43" s="93">
        <f>Serviceorderfile_PREVIOUS!$J440*Serviceorderfile_PREVIOUS!$U440</f>
        <v>659.77996546259999</v>
      </c>
      <c r="CW43" s="57">
        <f>IF(CV43&gt;0,CU43/CV43-1,1)</f>
        <v>0.4505703422053231</v>
      </c>
      <c r="CX43" s="99">
        <f>Serviceorderfile_Current!$J441*Serviceorderfile_Current!$U441</f>
        <v>142.99413700139999</v>
      </c>
      <c r="CY43" s="93">
        <f>Serviceorderfile_PREVIOUS!$J441*Serviceorderfile_PREVIOUS!$U441</f>
        <v>25.086690701999999</v>
      </c>
      <c r="CZ43" s="57">
        <f>IF(CY43&gt;0,CX43/CY43-1,1)</f>
        <v>4.7</v>
      </c>
      <c r="DA43" s="99">
        <f>Serviceorderfile_Current!$J435*Serviceorderfile_Current!$U437</f>
        <v>8.7803417456999995</v>
      </c>
      <c r="DB43" s="93">
        <f>Serviceorderfile_PREVIOUS!$J435*Serviceorderfile_PREVIOUS!$U437</f>
        <v>5.0173381403999997</v>
      </c>
      <c r="DC43" s="57">
        <f>IF(DB43&gt;0,DA43/DB43-1,1)</f>
        <v>0.75</v>
      </c>
      <c r="DD43" s="118">
        <f t="shared" si="167"/>
        <v>1738.5076656486001</v>
      </c>
      <c r="DE43" s="77">
        <f t="shared" si="168"/>
        <v>1304.5079165039999</v>
      </c>
      <c r="DF43" s="57">
        <f>IF(DE43&gt;0,DD43/DE43-1,1)</f>
        <v>0.33269230769230784</v>
      </c>
      <c r="DG43" s="86"/>
      <c r="DH43" s="110" t="s">
        <v>30</v>
      </c>
      <c r="DI43" s="99">
        <f>Serviceorderfile_Current!$K437*Serviceorderfile_Current!$U437</f>
        <v>87.803417456999995</v>
      </c>
      <c r="DJ43" s="93">
        <f>Serviceorderfile_PREVIOUS!$K437*Serviceorderfile_PREVIOUS!$U437</f>
        <v>22.578021631799999</v>
      </c>
      <c r="DK43" s="57">
        <f>IF(DJ43&gt;0,DI43/DJ43-1,1)</f>
        <v>2.8888888888888888</v>
      </c>
      <c r="DL43" s="99">
        <f>Serviceorderfile_Current!$K439*Serviceorderfile_Current!$U439</f>
        <v>94.075090132499994</v>
      </c>
      <c r="DM43" s="93">
        <f>Serviceorderfile_PREVIOUS!$K439*Serviceorderfile_PREVIOUS!$U439</f>
        <v>0</v>
      </c>
      <c r="DN43" s="57">
        <f>IF(DM43&gt;0,DL43/DM43-1,1)</f>
        <v>1</v>
      </c>
      <c r="DO43" s="99">
        <f>Serviceorderfile_Current!$K438*Serviceorderfile_Current!$U438</f>
        <v>230.79755445839999</v>
      </c>
      <c r="DP43" s="93">
        <f>Serviceorderfile_PREVIOUS!$K438*Serviceorderfile_PREVIOUS!$U438</f>
        <v>171.84383130869998</v>
      </c>
      <c r="DQ43" s="57">
        <f>IF(DP43&gt;0,DO43/DP43-1,1)</f>
        <v>0.34306569343065707</v>
      </c>
      <c r="DR43" s="99">
        <f>Serviceorderfile_Current!$K440*Serviceorderfile_Current!$U440</f>
        <v>285.98827400279998</v>
      </c>
      <c r="DS43" s="93">
        <f>Serviceorderfile_PREVIOUS!$K440*Serviceorderfile_PREVIOUS!$U440</f>
        <v>188.15018026499999</v>
      </c>
      <c r="DT43" s="57">
        <f>IF(DS43&gt;0,DR43/DS43-1,1)</f>
        <v>0.52</v>
      </c>
      <c r="DU43" s="99">
        <f>Serviceorderfile_Current!$K441*Serviceorderfile_Current!$U441</f>
        <v>51.427715939099997</v>
      </c>
      <c r="DV43" s="93">
        <f>Serviceorderfile_PREVIOUS!$K441*Serviceorderfile_PREVIOUS!$U441</f>
        <v>0</v>
      </c>
      <c r="DW43" s="57">
        <f>IF(DV43&gt;0,DU43/DV43-1,1)</f>
        <v>1</v>
      </c>
      <c r="DX43" s="99">
        <f>Serviceorderfile_Current!$K435*Serviceorderfile_Current!$U437</f>
        <v>12.543345350999999</v>
      </c>
      <c r="DY43" s="93">
        <f>Serviceorderfile_PREVIOUS!$K435*Serviceorderfile_PREVIOUS!$U437</f>
        <v>1.2543345350999999</v>
      </c>
      <c r="DZ43" s="57">
        <f>IF(DY43&gt;0,DX43/DY43-1,1)</f>
        <v>9</v>
      </c>
      <c r="EA43" s="118">
        <f t="shared" si="169"/>
        <v>762.63539734079995</v>
      </c>
      <c r="EB43" s="77">
        <f t="shared" si="170"/>
        <v>383.82636774059995</v>
      </c>
      <c r="EC43" s="57">
        <f>IF(EB43&gt;0,EA43/EB43-1,1)</f>
        <v>0.98692810457516345</v>
      </c>
      <c r="ED43" s="94"/>
      <c r="EE43" s="124" t="s">
        <v>30</v>
      </c>
      <c r="EF43" s="76">
        <f>Serviceorderfile_Current!$V434</f>
        <v>0.9570539835440498</v>
      </c>
      <c r="EG43" s="57">
        <f>Aged!E27</f>
        <v>0.77</v>
      </c>
      <c r="EH43" s="99">
        <f>Serviceorderfile_Current!$U429*Serviceorderfile_Current!$H429</f>
        <v>832.87813130639995</v>
      </c>
      <c r="EI43" s="93">
        <f>Serviceorderfile_PREVIOUS!$U429*Serviceorderfile_PREVIOUS!$H429</f>
        <v>1138.9357578708</v>
      </c>
      <c r="EJ43" s="57">
        <f>IF(EI43&gt;0,EH43/EI43-1,1)</f>
        <v>-0.26872246696035251</v>
      </c>
      <c r="EK43" s="99">
        <f>Serviceorderfile_Current!$U431*Serviceorderfile_Current!$H431</f>
        <v>982.1439409832999</v>
      </c>
      <c r="EL43" s="93">
        <f>Serviceorderfile_PREVIOUS!$U431*Serviceorderfile_PREVIOUS!$H431</f>
        <v>1073.7103620456</v>
      </c>
      <c r="EM43" s="57">
        <f>IF(EL43&gt;0,EK43/EL43-1,1)</f>
        <v>-8.5280373831775891E-2</v>
      </c>
      <c r="EN43" s="99">
        <f>Serviceorderfile_Current!$U430*Serviceorderfile_Current!$H430</f>
        <v>3834.5006738006996</v>
      </c>
      <c r="EO43" s="93">
        <f>Serviceorderfile_PREVIOUS!$U430*Serviceorderfile_PREVIOUS!$H430</f>
        <v>3232.4200969526996</v>
      </c>
      <c r="EP43" s="57">
        <f>IF(EO43&gt;0,EN43/EO43-1,1)</f>
        <v>0.18626309662398133</v>
      </c>
      <c r="EQ43" s="99">
        <f>Serviceorderfile_Current!$U432*Serviceorderfile_Current!$H432</f>
        <v>600.82624231289992</v>
      </c>
      <c r="ER43" s="93">
        <f>Serviceorderfile_PREVIOUS!$U432*Serviceorderfile_PREVIOUS!$H432</f>
        <v>303.54895749419995</v>
      </c>
      <c r="ES43" s="57">
        <f>IF(ER43&gt;0,EQ43/ER43-1,1)</f>
        <v>0.97933884297520657</v>
      </c>
      <c r="ET43" s="99">
        <f>Serviceorderfile_Current!$U433*Serviceorderfile_Current!$H433</f>
        <v>17.560683491399999</v>
      </c>
      <c r="EU43" s="93">
        <f>Serviceorderfile_PREVIOUS!$U433*Serviceorderfile_PREVIOUS!$H433</f>
        <v>0</v>
      </c>
      <c r="EV43" s="57">
        <f>IF(EU43&gt;0,ET43/EU43-1,1)</f>
        <v>1</v>
      </c>
      <c r="EW43" s="84"/>
      <c r="EX43" s="76">
        <f>Serviceorderfile_Current!$V427</f>
        <v>0.96894409937888204</v>
      </c>
      <c r="EY43" s="47">
        <f>Aged!E80</f>
        <v>0.37</v>
      </c>
      <c r="EZ43" s="99">
        <f>Serviceorderfile_Current!$U427*Serviceorderfile_Current!$H427</f>
        <v>201.94786015109997</v>
      </c>
      <c r="FA43" s="93">
        <f>Serviceorderfile_PREVIOUS!$U427*Serviceorderfile_PREVIOUS!$H427</f>
        <v>410.16739297769999</v>
      </c>
      <c r="FB43" s="57">
        <f>IF(FA43&gt;0,EZ43/FA43-1,1)</f>
        <v>-0.50764525993883791</v>
      </c>
      <c r="FC43" s="84"/>
      <c r="FD43" s="118">
        <f t="shared" si="66"/>
        <v>6469.8575320457994</v>
      </c>
      <c r="FE43" s="77">
        <f t="shared" si="67"/>
        <v>6158.7825673409989</v>
      </c>
      <c r="FF43" s="57">
        <f>IF(FE43&gt;0,FD43/FE43-1,1)</f>
        <v>5.0509164969450238E-2</v>
      </c>
      <c r="FG43" s="94"/>
      <c r="FH43" s="84"/>
      <c r="FI43" s="84"/>
      <c r="FJ43" s="84"/>
      <c r="FK43" s="84"/>
      <c r="FL43" s="84"/>
      <c r="FM43" s="84"/>
      <c r="FN43" s="84"/>
      <c r="FO43" s="84"/>
      <c r="FP43" s="84"/>
      <c r="FQ43" s="84"/>
      <c r="FR43" s="84"/>
      <c r="FS43" s="84"/>
      <c r="FT43" s="84"/>
      <c r="FU43" s="84"/>
      <c r="FV43" s="84"/>
      <c r="FW43" s="84"/>
      <c r="FX43" s="84"/>
    </row>
    <row r="44" spans="1:180" s="63" customFormat="1" ht="12" customHeight="1" x14ac:dyDescent="0.25">
      <c r="A44" s="110" t="s">
        <v>4</v>
      </c>
      <c r="B44" s="99">
        <f>Serviceorderfile_Current!$W29</f>
        <v>676.80000000000007</v>
      </c>
      <c r="C44" s="93">
        <f>Serviceorderfile_PREVIOUS!$W29</f>
        <v>413.6</v>
      </c>
      <c r="D44" s="57">
        <f t="shared" si="152"/>
        <v>0.63636363636363646</v>
      </c>
      <c r="E44" s="99">
        <f>'YOY Orders'!$J26</f>
        <v>1211.425</v>
      </c>
      <c r="F44" s="93">
        <f>'YOY Orders'!$B26</f>
        <v>507.6</v>
      </c>
      <c r="G44" s="57">
        <f t="shared" si="171"/>
        <v>1.386574074074074</v>
      </c>
      <c r="H44" s="99">
        <f>Serviceorderfile_Current!$W31</f>
        <v>586.32500000000005</v>
      </c>
      <c r="I44" s="93">
        <f>Serviceorderfile_PREVIOUS!$W31</f>
        <v>145.70000000000002</v>
      </c>
      <c r="J44" s="57">
        <f t="shared" si="2"/>
        <v>3.024193548387097</v>
      </c>
      <c r="K44" s="99">
        <f>'YOY Orders'!$K26</f>
        <v>679.15</v>
      </c>
      <c r="L44" s="93">
        <f>'YOY Orders'!$C26</f>
        <v>312.55</v>
      </c>
      <c r="M44" s="57">
        <f t="shared" ref="M44:M50" si="258">IF(L44&gt;0,K44/L44-1,1)</f>
        <v>1.1729323308270674</v>
      </c>
      <c r="N44" s="99">
        <f>Serviceorderfile_Current!$W30</f>
        <v>1183.2250000000001</v>
      </c>
      <c r="O44" s="93">
        <f>Serviceorderfile_PREVIOUS!$W30</f>
        <v>737.9</v>
      </c>
      <c r="P44" s="57">
        <f t="shared" si="4"/>
        <v>0.60350318471337605</v>
      </c>
      <c r="Q44" s="99">
        <f>'YOY Orders'!$O26</f>
        <v>1365.3500000000001</v>
      </c>
      <c r="R44" s="93">
        <f>'YOY Orders'!$G26</f>
        <v>843.65</v>
      </c>
      <c r="S44" s="57">
        <f t="shared" ref="S44:S50" si="259">IF(R44&gt;0,Q44/R44-1,1)</f>
        <v>0.61838440111420634</v>
      </c>
      <c r="T44" s="99">
        <f>Serviceorderfile_Current!$W32</f>
        <v>1116.25</v>
      </c>
      <c r="U44" s="93">
        <f>Serviceorderfile_PREVIOUS!$W32</f>
        <v>883.6</v>
      </c>
      <c r="V44" s="57">
        <f t="shared" si="6"/>
        <v>0.26329787234042556</v>
      </c>
      <c r="W44" s="99">
        <f>'YOY Orders'!$L26</f>
        <v>1158.55</v>
      </c>
      <c r="X44" s="93">
        <f>'YOY Orders'!$D26</f>
        <v>679.15</v>
      </c>
      <c r="Y44" s="57">
        <f t="shared" ref="Y44:Y50" si="260">IF(X44&gt;0,W44/X44-1,1)</f>
        <v>0.70588235294117641</v>
      </c>
      <c r="Z44" s="99">
        <f>Serviceorderfile_Current!$W33</f>
        <v>72.850000000000009</v>
      </c>
      <c r="AA44" s="93">
        <f>Serviceorderfile_PREVIOUS!$W33</f>
        <v>12.925000000000001</v>
      </c>
      <c r="AB44" s="57">
        <f t="shared" si="8"/>
        <v>4.6363636363636367</v>
      </c>
      <c r="AC44" s="99">
        <f>'YOY Orders'!$N26</f>
        <v>171.55</v>
      </c>
      <c r="AD44" s="93">
        <f>'YOY Orders'!$F26</f>
        <v>68.150000000000006</v>
      </c>
      <c r="AE44" s="57">
        <f t="shared" ref="AE44:AE50" si="261">IF(AD44&gt;0,AC44/AD44-1,1)</f>
        <v>1.5172413793103448</v>
      </c>
      <c r="AF44" s="99">
        <f>Serviceorderfile_Current!$W27</f>
        <v>55.225000000000001</v>
      </c>
      <c r="AG44" s="93">
        <f>Serviceorderfile_PREVIOUS!$W27</f>
        <v>1.175</v>
      </c>
      <c r="AH44" s="57">
        <f t="shared" si="10"/>
        <v>46</v>
      </c>
      <c r="AI44" s="99">
        <f>'YOY Orders'!$M26</f>
        <v>198.57500000000002</v>
      </c>
      <c r="AJ44" s="93">
        <f>'YOY Orders'!$E26</f>
        <v>153.92500000000001</v>
      </c>
      <c r="AK44" s="57">
        <f t="shared" ref="AK44:AK50" si="262">IF(AJ44&gt;0,AI44/AJ44-1,1)</f>
        <v>0.29007633587786263</v>
      </c>
      <c r="AL44" s="116">
        <f t="shared" si="54"/>
        <v>3690.6750000000002</v>
      </c>
      <c r="AM44" s="56">
        <f t="shared" si="55"/>
        <v>2194.8999999999996</v>
      </c>
      <c r="AN44" s="57">
        <f t="shared" si="12"/>
        <v>0.68147751605995754</v>
      </c>
      <c r="AO44" s="116">
        <f t="shared" si="165"/>
        <v>4784.5999999999995</v>
      </c>
      <c r="AP44" s="56">
        <f t="shared" si="166"/>
        <v>2565.0250000000001</v>
      </c>
      <c r="AQ44" s="57">
        <f t="shared" ref="AQ44:AQ50" si="263">IF(AP44&gt;0,AO44/AP44-1,1)</f>
        <v>0.86532295006871252</v>
      </c>
      <c r="AR44" s="72"/>
      <c r="AS44" s="110" t="s">
        <v>4</v>
      </c>
      <c r="AT44" s="99">
        <f>Serviceorderfile_Current!$I29*Serviceorderfile_Current!$U29</f>
        <v>156.27500000000001</v>
      </c>
      <c r="AU44" s="93">
        <f>Serviceorderfile_PREVIOUS!$I29*Serviceorderfile_PREVIOUS!$U29</f>
        <v>276.125</v>
      </c>
      <c r="AV44" s="57">
        <f t="shared" ref="AV44:AV50" si="264">IF(AU44&gt;0,AT44/AU44-1,1)</f>
        <v>-0.43404255319148932</v>
      </c>
      <c r="AW44" s="78">
        <f t="shared" si="179"/>
        <v>0.23090277777777776</v>
      </c>
      <c r="AX44" s="75">
        <f t="shared" si="16"/>
        <v>0.66761363636363635</v>
      </c>
      <c r="AY44" s="119">
        <f t="shared" si="180"/>
        <v>-43.671085858585855</v>
      </c>
      <c r="AZ44" s="99">
        <f>Serviceorderfile_Current!$I31*Serviceorderfile_Current!$U31</f>
        <v>105.75</v>
      </c>
      <c r="BA44" s="93">
        <f>Serviceorderfile_PREVIOUS!$I31*Serviceorderfile_PREVIOUS!$U31</f>
        <v>79.900000000000006</v>
      </c>
      <c r="BB44" s="57">
        <f t="shared" ref="BB44:BB50" si="265">IF(BA44&gt;0,AZ44/BA44-1,1)</f>
        <v>0.32352941176470584</v>
      </c>
      <c r="BC44" s="78">
        <f t="shared" ref="BC44:BC50" si="266">AZ44/H44</f>
        <v>0.18036072144288576</v>
      </c>
      <c r="BD44" s="75">
        <f t="shared" ref="BD44:BD50" si="267">BA44/I44</f>
        <v>0.54838709677419351</v>
      </c>
      <c r="BE44" s="119">
        <f t="shared" ref="BE44:BE50" si="268">(BC44-BD44)*100</f>
        <v>-36.802637533130778</v>
      </c>
      <c r="BF44" s="99">
        <f>Serviceorderfile_Current!$I30*Serviceorderfile_Current!$U30</f>
        <v>230.3</v>
      </c>
      <c r="BG44" s="93">
        <f>Serviceorderfile_PREVIOUS!$I30*Serviceorderfile_PREVIOUS!$U30</f>
        <v>172.72499999999999</v>
      </c>
      <c r="BH44" s="57">
        <f t="shared" ref="BH44:BH50" si="269">IF(BG44&gt;0,BF44/BG44-1,1)</f>
        <v>0.33333333333333348</v>
      </c>
      <c r="BI44" s="78">
        <f t="shared" ref="BI44:BI50" si="270">BF44/N44</f>
        <v>0.19463753723932473</v>
      </c>
      <c r="BJ44" s="75">
        <f t="shared" ref="BJ44:BJ50" si="271">BG44/O44</f>
        <v>0.23407643312101911</v>
      </c>
      <c r="BK44" s="119">
        <f t="shared" ref="BK44:BK50" si="272">(BI44-BJ44)*100</f>
        <v>-3.9438895881694385</v>
      </c>
      <c r="BL44" s="99">
        <f>Serviceorderfile_Current!$I32*Serviceorderfile_Current!$U32</f>
        <v>164.5</v>
      </c>
      <c r="BM44" s="93">
        <f>Serviceorderfile_PREVIOUS!$I32*Serviceorderfile_PREVIOUS!$U32</f>
        <v>146.875</v>
      </c>
      <c r="BN44" s="57">
        <f t="shared" ref="BN44:BN50" si="273">IF(BM44&gt;0,BL44/BM44-1,1)</f>
        <v>0.12000000000000011</v>
      </c>
      <c r="BO44" s="78">
        <f t="shared" ref="BO44:BO50" si="274">BL44/T44</f>
        <v>0.14736842105263157</v>
      </c>
      <c r="BP44" s="75">
        <f t="shared" ref="BP44:BP50" si="275">BM44/U44</f>
        <v>0.16622340425531915</v>
      </c>
      <c r="BQ44" s="119">
        <f t="shared" ref="BQ44:BQ50" si="276">(BO44-BP44)*100</f>
        <v>-1.8854983202687581</v>
      </c>
      <c r="BR44" s="99">
        <f>Serviceorderfile_Current!$I33*Serviceorderfile_Current!$U33</f>
        <v>30.55</v>
      </c>
      <c r="BS44" s="93">
        <f>Serviceorderfile_PREVIOUS!$I33*Serviceorderfile_PREVIOUS!$U33</f>
        <v>12.925000000000001</v>
      </c>
      <c r="BT44" s="57">
        <f t="shared" ref="BT44:BT50" si="277">IF(BS44&gt;0,BR44/BS44-1,1)</f>
        <v>1.3636363636363638</v>
      </c>
      <c r="BU44" s="78">
        <f t="shared" ref="BU44:BU50" si="278">BR44/Z44</f>
        <v>0.41935483870967738</v>
      </c>
      <c r="BV44" s="75">
        <f t="shared" ref="BV44:BV50" si="279">BS44/AA44</f>
        <v>1</v>
      </c>
      <c r="BW44" s="119">
        <f t="shared" ref="BW44:BW50" si="280">(BU44-BV44)*100</f>
        <v>-58.064516129032263</v>
      </c>
      <c r="BX44" s="99">
        <f>Serviceorderfile_Current!$I27*Serviceorderfile_Current!$U29</f>
        <v>47</v>
      </c>
      <c r="BY44" s="93">
        <f>Serviceorderfile_PREVIOUS!$I27*Serviceorderfile_PREVIOUS!$U29</f>
        <v>1.175</v>
      </c>
      <c r="BZ44" s="57">
        <f t="shared" ref="BZ44:BZ50" si="281">IF(BY44&gt;0,BX44/BY44-1,1)</f>
        <v>39</v>
      </c>
      <c r="CA44" s="78">
        <f t="shared" ref="CA44:CA50" si="282">BX44/AF44</f>
        <v>0.85106382978723405</v>
      </c>
      <c r="CB44" s="75">
        <f t="shared" ref="CB44:CB50" si="283">BY44/AG44</f>
        <v>1</v>
      </c>
      <c r="CC44" s="119">
        <f t="shared" ref="CC44:CC50" si="284">(CA44-CB44)*100</f>
        <v>-14.893617021276595</v>
      </c>
      <c r="CD44" s="118">
        <f t="shared" si="201"/>
        <v>734.375</v>
      </c>
      <c r="CE44" s="77">
        <f t="shared" si="202"/>
        <v>689.72500000000002</v>
      </c>
      <c r="CF44" s="57">
        <f t="shared" si="203"/>
        <v>6.4735945485519641E-2</v>
      </c>
      <c r="CG44" s="78">
        <f t="shared" si="204"/>
        <v>0.19898121617319325</v>
      </c>
      <c r="CH44" s="75">
        <f t="shared" si="154"/>
        <v>0.31423982869379019</v>
      </c>
      <c r="CI44" s="119">
        <f t="shared" si="205"/>
        <v>-11.525861252059693</v>
      </c>
      <c r="CJ44" s="85"/>
      <c r="CK44" s="110" t="s">
        <v>4</v>
      </c>
      <c r="CL44" s="99">
        <f>Serviceorderfile_Current!$J29*Serviceorderfile_Current!$U29</f>
        <v>509.95000000000005</v>
      </c>
      <c r="CM44" s="93">
        <f>Serviceorderfile_PREVIOUS!$J29*Serviceorderfile_PREVIOUS!$U29</f>
        <v>131.6</v>
      </c>
      <c r="CN44" s="57">
        <f t="shared" ref="CN44:CN50" si="285">IF(CM44&gt;0,CL44/CM44-1,1)</f>
        <v>2.8750000000000004</v>
      </c>
      <c r="CO44" s="99">
        <f>Serviceorderfile_Current!$J31*Serviceorderfile_Current!$U31</f>
        <v>298.45</v>
      </c>
      <c r="CP44" s="93">
        <f>Serviceorderfile_PREVIOUS!$J31*Serviceorderfile_PREVIOUS!$U31</f>
        <v>65.8</v>
      </c>
      <c r="CQ44" s="57">
        <f t="shared" ref="CQ44:CQ50" si="286">IF(CP44&gt;0,CO44/CP44-1,1)</f>
        <v>3.5357142857142856</v>
      </c>
      <c r="CR44" s="99">
        <f>Serviceorderfile_Current!$J30*Serviceorderfile_Current!$U30</f>
        <v>251.45000000000002</v>
      </c>
      <c r="CS44" s="93">
        <f>Serviceorderfile_PREVIOUS!$J30*Serviceorderfile_PREVIOUS!$U30</f>
        <v>102.22500000000001</v>
      </c>
      <c r="CT44" s="57">
        <f t="shared" ref="CT44:CT50" si="287">IF(CS44&gt;0,CR44/CS44-1,1)</f>
        <v>1.4597701149425286</v>
      </c>
      <c r="CU44" s="99">
        <f>Serviceorderfile_Current!$J32*Serviceorderfile_Current!$U32</f>
        <v>183.3</v>
      </c>
      <c r="CV44" s="93">
        <f>Serviceorderfile_PREVIOUS!$J32*Serviceorderfile_PREVIOUS!$U32</f>
        <v>95.174999999999997</v>
      </c>
      <c r="CW44" s="57">
        <f t="shared" ref="CW44:CW50" si="288">IF(CV44&gt;0,CU44/CV44-1,1)</f>
        <v>0.92592592592592604</v>
      </c>
      <c r="CX44" s="99">
        <f>Serviceorderfile_Current!$J33*Serviceorderfile_Current!$U33</f>
        <v>28.200000000000003</v>
      </c>
      <c r="CY44" s="93">
        <f>Serviceorderfile_PREVIOUS!$J33*Serviceorderfile_PREVIOUS!$U33</f>
        <v>0</v>
      </c>
      <c r="CZ44" s="57">
        <f t="shared" ref="CZ44:CZ50" si="289">IF(CY44&gt;0,CX44/CY44-1,1)</f>
        <v>1</v>
      </c>
      <c r="DA44" s="99">
        <f>Serviceorderfile_Current!$J27*Serviceorderfile_Current!$U29</f>
        <v>8.2249999999999996</v>
      </c>
      <c r="DB44" s="93">
        <f>Serviceorderfile_PREVIOUS!$J27*Serviceorderfile_PREVIOUS!$U29</f>
        <v>0</v>
      </c>
      <c r="DC44" s="57">
        <f t="shared" ref="DC44:DC50" si="290">IF(DB44&gt;0,DA44/DB44-1,1)</f>
        <v>1</v>
      </c>
      <c r="DD44" s="118">
        <f t="shared" si="167"/>
        <v>1279.575</v>
      </c>
      <c r="DE44" s="77">
        <f t="shared" si="168"/>
        <v>394.8</v>
      </c>
      <c r="DF44" s="57">
        <f t="shared" ref="DF44:DF50" si="291">IF(DE44&gt;0,DD44/DE44-1,1)</f>
        <v>2.2410714285714284</v>
      </c>
      <c r="DG44" s="86"/>
      <c r="DH44" s="110" t="s">
        <v>4</v>
      </c>
      <c r="DI44" s="99">
        <f>Serviceorderfile_Current!$K29*Serviceorderfile_Current!$U29</f>
        <v>0</v>
      </c>
      <c r="DJ44" s="93">
        <f>Serviceorderfile_PREVIOUS!$K29*Serviceorderfile_PREVIOUS!$U29</f>
        <v>3.5250000000000004</v>
      </c>
      <c r="DK44" s="57">
        <f t="shared" ref="DK44:DK50" si="292">IF(DJ44&gt;0,DI44/DJ44-1,1)</f>
        <v>-1</v>
      </c>
      <c r="DL44" s="99">
        <f>Serviceorderfile_Current!$K31*Serviceorderfile_Current!$U31</f>
        <v>108.10000000000001</v>
      </c>
      <c r="DM44" s="93">
        <f>Serviceorderfile_PREVIOUS!$K31*Serviceorderfile_PREVIOUS!$U31</f>
        <v>0</v>
      </c>
      <c r="DN44" s="57">
        <f t="shared" ref="DN44:DN50" si="293">IF(DM44&gt;0,DL44/DM44-1,1)</f>
        <v>1</v>
      </c>
      <c r="DO44" s="99">
        <f>Serviceorderfile_Current!$K30*Serviceorderfile_Current!$U30</f>
        <v>117.5</v>
      </c>
      <c r="DP44" s="93">
        <f>Serviceorderfile_PREVIOUS!$K30*Serviceorderfile_PREVIOUS!$U30</f>
        <v>98.7</v>
      </c>
      <c r="DQ44" s="57">
        <f t="shared" ref="DQ44:DQ50" si="294">IF(DP44&gt;0,DO44/DP44-1,1)</f>
        <v>0.19047619047619047</v>
      </c>
      <c r="DR44" s="99">
        <f>Serviceorderfile_Current!$K32*Serviceorderfile_Current!$U32</f>
        <v>110.45</v>
      </c>
      <c r="DS44" s="93">
        <f>Serviceorderfile_PREVIOUS!$K32*Serviceorderfile_PREVIOUS!$U32</f>
        <v>69.325000000000003</v>
      </c>
      <c r="DT44" s="57">
        <f t="shared" ref="DT44:DT50" si="295">IF(DS44&gt;0,DR44/DS44-1,1)</f>
        <v>0.59322033898305082</v>
      </c>
      <c r="DU44" s="99">
        <f>Serviceorderfile_Current!$K33*Serviceorderfile_Current!$U33</f>
        <v>10.575000000000001</v>
      </c>
      <c r="DV44" s="93">
        <f>Serviceorderfile_PREVIOUS!$K33*Serviceorderfile_PREVIOUS!$U33</f>
        <v>0</v>
      </c>
      <c r="DW44" s="57">
        <f t="shared" ref="DW44:DW50" si="296">IF(DV44&gt;0,DU44/DV44-1,1)</f>
        <v>1</v>
      </c>
      <c r="DX44" s="99">
        <f>Serviceorderfile_Current!$K27*Serviceorderfile_Current!$U29</f>
        <v>0</v>
      </c>
      <c r="DY44" s="93">
        <f>Serviceorderfile_PREVIOUS!$K27*Serviceorderfile_PREVIOUS!$U29</f>
        <v>0</v>
      </c>
      <c r="DZ44" s="57">
        <f t="shared" ref="DZ44:DZ50" si="297">IF(DY44&gt;0,DX44/DY44-1,1)</f>
        <v>1</v>
      </c>
      <c r="EA44" s="118">
        <f t="shared" si="169"/>
        <v>346.625</v>
      </c>
      <c r="EB44" s="77">
        <f t="shared" si="170"/>
        <v>171.55</v>
      </c>
      <c r="EC44" s="57">
        <f t="shared" ref="EC44:EC50" si="298">IF(EB44&gt;0,EA44/EB44-1,1)</f>
        <v>1.0205479452054793</v>
      </c>
      <c r="ED44" s="94"/>
      <c r="EE44" s="124" t="s">
        <v>4</v>
      </c>
      <c r="EF44" s="76">
        <f>Serviceorderfile_Current!$V26</f>
        <v>0.96271879972721075</v>
      </c>
      <c r="EG44" s="57">
        <f>Aged!E3</f>
        <v>0.82</v>
      </c>
      <c r="EH44" s="99">
        <f>Serviceorderfile_Current!$U21*Serviceorderfile_Current!$H21</f>
        <v>1024.6000000000001</v>
      </c>
      <c r="EI44" s="93">
        <f>Serviceorderfile_PREVIOUS!$U21*Serviceorderfile_PREVIOUS!$H21</f>
        <v>1354.7750000000001</v>
      </c>
      <c r="EJ44" s="57">
        <f t="shared" si="47"/>
        <v>-0.24371205550737207</v>
      </c>
      <c r="EK44" s="99">
        <f>Serviceorderfile_Current!$U23*Serviceorderfile_Current!$H23</f>
        <v>2099.7249999999999</v>
      </c>
      <c r="EL44" s="93">
        <f>Serviceorderfile_PREVIOUS!$U23*Serviceorderfile_PREVIOUS!$H23</f>
        <v>2406.4</v>
      </c>
      <c r="EM44" s="57">
        <f t="shared" ref="EM44:EM50" si="299">IF(EL44&gt;0,EK44/EL44-1,1)</f>
        <v>-0.12744140625000011</v>
      </c>
      <c r="EN44" s="99">
        <f>Serviceorderfile_Current!$U22*Serviceorderfile_Current!$H22</f>
        <v>1561.575</v>
      </c>
      <c r="EO44" s="93">
        <f>Serviceorderfile_PREVIOUS!$U22*Serviceorderfile_PREVIOUS!$H22</f>
        <v>1976.3500000000001</v>
      </c>
      <c r="EP44" s="57">
        <f t="shared" ref="EP44:EP50" si="300">IF(EO44&gt;0,EN44/EO44-1,1)</f>
        <v>-0.20986920332936987</v>
      </c>
      <c r="EQ44" s="99">
        <f>Serviceorderfile_Current!$U24*Serviceorderfile_Current!$H24</f>
        <v>482.92500000000001</v>
      </c>
      <c r="ER44" s="93">
        <f>Serviceorderfile_PREVIOUS!$U24*Serviceorderfile_PREVIOUS!$H24</f>
        <v>768.45</v>
      </c>
      <c r="ES44" s="57">
        <f t="shared" ref="ES44:ES50" si="301">IF(ER44&gt;0,EQ44/ER44-1,1)</f>
        <v>-0.37155963302752293</v>
      </c>
      <c r="ET44" s="99">
        <f>Serviceorderfile_Current!$U25*Serviceorderfile_Current!$H25</f>
        <v>24.675000000000001</v>
      </c>
      <c r="EU44" s="93">
        <f>Serviceorderfile_PREVIOUS!$U25*Serviceorderfile_PREVIOUS!$H25</f>
        <v>30.55</v>
      </c>
      <c r="EV44" s="57">
        <f t="shared" ref="EV44:EV50" si="302">IF(EU44&gt;0,ET44/EU44-1,1)</f>
        <v>-0.19230769230769229</v>
      </c>
      <c r="EW44" s="84"/>
      <c r="EX44" s="76">
        <f>Serviceorderfile_Current!$V19</f>
        <v>1</v>
      </c>
      <c r="EY44" s="47">
        <f>Aged!E56</f>
        <v>0.86</v>
      </c>
      <c r="EZ44" s="99">
        <f>Serviceorderfile_Current!$U19*Serviceorderfile_Current!$H19</f>
        <v>649.77499999999998</v>
      </c>
      <c r="FA44" s="93">
        <f>Serviceorderfile_PREVIOUS!$U19*Serviceorderfile_PREVIOUS!$H19</f>
        <v>401.85</v>
      </c>
      <c r="FB44" s="57">
        <f t="shared" ref="FB44:FB50" si="303">IF(FA44&gt;0,EZ44/FA44-1,1)</f>
        <v>0.61695906432748515</v>
      </c>
      <c r="FC44" s="84"/>
      <c r="FD44" s="118">
        <f t="shared" si="66"/>
        <v>5843.2749999999996</v>
      </c>
      <c r="FE44" s="77">
        <f t="shared" si="67"/>
        <v>6938.375</v>
      </c>
      <c r="FF44" s="57">
        <f t="shared" si="53"/>
        <v>-0.15783234546994074</v>
      </c>
      <c r="FG44" s="94"/>
      <c r="FH44" s="84"/>
      <c r="FI44" s="84"/>
      <c r="FJ44" s="84"/>
      <c r="FK44" s="84"/>
      <c r="FL44" s="84"/>
      <c r="FM44" s="84"/>
      <c r="FN44" s="84"/>
      <c r="FO44" s="84"/>
      <c r="FP44" s="84"/>
      <c r="FQ44" s="84"/>
      <c r="FR44" s="84"/>
      <c r="FS44" s="84"/>
      <c r="FT44" s="84"/>
      <c r="FU44" s="84"/>
      <c r="FV44" s="84"/>
      <c r="FW44" s="84"/>
      <c r="FX44" s="84"/>
    </row>
    <row r="45" spans="1:180" s="63" customFormat="1" ht="12" customHeight="1" x14ac:dyDescent="0.25">
      <c r="A45" s="110" t="s">
        <v>3</v>
      </c>
      <c r="B45" s="99">
        <f>Serviceorderfile_Current!$W46</f>
        <v>1528.675</v>
      </c>
      <c r="C45" s="93">
        <f>Serviceorderfile_PREVIOUS!$W46</f>
        <v>1150.325</v>
      </c>
      <c r="D45" s="57">
        <f t="shared" ref="D45:D50" si="304">IF(C45&gt;0,B45/C45-1,1)</f>
        <v>0.3289070480081715</v>
      </c>
      <c r="E45" s="99">
        <f>'YOY Orders'!$J32</f>
        <v>1717.8500000000001</v>
      </c>
      <c r="F45" s="93">
        <f>'YOY Orders'!$B32</f>
        <v>1144.45</v>
      </c>
      <c r="G45" s="57">
        <f t="shared" si="171"/>
        <v>0.50102669404517464</v>
      </c>
      <c r="H45" s="99">
        <f>Serviceorderfile_Current!$W48</f>
        <v>2461.625</v>
      </c>
      <c r="I45" s="93">
        <f>Serviceorderfile_PREVIOUS!$W48</f>
        <v>2126.75</v>
      </c>
      <c r="J45" s="57">
        <f t="shared" si="2"/>
        <v>0.15745856353591159</v>
      </c>
      <c r="K45" s="99">
        <f>'YOY Orders'!$K32</f>
        <v>2350</v>
      </c>
      <c r="L45" s="93">
        <f>'YOY Orders'!$C32</f>
        <v>1794.2250000000001</v>
      </c>
      <c r="M45" s="57">
        <f t="shared" si="258"/>
        <v>0.3097576948264571</v>
      </c>
      <c r="N45" s="99">
        <f>Serviceorderfile_Current!$W47</f>
        <v>1683.7750000000001</v>
      </c>
      <c r="O45" s="93">
        <f>Serviceorderfile_PREVIOUS!$W47</f>
        <v>1437.0250000000001</v>
      </c>
      <c r="P45" s="57">
        <f t="shared" si="4"/>
        <v>0.17170891251022069</v>
      </c>
      <c r="Q45" s="99">
        <f>'YOY Orders'!$O32</f>
        <v>1820.075</v>
      </c>
      <c r="R45" s="93">
        <f>'YOY Orders'!$G32</f>
        <v>1696.7</v>
      </c>
      <c r="S45" s="57">
        <f t="shared" si="259"/>
        <v>7.271468144044313E-2</v>
      </c>
      <c r="T45" s="99">
        <f>Serviceorderfile_Current!$W49</f>
        <v>4312.25</v>
      </c>
      <c r="U45" s="93">
        <f>Serviceorderfile_PREVIOUS!$W49</f>
        <v>3465.0750000000003</v>
      </c>
      <c r="V45" s="57">
        <f t="shared" si="6"/>
        <v>0.2444896575110207</v>
      </c>
      <c r="W45" s="99">
        <f>'YOY Orders'!$L32</f>
        <v>4408.6000000000004</v>
      </c>
      <c r="X45" s="93">
        <f>'YOY Orders'!$D32</f>
        <v>3555.55</v>
      </c>
      <c r="Y45" s="57">
        <f t="shared" si="260"/>
        <v>0.23992068737607397</v>
      </c>
      <c r="Z45" s="99">
        <f>Serviceorderfile_Current!$W50</f>
        <v>156.27500000000001</v>
      </c>
      <c r="AA45" s="93">
        <f>Serviceorderfile_PREVIOUS!$W50</f>
        <v>68.150000000000006</v>
      </c>
      <c r="AB45" s="57">
        <f t="shared" si="8"/>
        <v>1.2931034482758621</v>
      </c>
      <c r="AC45" s="99">
        <f>'YOY Orders'!$N32</f>
        <v>213.85</v>
      </c>
      <c r="AD45" s="93">
        <f>'YOY Orders'!$F32</f>
        <v>131.6</v>
      </c>
      <c r="AE45" s="57">
        <f t="shared" si="261"/>
        <v>0.625</v>
      </c>
      <c r="AF45" s="99">
        <f>Serviceorderfile_Current!$W44</f>
        <v>320.77500000000003</v>
      </c>
      <c r="AG45" s="93">
        <f>Serviceorderfile_PREVIOUS!$W44</f>
        <v>210.32500000000002</v>
      </c>
      <c r="AH45" s="57">
        <f t="shared" si="10"/>
        <v>0.52513966480446927</v>
      </c>
      <c r="AI45" s="99">
        <f>'YOY Orders'!$M32</f>
        <v>927.07500000000005</v>
      </c>
      <c r="AJ45" s="93">
        <f>'YOY Orders'!$E32</f>
        <v>858.92500000000007</v>
      </c>
      <c r="AK45" s="57">
        <f t="shared" si="262"/>
        <v>7.9343365253077947E-2</v>
      </c>
      <c r="AL45" s="116">
        <f t="shared" si="54"/>
        <v>10463.375</v>
      </c>
      <c r="AM45" s="56">
        <f t="shared" si="55"/>
        <v>8457.65</v>
      </c>
      <c r="AN45" s="57">
        <f t="shared" si="12"/>
        <v>0.23714920811336482</v>
      </c>
      <c r="AO45" s="116">
        <f t="shared" si="165"/>
        <v>11437.45</v>
      </c>
      <c r="AP45" s="56">
        <f t="shared" si="166"/>
        <v>9181.4500000000007</v>
      </c>
      <c r="AQ45" s="57">
        <f t="shared" si="263"/>
        <v>0.2457128231379575</v>
      </c>
      <c r="AR45" s="72"/>
      <c r="AS45" s="110" t="s">
        <v>3</v>
      </c>
      <c r="AT45" s="99">
        <f>Serviceorderfile_Current!$I46*Serviceorderfile_Current!$U46</f>
        <v>442.97500000000002</v>
      </c>
      <c r="AU45" s="93">
        <f>Serviceorderfile_PREVIOUS!$I46*Serviceorderfile_PREVIOUS!$U46</f>
        <v>76.375</v>
      </c>
      <c r="AV45" s="57">
        <f t="shared" si="264"/>
        <v>4.8000000000000007</v>
      </c>
      <c r="AW45" s="78">
        <f t="shared" si="15"/>
        <v>0.28977709454265954</v>
      </c>
      <c r="AX45" s="75">
        <f t="shared" si="16"/>
        <v>6.6394279877425938E-2</v>
      </c>
      <c r="AY45" s="119">
        <f t="shared" si="76"/>
        <v>22.338281466523359</v>
      </c>
      <c r="AZ45" s="99">
        <f>Serviceorderfile_Current!$I48*Serviceorderfile_Current!$U48</f>
        <v>451.20000000000005</v>
      </c>
      <c r="BA45" s="93">
        <f>Serviceorderfile_PREVIOUS!$I48*Serviceorderfile_PREVIOUS!$U48</f>
        <v>27.025000000000002</v>
      </c>
      <c r="BB45" s="57">
        <f t="shared" si="265"/>
        <v>15.695652173913043</v>
      </c>
      <c r="BC45" s="78">
        <f t="shared" si="266"/>
        <v>0.18329355608591888</v>
      </c>
      <c r="BD45" s="75">
        <f t="shared" si="267"/>
        <v>1.270718232044199E-2</v>
      </c>
      <c r="BE45" s="119">
        <f t="shared" si="268"/>
        <v>17.05863737654769</v>
      </c>
      <c r="BF45" s="99">
        <f>Serviceorderfile_Current!$I47*Serviceorderfile_Current!$U47</f>
        <v>212.67500000000001</v>
      </c>
      <c r="BG45" s="93">
        <f>Serviceorderfile_PREVIOUS!$I47*Serviceorderfile_PREVIOUS!$U47</f>
        <v>177.42500000000001</v>
      </c>
      <c r="BH45" s="57">
        <f t="shared" si="269"/>
        <v>0.19867549668874163</v>
      </c>
      <c r="BI45" s="78">
        <f t="shared" si="270"/>
        <v>0.12630844382414516</v>
      </c>
      <c r="BJ45" s="75">
        <f t="shared" si="271"/>
        <v>0.12346688470973018</v>
      </c>
      <c r="BK45" s="119">
        <f t="shared" si="272"/>
        <v>0.28415591144149849</v>
      </c>
      <c r="BL45" s="99">
        <f>Serviceorderfile_Current!$I49*Serviceorderfile_Current!$U49</f>
        <v>593.375</v>
      </c>
      <c r="BM45" s="93">
        <f>Serviceorderfile_PREVIOUS!$I49*Serviceorderfile_PREVIOUS!$U49</f>
        <v>528.75</v>
      </c>
      <c r="BN45" s="57">
        <f t="shared" si="273"/>
        <v>0.12222222222222223</v>
      </c>
      <c r="BO45" s="78">
        <f t="shared" si="274"/>
        <v>0.13760217983651227</v>
      </c>
      <c r="BP45" s="75">
        <f t="shared" si="275"/>
        <v>0.1525940996948118</v>
      </c>
      <c r="BQ45" s="119">
        <f t="shared" si="276"/>
        <v>-1.4991919858299534</v>
      </c>
      <c r="BR45" s="99">
        <f>Serviceorderfile_Current!$I50*Serviceorderfile_Current!$U50</f>
        <v>70.5</v>
      </c>
      <c r="BS45" s="93">
        <f>Serviceorderfile_PREVIOUS!$I50*Serviceorderfile_PREVIOUS!$U50</f>
        <v>4.7</v>
      </c>
      <c r="BT45" s="57">
        <f t="shared" si="277"/>
        <v>14</v>
      </c>
      <c r="BU45" s="78">
        <f t="shared" si="278"/>
        <v>0.45112781954887216</v>
      </c>
      <c r="BV45" s="75">
        <f t="shared" si="279"/>
        <v>6.8965517241379309E-2</v>
      </c>
      <c r="BW45" s="119">
        <f t="shared" si="280"/>
        <v>38.216230230749282</v>
      </c>
      <c r="BX45" s="99">
        <f>Serviceorderfile_Current!$I44*Serviceorderfile_Current!$U46</f>
        <v>198.57500000000002</v>
      </c>
      <c r="BY45" s="93">
        <f>Serviceorderfile_PREVIOUS!$I44*Serviceorderfile_PREVIOUS!$U46</f>
        <v>176.25</v>
      </c>
      <c r="BZ45" s="57">
        <f t="shared" si="281"/>
        <v>0.12666666666666671</v>
      </c>
      <c r="CA45" s="78">
        <f t="shared" si="282"/>
        <v>0.61904761904761907</v>
      </c>
      <c r="CB45" s="75">
        <f t="shared" si="283"/>
        <v>0.83798882681564235</v>
      </c>
      <c r="CC45" s="119">
        <f t="shared" si="284"/>
        <v>-21.894120776802328</v>
      </c>
      <c r="CD45" s="118">
        <f t="shared" si="201"/>
        <v>1969.3</v>
      </c>
      <c r="CE45" s="77">
        <f t="shared" si="202"/>
        <v>990.52499999999998</v>
      </c>
      <c r="CF45" s="57">
        <f t="shared" si="32"/>
        <v>0.98813760379596682</v>
      </c>
      <c r="CG45" s="78">
        <f t="shared" si="153"/>
        <v>0.18820887142055026</v>
      </c>
      <c r="CH45" s="75">
        <f t="shared" si="154"/>
        <v>0.1171158655181995</v>
      </c>
      <c r="CI45" s="119">
        <f t="shared" si="83"/>
        <v>7.1093005902350761</v>
      </c>
      <c r="CJ45" s="85"/>
      <c r="CK45" s="110" t="s">
        <v>3</v>
      </c>
      <c r="CL45" s="99">
        <f>Serviceorderfile_Current!$J46*Serviceorderfile_Current!$U46</f>
        <v>24.675000000000001</v>
      </c>
      <c r="CM45" s="93">
        <f>Serviceorderfile_PREVIOUS!$J46*Serviceorderfile_PREVIOUS!$U46</f>
        <v>75.2</v>
      </c>
      <c r="CN45" s="57">
        <f t="shared" si="285"/>
        <v>-0.671875</v>
      </c>
      <c r="CO45" s="99">
        <f>Serviceorderfile_Current!$J48*Serviceorderfile_Current!$U48</f>
        <v>5.875</v>
      </c>
      <c r="CP45" s="93">
        <f>Serviceorderfile_PREVIOUS!$J48*Serviceorderfile_PREVIOUS!$U48</f>
        <v>37.6</v>
      </c>
      <c r="CQ45" s="57">
        <f t="shared" si="286"/>
        <v>-0.84375</v>
      </c>
      <c r="CR45" s="99">
        <f>Serviceorderfile_Current!$J47*Serviceorderfile_Current!$U47</f>
        <v>179.77500000000001</v>
      </c>
      <c r="CS45" s="93">
        <f>Serviceorderfile_PREVIOUS!$J47*Serviceorderfile_PREVIOUS!$U47</f>
        <v>135.125</v>
      </c>
      <c r="CT45" s="57">
        <f t="shared" si="287"/>
        <v>0.33043478260869574</v>
      </c>
      <c r="CU45" s="99">
        <f>Serviceorderfile_Current!$J49*Serviceorderfile_Current!$U49</f>
        <v>789.6</v>
      </c>
      <c r="CV45" s="93">
        <f>Serviceorderfile_PREVIOUS!$J49*Serviceorderfile_PREVIOUS!$U49</f>
        <v>410.07499999999999</v>
      </c>
      <c r="CW45" s="57">
        <f t="shared" si="288"/>
        <v>0.9255014326647566</v>
      </c>
      <c r="CX45" s="99">
        <f>Serviceorderfile_Current!$J50*Serviceorderfile_Current!$U50</f>
        <v>5.875</v>
      </c>
      <c r="CY45" s="93">
        <f>Serviceorderfile_PREVIOUS!$J50*Serviceorderfile_PREVIOUS!$U50</f>
        <v>11.75</v>
      </c>
      <c r="CZ45" s="57">
        <f t="shared" si="289"/>
        <v>-0.5</v>
      </c>
      <c r="DA45" s="99">
        <f>Serviceorderfile_Current!$J44*Serviceorderfile_Current!$U46</f>
        <v>101.05</v>
      </c>
      <c r="DB45" s="93">
        <f>Serviceorderfile_PREVIOUS!$J44*Serviceorderfile_PREVIOUS!$U46</f>
        <v>34.075000000000003</v>
      </c>
      <c r="DC45" s="57">
        <f t="shared" si="290"/>
        <v>1.9655172413793101</v>
      </c>
      <c r="DD45" s="118">
        <f t="shared" si="167"/>
        <v>1106.8500000000001</v>
      </c>
      <c r="DE45" s="77">
        <f t="shared" si="168"/>
        <v>703.82500000000005</v>
      </c>
      <c r="DF45" s="57">
        <f t="shared" si="291"/>
        <v>0.57262103505843087</v>
      </c>
      <c r="DG45" s="86"/>
      <c r="DH45" s="110" t="s">
        <v>3</v>
      </c>
      <c r="DI45" s="99">
        <f>Serviceorderfile_Current!$K46*Serviceorderfile_Current!$U46</f>
        <v>96.350000000000009</v>
      </c>
      <c r="DJ45" s="93">
        <f>Serviceorderfile_PREVIOUS!$K46*Serviceorderfile_PREVIOUS!$U46</f>
        <v>229.125</v>
      </c>
      <c r="DK45" s="57">
        <f t="shared" si="292"/>
        <v>-0.57948717948717943</v>
      </c>
      <c r="DL45" s="99">
        <f>Serviceorderfile_Current!$K48*Serviceorderfile_Current!$U48</f>
        <v>118.67500000000001</v>
      </c>
      <c r="DM45" s="93">
        <f>Serviceorderfile_PREVIOUS!$K48*Serviceorderfile_PREVIOUS!$U48</f>
        <v>111.625</v>
      </c>
      <c r="DN45" s="57">
        <f t="shared" si="293"/>
        <v>6.3157894736842302E-2</v>
      </c>
      <c r="DO45" s="99">
        <f>Serviceorderfile_Current!$K47*Serviceorderfile_Current!$U47</f>
        <v>198.57500000000002</v>
      </c>
      <c r="DP45" s="93">
        <f>Serviceorderfile_PREVIOUS!$K47*Serviceorderfile_PREVIOUS!$U47</f>
        <v>111.625</v>
      </c>
      <c r="DQ45" s="57">
        <f t="shared" si="294"/>
        <v>0.77894736842105283</v>
      </c>
      <c r="DR45" s="99">
        <f>Serviceorderfile_Current!$K49*Serviceorderfile_Current!$U49</f>
        <v>485.27500000000003</v>
      </c>
      <c r="DS45" s="93">
        <f>Serviceorderfile_PREVIOUS!$K49*Serviceorderfile_PREVIOUS!$U49</f>
        <v>379.52500000000003</v>
      </c>
      <c r="DT45" s="57">
        <f t="shared" si="295"/>
        <v>0.2786377708978327</v>
      </c>
      <c r="DU45" s="99">
        <f>Serviceorderfile_Current!$K50*Serviceorderfile_Current!$U50</f>
        <v>10.575000000000001</v>
      </c>
      <c r="DV45" s="93">
        <f>Serviceorderfile_PREVIOUS!$K50*Serviceorderfile_PREVIOUS!$U50</f>
        <v>24.675000000000001</v>
      </c>
      <c r="DW45" s="57">
        <f t="shared" si="296"/>
        <v>-0.5714285714285714</v>
      </c>
      <c r="DX45" s="99">
        <f>Serviceorderfile_Current!$K44*Serviceorderfile_Current!$U46</f>
        <v>12.925000000000001</v>
      </c>
      <c r="DY45" s="93">
        <f>Serviceorderfile_PREVIOUS!$K44*Serviceorderfile_PREVIOUS!$U46</f>
        <v>0</v>
      </c>
      <c r="DZ45" s="57">
        <f t="shared" si="297"/>
        <v>1</v>
      </c>
      <c r="EA45" s="118">
        <f t="shared" si="169"/>
        <v>922.375</v>
      </c>
      <c r="EB45" s="77">
        <f t="shared" si="170"/>
        <v>856.57500000000005</v>
      </c>
      <c r="EC45" s="57">
        <f t="shared" si="298"/>
        <v>7.6817558299039801E-2</v>
      </c>
      <c r="ED45" s="94"/>
      <c r="EE45" s="124" t="s">
        <v>3</v>
      </c>
      <c r="EF45" s="76">
        <f>Serviceorderfile_Current!$V43</f>
        <v>0.99934835226214858</v>
      </c>
      <c r="EG45" s="57">
        <f>Aged!E4</f>
        <v>0.9</v>
      </c>
      <c r="EH45" s="99">
        <f>Serviceorderfile_Current!$U38*Serviceorderfile_Current!$H38</f>
        <v>3534.4</v>
      </c>
      <c r="EI45" s="93">
        <f>Serviceorderfile_PREVIOUS!$U38*Serviceorderfile_PREVIOUS!$H38</f>
        <v>2998.6</v>
      </c>
      <c r="EJ45" s="57">
        <f t="shared" si="47"/>
        <v>0.17868338557993746</v>
      </c>
      <c r="EK45" s="99">
        <f>Serviceorderfile_Current!$U40*Serviceorderfile_Current!$H40</f>
        <v>4613.05</v>
      </c>
      <c r="EL45" s="93">
        <f>Serviceorderfile_PREVIOUS!$U40*Serviceorderfile_PREVIOUS!$H40</f>
        <v>4187.7</v>
      </c>
      <c r="EM45" s="57">
        <f t="shared" si="299"/>
        <v>0.10157126823793505</v>
      </c>
      <c r="EN45" s="99">
        <f>Serviceorderfile_Current!$U39*Serviceorderfile_Current!$H39</f>
        <v>2963.35</v>
      </c>
      <c r="EO45" s="93">
        <f>Serviceorderfile_PREVIOUS!$U39*Serviceorderfile_PREVIOUS!$H39</f>
        <v>4617.75</v>
      </c>
      <c r="EP45" s="57">
        <f t="shared" si="300"/>
        <v>-0.35826972010178115</v>
      </c>
      <c r="EQ45" s="99">
        <f>Serviceorderfile_Current!$U41*Serviceorderfile_Current!$H41</f>
        <v>1511.05</v>
      </c>
      <c r="ER45" s="93">
        <f>Serviceorderfile_PREVIOUS!$U41*Serviceorderfile_PREVIOUS!$H41</f>
        <v>2426.375</v>
      </c>
      <c r="ES45" s="61">
        <f t="shared" si="301"/>
        <v>-0.37723970944309926</v>
      </c>
      <c r="ET45" s="99">
        <f>Serviceorderfile_Current!$U42*Serviceorderfile_Current!$H42</f>
        <v>1.175</v>
      </c>
      <c r="EU45" s="93">
        <f>Serviceorderfile_PREVIOUS!$U42*Serviceorderfile_PREVIOUS!$H42</f>
        <v>11.75</v>
      </c>
      <c r="EV45" s="57">
        <f t="shared" si="302"/>
        <v>-0.9</v>
      </c>
      <c r="EW45" s="181"/>
      <c r="EX45" s="76">
        <f>Serviceorderfile_Current!$V36</f>
        <v>1</v>
      </c>
      <c r="EY45" s="47">
        <f>Aged!E57</f>
        <v>0.99</v>
      </c>
      <c r="EZ45" s="99">
        <f>Serviceorderfile_Current!$U36*Serviceorderfile_Current!$H36</f>
        <v>1998.6750000000002</v>
      </c>
      <c r="FA45" s="93">
        <f>Serviceorderfile_PREVIOUS!$U36*Serviceorderfile_PREVIOUS!$H36</f>
        <v>2176.1</v>
      </c>
      <c r="FB45" s="61">
        <f t="shared" si="303"/>
        <v>-8.1533477321814152E-2</v>
      </c>
      <c r="FC45" s="84"/>
      <c r="FD45" s="118">
        <f t="shared" si="66"/>
        <v>14621.699999999999</v>
      </c>
      <c r="FE45" s="77">
        <f t="shared" si="67"/>
        <v>16418.274999999998</v>
      </c>
      <c r="FF45" s="61">
        <f t="shared" si="53"/>
        <v>-0.10942532026050233</v>
      </c>
      <c r="FG45" s="94"/>
      <c r="FH45" s="84"/>
      <c r="FI45" s="84"/>
      <c r="FJ45" s="84"/>
      <c r="FK45" s="84"/>
      <c r="FL45" s="84"/>
      <c r="FM45" s="84"/>
      <c r="FN45" s="84"/>
      <c r="FO45" s="84"/>
      <c r="FP45" s="84"/>
      <c r="FQ45" s="84"/>
      <c r="FR45" s="84"/>
      <c r="FS45" s="84"/>
      <c r="FT45" s="84"/>
      <c r="FU45" s="84"/>
      <c r="FV45" s="84"/>
      <c r="FW45" s="84"/>
      <c r="FX45" s="84"/>
    </row>
    <row r="46" spans="1:180" s="63" customFormat="1" ht="12" hidden="1" customHeight="1" outlineLevel="1" x14ac:dyDescent="0.25">
      <c r="A46" s="110" t="s">
        <v>112</v>
      </c>
      <c r="B46" s="99">
        <f>Serviceorderfile_Current!$W$743</f>
        <v>118.67500000000001</v>
      </c>
      <c r="C46" s="93">
        <f>Serviceorderfile_PREVIOUS!$W$743</f>
        <v>321.95</v>
      </c>
      <c r="D46" s="57">
        <f t="shared" ref="D46" si="305">IF(C46&gt;0,B46/C46-1,1)</f>
        <v>-0.63138686131386856</v>
      </c>
      <c r="E46" s="99">
        <f>'YOY Orders'!$J46</f>
        <v>499.375</v>
      </c>
      <c r="F46" s="93">
        <f>'YOY Orders'!$B46</f>
        <v>1494.6000000000001</v>
      </c>
      <c r="G46" s="57">
        <f t="shared" ref="G46" si="306">IF(F46&gt;0,E46/F46-1,1)</f>
        <v>-0.66588050314465419</v>
      </c>
      <c r="H46" s="99">
        <f>Serviceorderfile_Current!$W$745</f>
        <v>0</v>
      </c>
      <c r="I46" s="93">
        <f>Serviceorderfile_PREVIOUS!$W$745</f>
        <v>0</v>
      </c>
      <c r="J46" s="57">
        <f t="shared" ref="J46" si="307">IF(I46&gt;0,H46/I46-1,1)</f>
        <v>1</v>
      </c>
      <c r="K46" s="99">
        <f>'YOY Orders'!$K46</f>
        <v>0</v>
      </c>
      <c r="L46" s="93">
        <f>'YOY Orders'!$C46</f>
        <v>0</v>
      </c>
      <c r="M46" s="57">
        <f t="shared" ref="M46" si="308">IF(L46&gt;0,K46/L46-1,1)</f>
        <v>1</v>
      </c>
      <c r="N46" s="99">
        <f>Serviceorderfile_Current!$W$744</f>
        <v>8375.4</v>
      </c>
      <c r="O46" s="93">
        <f>Serviceorderfile_PREVIOUS!$W$744</f>
        <v>14921.325000000001</v>
      </c>
      <c r="P46" s="57">
        <f t="shared" ref="P46" si="309">IF(O46&gt;0,N46/O46-1,1)</f>
        <v>-0.43869596031183566</v>
      </c>
      <c r="Q46" s="99">
        <f>'YOY Orders'!$O46</f>
        <v>22521.225000000002</v>
      </c>
      <c r="R46" s="93">
        <f>'YOY Orders'!$G46</f>
        <v>67113.650000000009</v>
      </c>
      <c r="S46" s="57">
        <f t="shared" ref="S46" si="310">IF(R46&gt;0,Q46/R46-1,1)</f>
        <v>-0.66443152771455583</v>
      </c>
      <c r="T46" s="99">
        <f>Serviceorderfile_Current!$W$746</f>
        <v>1.175</v>
      </c>
      <c r="U46" s="93">
        <f>Serviceorderfile_PREVIOUS!$W$746</f>
        <v>2.35</v>
      </c>
      <c r="V46" s="57">
        <f t="shared" ref="V46" si="311">IF(U46&gt;0,T46/U46-1,1)</f>
        <v>-0.5</v>
      </c>
      <c r="W46" s="99">
        <f>'YOY Orders'!$L46</f>
        <v>0</v>
      </c>
      <c r="X46" s="93">
        <f>'YOY Orders'!$D46</f>
        <v>0</v>
      </c>
      <c r="Y46" s="57">
        <f t="shared" ref="Y46" si="312">IF(X46&gt;0,W46/X46-1,1)</f>
        <v>1</v>
      </c>
      <c r="Z46" s="99">
        <f>Serviceorderfile_Current!$W$747</f>
        <v>0</v>
      </c>
      <c r="AA46" s="93">
        <f>Serviceorderfile_PREVIOUS!$W$747</f>
        <v>8.2249999999999996</v>
      </c>
      <c r="AB46" s="57">
        <f t="shared" ref="AB46" si="313">IF(AA46&gt;0,Z46/AA46-1,1)</f>
        <v>-1</v>
      </c>
      <c r="AC46" s="99">
        <f>'YOY Orders'!$N46</f>
        <v>0</v>
      </c>
      <c r="AD46" s="93">
        <f>'YOY Orders'!$F46</f>
        <v>41.125</v>
      </c>
      <c r="AE46" s="57">
        <f t="shared" ref="AE46" si="314">IF(AD46&gt;0,AC46/AD46-1,1)</f>
        <v>-1</v>
      </c>
      <c r="AF46" s="99">
        <f>Serviceorderfile_Current!$W$741</f>
        <v>0</v>
      </c>
      <c r="AG46" s="93">
        <f>Serviceorderfile_PREVIOUS!$W$741</f>
        <v>0</v>
      </c>
      <c r="AH46" s="57">
        <f t="shared" ref="AH46" si="315">IF(AG46&gt;0,AF46/AG46-1,1)</f>
        <v>1</v>
      </c>
      <c r="AI46" s="99">
        <f>'YOY Orders'!$M46</f>
        <v>0</v>
      </c>
      <c r="AJ46" s="93">
        <f>'YOY Orders'!$E46</f>
        <v>0</v>
      </c>
      <c r="AK46" s="57">
        <f t="shared" ref="AK46" si="316">IF(AJ46&gt;0,AI46/AJ46-1,1)</f>
        <v>1</v>
      </c>
      <c r="AL46" s="116">
        <f t="shared" ref="AL46" si="317">B46+T46+Z46+AF46+N46+H46</f>
        <v>8495.25</v>
      </c>
      <c r="AM46" s="56">
        <f t="shared" ref="AM46" si="318">C46+U46+AA46+AG46+O46+I46</f>
        <v>15253.85</v>
      </c>
      <c r="AN46" s="57">
        <f t="shared" ref="AN46" si="319">IF(AM46&gt;0,AL46/AM46-1,1)</f>
        <v>-0.44307502696040668</v>
      </c>
      <c r="AO46" s="116">
        <f t="shared" ref="AO46" si="320">E46+W46+AC46+AI46+Q46+K46</f>
        <v>23020.600000000002</v>
      </c>
      <c r="AP46" s="56">
        <f t="shared" ref="AP46" si="321">F46+X46+AD46+AJ46+R46+L46</f>
        <v>68649.375000000015</v>
      </c>
      <c r="AQ46" s="57">
        <f t="shared" ref="AQ46" si="322">IF(AP46&gt;0,AO46/AP46-1,1)</f>
        <v>-0.66466409927257164</v>
      </c>
      <c r="AR46" s="72"/>
      <c r="AS46" s="110" t="s">
        <v>112</v>
      </c>
      <c r="AT46" s="99">
        <f>Serviceorderfile_Current!$I$743*Serviceorderfile_Current!$U$743</f>
        <v>113.97500000000001</v>
      </c>
      <c r="AU46" s="93">
        <f>Serviceorderfile_PREVIOUS!$I$743*Serviceorderfile_PREVIOUS!$U$743</f>
        <v>321.95</v>
      </c>
      <c r="AV46" s="57">
        <f t="shared" ref="AV46" si="323">IF(AU46&gt;0,AT46/AU46-1,1)</f>
        <v>-0.64598540145985406</v>
      </c>
      <c r="AW46" s="78">
        <f t="shared" ref="AW46" si="324">AT46/B46</f>
        <v>0.96039603960396036</v>
      </c>
      <c r="AX46" s="75">
        <f t="shared" ref="AX46" si="325">AU46/C46</f>
        <v>1</v>
      </c>
      <c r="AY46" s="119">
        <f t="shared" ref="AY46" si="326">(AW46-AX46)*100</f>
        <v>-3.9603960396039639</v>
      </c>
      <c r="AZ46" s="99">
        <f>Serviceorderfile_Current!$I$745*Serviceorderfile_Current!$U$745</f>
        <v>0</v>
      </c>
      <c r="BA46" s="93">
        <f>Serviceorderfile_PREVIOUS!$I$745*Serviceorderfile_PREVIOUS!$U$745</f>
        <v>0</v>
      </c>
      <c r="BB46" s="57">
        <f t="shared" ref="BB46" si="327">IF(BA46&gt;0,AZ46/BA46-1,1)</f>
        <v>1</v>
      </c>
      <c r="BC46" s="78" t="e">
        <f t="shared" ref="BC46" si="328">AZ46/H46</f>
        <v>#DIV/0!</v>
      </c>
      <c r="BD46" s="75" t="e">
        <f t="shared" ref="BD46" si="329">BA46/I46</f>
        <v>#DIV/0!</v>
      </c>
      <c r="BE46" s="119" t="e">
        <f t="shared" ref="BE46" si="330">(BC46-BD46)*100</f>
        <v>#DIV/0!</v>
      </c>
      <c r="BF46" s="99">
        <f>Serviceorderfile_Current!$I$744*Serviceorderfile_Current!$U$744</f>
        <v>3604.9</v>
      </c>
      <c r="BG46" s="93">
        <f>Serviceorderfile_PREVIOUS!$I$744*Serviceorderfile_PREVIOUS!$U$744</f>
        <v>12474.975</v>
      </c>
      <c r="BH46" s="57">
        <f t="shared" ref="BH46" si="331">IF(BG46&gt;0,BF46/BG46-1,1)</f>
        <v>-0.71102948102100405</v>
      </c>
      <c r="BI46" s="78">
        <f t="shared" ref="BI46" si="332">BF46/N46</f>
        <v>0.43041526374859712</v>
      </c>
      <c r="BJ46" s="75">
        <f t="shared" ref="BJ46" si="333">BG46/O46</f>
        <v>0.83605008268367587</v>
      </c>
      <c r="BK46" s="119">
        <f t="shared" ref="BK46" si="334">(BI46-BJ46)*100</f>
        <v>-40.563481893507877</v>
      </c>
      <c r="BL46" s="99">
        <f>Serviceorderfile_Current!$I$746*Serviceorderfile_Current!$U$746</f>
        <v>0</v>
      </c>
      <c r="BM46" s="93">
        <f>Serviceorderfile_PREVIOUS!$I$746*Serviceorderfile_PREVIOUS!$U$746</f>
        <v>0</v>
      </c>
      <c r="BN46" s="57">
        <f t="shared" ref="BN46" si="335">IF(BM46&gt;0,BL46/BM46-1,1)</f>
        <v>1</v>
      </c>
      <c r="BO46" s="78">
        <f t="shared" ref="BO46" si="336">BL46/T46</f>
        <v>0</v>
      </c>
      <c r="BP46" s="75">
        <f t="shared" ref="BP46" si="337">BM46/U46</f>
        <v>0</v>
      </c>
      <c r="BQ46" s="119">
        <f t="shared" ref="BQ46" si="338">(BO46-BP46)*100</f>
        <v>0</v>
      </c>
      <c r="BR46" s="99">
        <f>Serviceorderfile_Current!$I$747*Serviceorderfile_Current!$U$747</f>
        <v>0</v>
      </c>
      <c r="BS46" s="93">
        <f>Serviceorderfile_PREVIOUS!$I$747*Serviceorderfile_PREVIOUS!$U$747</f>
        <v>8.2249999999999996</v>
      </c>
      <c r="BT46" s="57">
        <f t="shared" ref="BT46" si="339">IF(BS46&gt;0,BR46/BS46-1,1)</f>
        <v>-1</v>
      </c>
      <c r="BU46" s="78" t="e">
        <f t="shared" ref="BU46" si="340">BR46/Z46</f>
        <v>#DIV/0!</v>
      </c>
      <c r="BV46" s="75">
        <f t="shared" ref="BV46" si="341">BS46/AA46</f>
        <v>1</v>
      </c>
      <c r="BW46" s="119" t="e">
        <f t="shared" ref="BW46" si="342">(BU46-BV46)*100</f>
        <v>#DIV/0!</v>
      </c>
      <c r="BX46" s="99">
        <f>Serviceorderfile_Current!$I$741*Serviceorderfile_Current!$U$741</f>
        <v>0</v>
      </c>
      <c r="BY46" s="93">
        <f>Serviceorderfile_PREVIOUS!$I$741*Serviceorderfile_PREVIOUS!$U$741</f>
        <v>0</v>
      </c>
      <c r="BZ46" s="57">
        <f t="shared" ref="BZ46" si="343">IF(BY46&gt;0,BX46/BY46-1,1)</f>
        <v>1</v>
      </c>
      <c r="CA46" s="78" t="e">
        <f t="shared" ref="CA46" si="344">BX46/AF46</f>
        <v>#DIV/0!</v>
      </c>
      <c r="CB46" s="75" t="e">
        <f t="shared" ref="CB46" si="345">BY46/AG46</f>
        <v>#DIV/0!</v>
      </c>
      <c r="CC46" s="119" t="e">
        <f t="shared" ref="CC46" si="346">(CA46-CB46)*100</f>
        <v>#DIV/0!</v>
      </c>
      <c r="CD46" s="118">
        <f t="shared" ref="CD46" si="347">AT46+BL46+BR46+BX46+BF46+AZ46</f>
        <v>3718.875</v>
      </c>
      <c r="CE46" s="77">
        <f t="shared" ref="CE46" si="348">AU46+BM46+BS46+BY46+BG46+BA46</f>
        <v>12805.15</v>
      </c>
      <c r="CF46" s="57">
        <f t="shared" ref="CF46" si="349">IF(CE46&gt;0,CD46/CE46-1,1)</f>
        <v>-0.70957973940172514</v>
      </c>
      <c r="CG46" s="78">
        <f t="shared" ref="CG46" si="350">CD46/AL46</f>
        <v>0.43775933609958506</v>
      </c>
      <c r="CH46" s="75">
        <f t="shared" ref="CH46" si="351">CE46/AM46</f>
        <v>0.83947003543367738</v>
      </c>
      <c r="CI46" s="119">
        <f t="shared" ref="CI46" si="352">(CG46-CH46)*100</f>
        <v>-40.171069933409228</v>
      </c>
      <c r="CJ46" s="85"/>
      <c r="CK46" s="110" t="s">
        <v>112</v>
      </c>
      <c r="CL46" s="99">
        <f>Serviceorderfile_Current!$J$743*Serviceorderfile_Current!$U$743</f>
        <v>4.7</v>
      </c>
      <c r="CM46" s="93">
        <f>Serviceorderfile_PREVIOUS!$J$743*Serviceorderfile_PREVIOUS!$U$743</f>
        <v>0</v>
      </c>
      <c r="CN46" s="57">
        <f t="shared" ref="CN46" si="353">IF(CM46&gt;0,CL46/CM46-1,1)</f>
        <v>1</v>
      </c>
      <c r="CO46" s="99">
        <f>Serviceorderfile_Current!$J$745*Serviceorderfile_Current!$U$745</f>
        <v>0</v>
      </c>
      <c r="CP46" s="93">
        <f>Serviceorderfile_PREVIOUS!$J$745*Serviceorderfile_PREVIOUS!$U$745</f>
        <v>0</v>
      </c>
      <c r="CQ46" s="57">
        <f t="shared" ref="CQ46" si="354">IF(CP46&gt;0,CO46/CP46-1,1)</f>
        <v>1</v>
      </c>
      <c r="CR46" s="99">
        <f>Serviceorderfile_Current!$J$744*Serviceorderfile_Current!$U$744</f>
        <v>41.125</v>
      </c>
      <c r="CS46" s="93">
        <f>Serviceorderfile_PREVIOUS!$J$744*Serviceorderfile_PREVIOUS!$U$744</f>
        <v>81.075000000000003</v>
      </c>
      <c r="CT46" s="57">
        <f t="shared" ref="CT46" si="355">IF(CS46&gt;0,CR46/CS46-1,1)</f>
        <v>-0.49275362318840576</v>
      </c>
      <c r="CU46" s="99">
        <f>Serviceorderfile_Current!$J$746*Serviceorderfile_Current!$U$746</f>
        <v>0</v>
      </c>
      <c r="CV46" s="93">
        <f>Serviceorderfile_PREVIOUS!$J$746*Serviceorderfile_PREVIOUS!$U$746</f>
        <v>0</v>
      </c>
      <c r="CW46" s="57">
        <f t="shared" ref="CW46" si="356">IF(CV46&gt;0,CU46/CV46-1,1)</f>
        <v>1</v>
      </c>
      <c r="CX46" s="99">
        <f>Serviceorderfile_Current!$J$747*Serviceorderfile_Current!$U$747</f>
        <v>0</v>
      </c>
      <c r="CY46" s="93">
        <f>Serviceorderfile_PREVIOUS!$J$747*Serviceorderfile_PREVIOUS!$U$747</f>
        <v>0</v>
      </c>
      <c r="CZ46" s="57">
        <f t="shared" ref="CZ46" si="357">IF(CY46&gt;0,CX46/CY46-1,1)</f>
        <v>1</v>
      </c>
      <c r="DA46" s="99">
        <f>Serviceorderfile_Current!$J$741*Serviceorderfile_Current!$U$741</f>
        <v>0</v>
      </c>
      <c r="DB46" s="93">
        <f>Serviceorderfile_PREVIOUS!$J$741*Serviceorderfile_PREVIOUS!$U$741</f>
        <v>0</v>
      </c>
      <c r="DC46" s="57">
        <f t="shared" ref="DC46" si="358">IF(DB46&gt;0,DA46/DB46-1,1)</f>
        <v>1</v>
      </c>
      <c r="DD46" s="118">
        <f t="shared" ref="DD46" si="359">CL46+CO46+CR46+CU46+CX46+DA46</f>
        <v>45.825000000000003</v>
      </c>
      <c r="DE46" s="77">
        <f t="shared" ref="DE46" si="360">CM46+CP46+CS46+CV46+CY46+DB46</f>
        <v>81.075000000000003</v>
      </c>
      <c r="DF46" s="57">
        <f t="shared" ref="DF46" si="361">IF(DE46&gt;0,DD46/DE46-1,1)</f>
        <v>-0.43478260869565211</v>
      </c>
      <c r="DG46" s="86"/>
      <c r="DH46" s="110" t="s">
        <v>112</v>
      </c>
      <c r="DI46" s="99">
        <f>Serviceorderfile_Current!$K$743*Serviceorderfile_Current!$U$743</f>
        <v>0</v>
      </c>
      <c r="DJ46" s="93">
        <f>Serviceorderfile_PREVIOUS!$K$743*Serviceorderfile_PREVIOUS!$U$743</f>
        <v>0</v>
      </c>
      <c r="DK46" s="57">
        <f t="shared" ref="DK46" si="362">IF(DJ46&gt;0,DI46/DJ46-1,1)</f>
        <v>1</v>
      </c>
      <c r="DL46" s="99">
        <f>Serviceorderfile_Current!$K$745*Serviceorderfile_Current!$U$745</f>
        <v>0</v>
      </c>
      <c r="DM46" s="93">
        <f>Serviceorderfile_PREVIOUS!$K$745*Serviceorderfile_PREVIOUS!$U$745</f>
        <v>0</v>
      </c>
      <c r="DN46" s="57">
        <f t="shared" ref="DN46" si="363">IF(DM46&gt;0,DL46/DM46-1,1)</f>
        <v>1</v>
      </c>
      <c r="DO46" s="99">
        <f>Serviceorderfile_Current!$K$744*Serviceorderfile_Current!$U$744</f>
        <v>34.075000000000003</v>
      </c>
      <c r="DP46" s="93">
        <f>Serviceorderfile_PREVIOUS!$K$744*Serviceorderfile_PREVIOUS!$U$744</f>
        <v>52.875</v>
      </c>
      <c r="DQ46" s="57">
        <f t="shared" ref="DQ46" si="364">IF(DP46&gt;0,DO46/DP46-1,1)</f>
        <v>-0.35555555555555551</v>
      </c>
      <c r="DR46" s="99">
        <f>Serviceorderfile_Current!$K$746*Serviceorderfile_Current!$U$746</f>
        <v>0</v>
      </c>
      <c r="DS46" s="93">
        <f>Serviceorderfile_PREVIOUS!$K$746*Serviceorderfile_PREVIOUS!$U$746</f>
        <v>2.35</v>
      </c>
      <c r="DT46" s="57">
        <f t="shared" ref="DT46" si="365">IF(DS46&gt;0,DR46/DS46-1,1)</f>
        <v>-1</v>
      </c>
      <c r="DU46" s="99">
        <f>Serviceorderfile_Current!$K$747*Serviceorderfile_Current!$U$747</f>
        <v>0</v>
      </c>
      <c r="DV46" s="93">
        <f>Serviceorderfile_PREVIOUS!$K$747*Serviceorderfile_PREVIOUS!$U$747</f>
        <v>0</v>
      </c>
      <c r="DW46" s="57">
        <f t="shared" ref="DW46" si="366">IF(DV46&gt;0,DU46/DV46-1,1)</f>
        <v>1</v>
      </c>
      <c r="DX46" s="99">
        <f>Serviceorderfile_Current!$K$741*Serviceorderfile_Current!$U$741</f>
        <v>0</v>
      </c>
      <c r="DY46" s="93">
        <f>Serviceorderfile_PREVIOUS!$K$741*Serviceorderfile_PREVIOUS!$U$741</f>
        <v>0</v>
      </c>
      <c r="DZ46" s="57">
        <f t="shared" ref="DZ46" si="367">IF(DY46&gt;0,DX46/DY46-1,1)</f>
        <v>1</v>
      </c>
      <c r="EA46" s="118">
        <f t="shared" ref="EA46" si="368">DI46+DL46+DO46+DR46+DU46+DX46</f>
        <v>34.075000000000003</v>
      </c>
      <c r="EB46" s="77">
        <f t="shared" ref="EB46" si="369">DJ46+DM46+DP46+DS46+DV46+DY46</f>
        <v>55.225000000000001</v>
      </c>
      <c r="EC46" s="57">
        <f t="shared" ref="EC46" si="370">IF(EB46&gt;0,EA46/EB46-1,1)</f>
        <v>-0.38297872340425532</v>
      </c>
      <c r="ED46" s="94"/>
      <c r="EE46" s="124" t="s">
        <v>112</v>
      </c>
      <c r="EF46" s="76">
        <f>Serviceorderfile_Current!$V740</f>
        <v>0.30320699708454812</v>
      </c>
      <c r="EG46" s="57" t="e">
        <f>1-Aged!#REF!</f>
        <v>#REF!</v>
      </c>
      <c r="EH46" s="99">
        <f>Serviceorderfile_Current!$U$735*Serviceorderfile_Current!$H$735</f>
        <v>130.42500000000001</v>
      </c>
      <c r="EI46" s="93">
        <f>Serviceorderfile_PREVIOUS!$U$735*Serviceorderfile_PREVIOUS!$H$735</f>
        <v>126.9</v>
      </c>
      <c r="EJ46" s="57">
        <f t="shared" ref="EJ46" si="371">IF(EI46&gt;0,EH46/EI46-1,1)</f>
        <v>2.7777777777777901E-2</v>
      </c>
      <c r="EK46" s="99">
        <f>Serviceorderfile_Current!$U$737*Serviceorderfile_Current!$H$737</f>
        <v>0</v>
      </c>
      <c r="EL46" s="93">
        <f>Serviceorderfile_PREVIOUS!$U$737*Serviceorderfile_PREVIOUS!$H$737</f>
        <v>0</v>
      </c>
      <c r="EM46" s="57">
        <f t="shared" ref="EM46" si="372">IF(EL46&gt;0,EK46/EL46-1,1)</f>
        <v>1</v>
      </c>
      <c r="EN46" s="99">
        <f>Serviceorderfile_Current!$U$736*Serviceorderfile_Current!$H$736</f>
        <v>6315.625</v>
      </c>
      <c r="EO46" s="93">
        <f>Serviceorderfile_PREVIOUS!$U$736*Serviceorderfile_PREVIOUS!$H$736</f>
        <v>18434.575000000001</v>
      </c>
      <c r="EP46" s="57">
        <f t="shared" ref="EP46" si="373">IF(EO46&gt;0,EN46/EO46-1,1)</f>
        <v>-0.65740327618076355</v>
      </c>
      <c r="EQ46" s="99">
        <f>Serviceorderfile_Current!$U$738*Serviceorderfile_Current!$H$738</f>
        <v>2.35</v>
      </c>
      <c r="ER46" s="93">
        <f>Serviceorderfile_PREVIOUS!$U$738*Serviceorderfile_PREVIOUS!$H$738</f>
        <v>0</v>
      </c>
      <c r="ES46" s="57">
        <f t="shared" ref="ES46" si="374">IF(ER46&gt;0,EQ46/ER46-1,1)</f>
        <v>1</v>
      </c>
      <c r="ET46" s="99">
        <f>Serviceorderfile_Current!$U$739*Serviceorderfile_Current!$H$739</f>
        <v>0</v>
      </c>
      <c r="EU46" s="93">
        <f>Serviceorderfile_PREVIOUS!$U$739*Serviceorderfile_PREVIOUS!$H$739</f>
        <v>0</v>
      </c>
      <c r="EV46" s="57">
        <f t="shared" ref="EV46" si="375">IF(EU46&gt;0,ET46/EU46-1,1)</f>
        <v>1</v>
      </c>
      <c r="EW46" s="181"/>
      <c r="EX46" s="76" t="e">
        <f>Serviceorderfile_Current!$V733</f>
        <v>#DIV/0!</v>
      </c>
      <c r="EY46" s="47" t="e">
        <f>1-Aged!#REF!</f>
        <v>#REF!</v>
      </c>
      <c r="EZ46" s="99">
        <f>Serviceorderfile_Current!$U$733*Serviceorderfile_Current!$H$733</f>
        <v>0</v>
      </c>
      <c r="FA46" s="93">
        <f>Serviceorderfile_PREVIOUS!$U$733*Serviceorderfile_PREVIOUS!$H$733</f>
        <v>0</v>
      </c>
      <c r="FB46" s="57">
        <f t="shared" ref="FB46" si="376">IF(FA46&gt;0,EZ46/FA46-1,1)</f>
        <v>1</v>
      </c>
      <c r="FC46" s="84"/>
      <c r="FD46" s="118">
        <f t="shared" ref="FD46" si="377">EZ46+ET46+EQ46+EN46+EK46+EH46</f>
        <v>6448.4000000000005</v>
      </c>
      <c r="FE46" s="77">
        <f t="shared" ref="FE46" si="378">FA46+EU46+ER46+EO46+EL46+EI46</f>
        <v>18561.475000000002</v>
      </c>
      <c r="FF46" s="57">
        <f t="shared" ref="FF46" si="379">IF(FE46&gt;0,FD46/FE46-1,1)</f>
        <v>-0.6525922643539912</v>
      </c>
      <c r="FG46" s="94"/>
      <c r="FH46" s="84"/>
      <c r="FI46" s="84"/>
      <c r="FJ46" s="84"/>
      <c r="FK46" s="84"/>
      <c r="FL46" s="84"/>
      <c r="FM46" s="84"/>
      <c r="FN46" s="84"/>
      <c r="FO46" s="84"/>
      <c r="FP46" s="84"/>
      <c r="FQ46" s="84"/>
      <c r="FR46" s="84"/>
      <c r="FS46" s="84"/>
      <c r="FT46" s="84"/>
      <c r="FU46" s="84"/>
      <c r="FV46" s="84"/>
      <c r="FW46" s="84"/>
      <c r="FX46" s="84"/>
    </row>
    <row r="47" spans="1:180" s="63" customFormat="1" ht="12" hidden="1" customHeight="1" outlineLevel="1" x14ac:dyDescent="0.25">
      <c r="A47" s="110" t="s">
        <v>96</v>
      </c>
      <c r="B47" s="93"/>
      <c r="C47" s="93"/>
      <c r="D47" s="47"/>
      <c r="E47" s="93"/>
      <c r="F47" s="93"/>
      <c r="G47" s="47"/>
      <c r="H47" s="93"/>
      <c r="I47" s="93"/>
      <c r="J47" s="47"/>
      <c r="K47" s="93"/>
      <c r="L47" s="93"/>
      <c r="M47" s="47"/>
      <c r="N47" s="93"/>
      <c r="O47" s="93"/>
      <c r="P47" s="47"/>
      <c r="Q47" s="93"/>
      <c r="R47" s="93"/>
      <c r="S47" s="47"/>
      <c r="T47" s="93"/>
      <c r="U47" s="93"/>
      <c r="V47" s="47"/>
      <c r="W47" s="93"/>
      <c r="X47" s="93"/>
      <c r="Y47" s="47"/>
      <c r="Z47" s="93"/>
      <c r="AA47" s="93"/>
      <c r="AB47" s="47"/>
      <c r="AC47" s="93"/>
      <c r="AD47" s="93"/>
      <c r="AE47" s="47"/>
      <c r="AF47" s="93"/>
      <c r="AG47" s="93"/>
      <c r="AH47" s="47"/>
      <c r="AI47" s="93"/>
      <c r="AJ47" s="93"/>
      <c r="AK47" s="47"/>
      <c r="AL47" s="56"/>
      <c r="AM47" s="56"/>
      <c r="AN47" s="47"/>
      <c r="AO47" s="56"/>
      <c r="AP47" s="56"/>
      <c r="AQ47" s="47"/>
      <c r="AR47" s="72"/>
      <c r="AS47" s="71"/>
      <c r="AT47" s="93"/>
      <c r="AU47" s="93"/>
      <c r="AV47" s="47"/>
      <c r="AW47" s="75"/>
      <c r="AX47" s="75"/>
      <c r="AY47" s="208"/>
      <c r="AZ47" s="93"/>
      <c r="BA47" s="93"/>
      <c r="BB47" s="47"/>
      <c r="BC47" s="75"/>
      <c r="BD47" s="75"/>
      <c r="BE47" s="208"/>
      <c r="BF47" s="93"/>
      <c r="BG47" s="93"/>
      <c r="BH47" s="47"/>
      <c r="BI47" s="75"/>
      <c r="BJ47" s="75"/>
      <c r="BK47" s="208"/>
      <c r="BL47" s="93"/>
      <c r="BM47" s="93"/>
      <c r="BN47" s="47"/>
      <c r="BO47" s="75"/>
      <c r="BP47" s="75"/>
      <c r="BQ47" s="208"/>
      <c r="BR47" s="93"/>
      <c r="BS47" s="93"/>
      <c r="BT47" s="47"/>
      <c r="BU47" s="75"/>
      <c r="BV47" s="75"/>
      <c r="BW47" s="208"/>
      <c r="BX47" s="93"/>
      <c r="BY47" s="93"/>
      <c r="BZ47" s="47"/>
      <c r="CA47" s="75"/>
      <c r="CB47" s="75"/>
      <c r="CC47" s="208"/>
      <c r="CD47" s="77"/>
      <c r="CE47" s="77"/>
      <c r="CF47" s="47"/>
      <c r="CG47" s="75"/>
      <c r="CH47" s="75"/>
      <c r="CI47" s="208"/>
      <c r="CJ47" s="85"/>
      <c r="CK47" s="71"/>
      <c r="CL47" s="93"/>
      <c r="CM47" s="93"/>
      <c r="CN47" s="47"/>
      <c r="CO47" s="93"/>
      <c r="CP47" s="93"/>
      <c r="CQ47" s="47"/>
      <c r="CR47" s="93"/>
      <c r="CS47" s="93"/>
      <c r="CT47" s="47"/>
      <c r="CU47" s="93"/>
      <c r="CV47" s="93"/>
      <c r="CW47" s="47"/>
      <c r="CX47" s="93"/>
      <c r="CY47" s="93"/>
      <c r="CZ47" s="47"/>
      <c r="DA47" s="93"/>
      <c r="DB47" s="93"/>
      <c r="DC47" s="47"/>
      <c r="DD47" s="77"/>
      <c r="DE47" s="77"/>
      <c r="DF47" s="47"/>
      <c r="DG47" s="86"/>
      <c r="DH47" s="71"/>
      <c r="DI47" s="93"/>
      <c r="DJ47" s="93"/>
      <c r="DK47" s="47"/>
      <c r="DL47" s="93"/>
      <c r="DM47" s="93"/>
      <c r="DN47" s="47"/>
      <c r="DO47" s="93"/>
      <c r="DP47" s="93"/>
      <c r="DQ47" s="47"/>
      <c r="DR47" s="93"/>
      <c r="DS47" s="93"/>
      <c r="DT47" s="47"/>
      <c r="DU47" s="93"/>
      <c r="DV47" s="93"/>
      <c r="DW47" s="47"/>
      <c r="DX47" s="93"/>
      <c r="DY47" s="93"/>
      <c r="DZ47" s="47"/>
      <c r="EA47" s="77"/>
      <c r="EB47" s="77"/>
      <c r="EC47" s="47"/>
      <c r="ED47" s="94"/>
      <c r="EE47" s="71"/>
      <c r="EF47" s="47"/>
      <c r="EG47" s="47"/>
      <c r="EH47" s="93"/>
      <c r="EI47" s="93"/>
      <c r="EJ47" s="47"/>
      <c r="EK47" s="93"/>
      <c r="EL47" s="93"/>
      <c r="EM47" s="47"/>
      <c r="EN47" s="93"/>
      <c r="EO47" s="93"/>
      <c r="EP47" s="47"/>
      <c r="EQ47" s="93"/>
      <c r="ER47" s="93"/>
      <c r="ES47" s="47"/>
      <c r="ET47" s="93"/>
      <c r="EU47" s="93"/>
      <c r="EV47" s="47"/>
      <c r="EW47" s="84"/>
      <c r="EX47" s="47"/>
      <c r="EY47" s="47"/>
      <c r="EZ47" s="93"/>
      <c r="FA47" s="93"/>
      <c r="FB47" s="47"/>
      <c r="FC47" s="84"/>
      <c r="FD47" s="77"/>
      <c r="FE47" s="77"/>
      <c r="FF47" s="57"/>
      <c r="FG47" s="94"/>
      <c r="FH47" s="84"/>
      <c r="FI47" s="84"/>
      <c r="FJ47" s="84"/>
      <c r="FK47" s="84"/>
      <c r="FL47" s="84"/>
      <c r="FM47" s="84"/>
      <c r="FN47" s="84"/>
      <c r="FO47" s="84"/>
      <c r="FP47" s="84"/>
      <c r="FQ47" s="84"/>
      <c r="FR47" s="84"/>
      <c r="FS47" s="84"/>
      <c r="FT47" s="84"/>
      <c r="FU47" s="84"/>
      <c r="FV47" s="84"/>
      <c r="FW47" s="84"/>
      <c r="FX47" s="84"/>
    </row>
    <row r="48" spans="1:180" s="63" customFormat="1" ht="12" hidden="1" customHeight="1" outlineLevel="1" x14ac:dyDescent="0.25">
      <c r="A48" s="110" t="s">
        <v>113</v>
      </c>
      <c r="B48" s="93"/>
      <c r="C48" s="93"/>
      <c r="D48" s="47"/>
      <c r="E48" s="93"/>
      <c r="F48" s="93"/>
      <c r="G48" s="47"/>
      <c r="H48" s="93"/>
      <c r="I48" s="93"/>
      <c r="J48" s="47"/>
      <c r="K48" s="93"/>
      <c r="L48" s="93"/>
      <c r="M48" s="47"/>
      <c r="N48" s="93"/>
      <c r="O48" s="93"/>
      <c r="P48" s="47"/>
      <c r="Q48" s="93"/>
      <c r="R48" s="93"/>
      <c r="S48" s="47"/>
      <c r="T48" s="93"/>
      <c r="U48" s="93"/>
      <c r="V48" s="47"/>
      <c r="W48" s="93"/>
      <c r="X48" s="93"/>
      <c r="Y48" s="47"/>
      <c r="Z48" s="93"/>
      <c r="AA48" s="93"/>
      <c r="AB48" s="47"/>
      <c r="AC48" s="93"/>
      <c r="AD48" s="93"/>
      <c r="AE48" s="47"/>
      <c r="AF48" s="93"/>
      <c r="AG48" s="93"/>
      <c r="AH48" s="47"/>
      <c r="AI48" s="93"/>
      <c r="AJ48" s="93"/>
      <c r="AK48" s="47"/>
      <c r="AL48" s="56"/>
      <c r="AM48" s="56"/>
      <c r="AN48" s="47"/>
      <c r="AO48" s="56"/>
      <c r="AP48" s="56"/>
      <c r="AQ48" s="47"/>
      <c r="AR48" s="72"/>
      <c r="AS48" s="71"/>
      <c r="AT48" s="93"/>
      <c r="AU48" s="93"/>
      <c r="AV48" s="47"/>
      <c r="AW48" s="75"/>
      <c r="AX48" s="75"/>
      <c r="AY48" s="208"/>
      <c r="AZ48" s="93"/>
      <c r="BA48" s="93"/>
      <c r="BB48" s="47"/>
      <c r="BC48" s="75"/>
      <c r="BD48" s="75"/>
      <c r="BE48" s="208"/>
      <c r="BF48" s="93"/>
      <c r="BG48" s="93"/>
      <c r="BH48" s="47"/>
      <c r="BI48" s="75"/>
      <c r="BJ48" s="75"/>
      <c r="BK48" s="208"/>
      <c r="BL48" s="93"/>
      <c r="BM48" s="93"/>
      <c r="BN48" s="47"/>
      <c r="BO48" s="75"/>
      <c r="BP48" s="75"/>
      <c r="BQ48" s="208"/>
      <c r="BR48" s="93"/>
      <c r="BS48" s="93"/>
      <c r="BT48" s="47"/>
      <c r="BU48" s="75"/>
      <c r="BV48" s="75"/>
      <c r="BW48" s="208"/>
      <c r="BX48" s="93"/>
      <c r="BY48" s="93"/>
      <c r="BZ48" s="47"/>
      <c r="CA48" s="75"/>
      <c r="CB48" s="75"/>
      <c r="CC48" s="208"/>
      <c r="CD48" s="77"/>
      <c r="CE48" s="77"/>
      <c r="CF48" s="47"/>
      <c r="CG48" s="75"/>
      <c r="CH48" s="75"/>
      <c r="CI48" s="208"/>
      <c r="CJ48" s="85"/>
      <c r="CK48" s="71"/>
      <c r="CL48" s="93"/>
      <c r="CM48" s="93"/>
      <c r="CN48" s="47"/>
      <c r="CO48" s="93"/>
      <c r="CP48" s="93"/>
      <c r="CQ48" s="47"/>
      <c r="CR48" s="93"/>
      <c r="CS48" s="93"/>
      <c r="CT48" s="47"/>
      <c r="CU48" s="93"/>
      <c r="CV48" s="93"/>
      <c r="CW48" s="47"/>
      <c r="CX48" s="93"/>
      <c r="CY48" s="93"/>
      <c r="CZ48" s="47"/>
      <c r="DA48" s="93"/>
      <c r="DB48" s="93"/>
      <c r="DC48" s="47"/>
      <c r="DD48" s="77"/>
      <c r="DE48" s="77"/>
      <c r="DF48" s="47"/>
      <c r="DG48" s="86"/>
      <c r="DH48" s="71"/>
      <c r="DI48" s="93"/>
      <c r="DJ48" s="93"/>
      <c r="DK48" s="47"/>
      <c r="DL48" s="93"/>
      <c r="DM48" s="93"/>
      <c r="DN48" s="47"/>
      <c r="DO48" s="93"/>
      <c r="DP48" s="93"/>
      <c r="DQ48" s="47"/>
      <c r="DR48" s="93"/>
      <c r="DS48" s="93"/>
      <c r="DT48" s="47"/>
      <c r="DU48" s="93"/>
      <c r="DV48" s="93"/>
      <c r="DW48" s="47"/>
      <c r="DX48" s="93"/>
      <c r="DY48" s="93"/>
      <c r="DZ48" s="47"/>
      <c r="EA48" s="77"/>
      <c r="EB48" s="77"/>
      <c r="EC48" s="47"/>
      <c r="ED48" s="94"/>
      <c r="EE48" s="71"/>
      <c r="EF48" s="47"/>
      <c r="EG48" s="47"/>
      <c r="EH48" s="93"/>
      <c r="EI48" s="93"/>
      <c r="EJ48" s="47"/>
      <c r="EK48" s="93"/>
      <c r="EL48" s="93"/>
      <c r="EM48" s="47"/>
      <c r="EN48" s="93"/>
      <c r="EO48" s="93"/>
      <c r="EP48" s="47"/>
      <c r="EQ48" s="93"/>
      <c r="ER48" s="93"/>
      <c r="ES48" s="47"/>
      <c r="ET48" s="93"/>
      <c r="EU48" s="93"/>
      <c r="EV48" s="47"/>
      <c r="EW48" s="84"/>
      <c r="EX48" s="47"/>
      <c r="EY48" s="47"/>
      <c r="EZ48" s="93"/>
      <c r="FA48" s="93"/>
      <c r="FB48" s="47"/>
      <c r="FC48" s="84"/>
      <c r="FD48" s="77"/>
      <c r="FE48" s="77"/>
      <c r="FF48" s="57"/>
      <c r="FG48" s="94"/>
      <c r="FH48" s="84"/>
      <c r="FI48" s="84"/>
      <c r="FJ48" s="84"/>
      <c r="FK48" s="84"/>
      <c r="FL48" s="84"/>
      <c r="FM48" s="84"/>
      <c r="FN48" s="84"/>
      <c r="FO48" s="84"/>
      <c r="FP48" s="84"/>
      <c r="FQ48" s="84"/>
      <c r="FR48" s="84"/>
      <c r="FS48" s="84"/>
      <c r="FT48" s="84"/>
      <c r="FU48" s="84"/>
      <c r="FV48" s="84"/>
      <c r="FW48" s="84"/>
      <c r="FX48" s="84"/>
    </row>
    <row r="49" spans="1:181" s="63" customFormat="1" ht="12" hidden="1" customHeight="1" outlineLevel="1" x14ac:dyDescent="0.25">
      <c r="A49" s="111" t="s">
        <v>114</v>
      </c>
      <c r="B49" s="97"/>
      <c r="C49" s="97"/>
      <c r="D49" s="62"/>
      <c r="E49" s="97"/>
      <c r="F49" s="97"/>
      <c r="G49" s="62"/>
      <c r="H49" s="97"/>
      <c r="I49" s="97"/>
      <c r="J49" s="62"/>
      <c r="K49" s="97"/>
      <c r="L49" s="97"/>
      <c r="M49" s="62"/>
      <c r="N49" s="97"/>
      <c r="O49" s="97"/>
      <c r="P49" s="62"/>
      <c r="Q49" s="97"/>
      <c r="R49" s="97"/>
      <c r="S49" s="62"/>
      <c r="T49" s="97"/>
      <c r="U49" s="97"/>
      <c r="V49" s="62"/>
      <c r="W49" s="97"/>
      <c r="X49" s="97"/>
      <c r="Y49" s="62"/>
      <c r="Z49" s="97"/>
      <c r="AA49" s="97"/>
      <c r="AB49" s="62"/>
      <c r="AC49" s="97"/>
      <c r="AD49" s="97"/>
      <c r="AE49" s="62"/>
      <c r="AF49" s="97"/>
      <c r="AG49" s="97"/>
      <c r="AH49" s="62"/>
      <c r="AI49" s="97"/>
      <c r="AJ49" s="97"/>
      <c r="AK49" s="62"/>
      <c r="AL49" s="60"/>
      <c r="AM49" s="60"/>
      <c r="AN49" s="62"/>
      <c r="AO49" s="60"/>
      <c r="AP49" s="60"/>
      <c r="AQ49" s="62"/>
      <c r="AR49" s="72"/>
      <c r="AS49" s="209"/>
      <c r="AT49" s="97"/>
      <c r="AU49" s="97"/>
      <c r="AV49" s="62"/>
      <c r="AW49" s="82"/>
      <c r="AX49" s="82"/>
      <c r="AY49" s="210"/>
      <c r="AZ49" s="97"/>
      <c r="BA49" s="97"/>
      <c r="BB49" s="62"/>
      <c r="BC49" s="82"/>
      <c r="BD49" s="82"/>
      <c r="BE49" s="210"/>
      <c r="BF49" s="97"/>
      <c r="BG49" s="97"/>
      <c r="BH49" s="62"/>
      <c r="BI49" s="82"/>
      <c r="BJ49" s="82"/>
      <c r="BK49" s="210"/>
      <c r="BL49" s="97"/>
      <c r="BM49" s="97"/>
      <c r="BN49" s="62"/>
      <c r="BO49" s="82"/>
      <c r="BP49" s="82"/>
      <c r="BQ49" s="210"/>
      <c r="BR49" s="97"/>
      <c r="BS49" s="97"/>
      <c r="BT49" s="62"/>
      <c r="BU49" s="82"/>
      <c r="BV49" s="82"/>
      <c r="BW49" s="210"/>
      <c r="BX49" s="97"/>
      <c r="BY49" s="97"/>
      <c r="BZ49" s="62"/>
      <c r="CA49" s="82"/>
      <c r="CB49" s="82"/>
      <c r="CC49" s="210"/>
      <c r="CD49" s="80"/>
      <c r="CE49" s="80"/>
      <c r="CF49" s="62"/>
      <c r="CG49" s="82"/>
      <c r="CH49" s="82"/>
      <c r="CI49" s="210"/>
      <c r="CJ49" s="85"/>
      <c r="CK49" s="209"/>
      <c r="CL49" s="97"/>
      <c r="CM49" s="97"/>
      <c r="CN49" s="62"/>
      <c r="CO49" s="97"/>
      <c r="CP49" s="97"/>
      <c r="CQ49" s="62"/>
      <c r="CR49" s="97"/>
      <c r="CS49" s="97"/>
      <c r="CT49" s="62"/>
      <c r="CU49" s="97"/>
      <c r="CV49" s="97"/>
      <c r="CW49" s="62"/>
      <c r="CX49" s="97"/>
      <c r="CY49" s="97"/>
      <c r="CZ49" s="62"/>
      <c r="DA49" s="97"/>
      <c r="DB49" s="97"/>
      <c r="DC49" s="62"/>
      <c r="DD49" s="80"/>
      <c r="DE49" s="80"/>
      <c r="DF49" s="62"/>
      <c r="DG49" s="86"/>
      <c r="DH49" s="209"/>
      <c r="DI49" s="97"/>
      <c r="DJ49" s="97"/>
      <c r="DK49" s="62"/>
      <c r="DL49" s="97"/>
      <c r="DM49" s="97"/>
      <c r="DN49" s="62"/>
      <c r="DO49" s="97"/>
      <c r="DP49" s="97"/>
      <c r="DQ49" s="62"/>
      <c r="DR49" s="97"/>
      <c r="DS49" s="97"/>
      <c r="DT49" s="62"/>
      <c r="DU49" s="97"/>
      <c r="DV49" s="97"/>
      <c r="DW49" s="62"/>
      <c r="DX49" s="97"/>
      <c r="DY49" s="97"/>
      <c r="DZ49" s="62"/>
      <c r="EA49" s="80"/>
      <c r="EB49" s="80"/>
      <c r="EC49" s="62"/>
      <c r="ED49" s="94"/>
      <c r="EE49" s="209"/>
      <c r="EF49" s="62"/>
      <c r="EG49" s="62"/>
      <c r="EH49" s="97"/>
      <c r="EI49" s="97"/>
      <c r="EJ49" s="62"/>
      <c r="EK49" s="97"/>
      <c r="EL49" s="97"/>
      <c r="EM49" s="62"/>
      <c r="EN49" s="97"/>
      <c r="EO49" s="97"/>
      <c r="EP49" s="62"/>
      <c r="EQ49" s="97"/>
      <c r="ER49" s="97"/>
      <c r="ES49" s="62"/>
      <c r="ET49" s="97"/>
      <c r="EU49" s="97"/>
      <c r="EV49" s="62"/>
      <c r="EW49" s="84"/>
      <c r="EX49" s="62"/>
      <c r="EY49" s="47"/>
      <c r="EZ49" s="97"/>
      <c r="FA49" s="97"/>
      <c r="FB49" s="62"/>
      <c r="FC49" s="84"/>
      <c r="FD49" s="80"/>
      <c r="FE49" s="80"/>
      <c r="FF49" s="61"/>
      <c r="FG49" s="94"/>
      <c r="FH49" s="84"/>
      <c r="FI49" s="84"/>
      <c r="FJ49" s="84"/>
      <c r="FK49" s="84"/>
      <c r="FL49" s="84"/>
      <c r="FM49" s="84"/>
      <c r="FN49" s="84"/>
      <c r="FO49" s="84"/>
      <c r="FP49" s="84"/>
      <c r="FQ49" s="84"/>
      <c r="FR49" s="84"/>
      <c r="FS49" s="84"/>
      <c r="FT49" s="84"/>
      <c r="FU49" s="84"/>
      <c r="FV49" s="84"/>
      <c r="FW49" s="84"/>
      <c r="FX49" s="84"/>
    </row>
    <row r="50" spans="1:181" s="108" customFormat="1" ht="12" customHeight="1" collapsed="1" x14ac:dyDescent="0.25">
      <c r="A50" s="113" t="s">
        <v>69</v>
      </c>
      <c r="B50" s="115">
        <f>SUM(B21:B45)-B34</f>
        <v>20796.962744167904</v>
      </c>
      <c r="C50" s="104">
        <f>SUM(C21:C45)-C34</f>
        <v>15346.997397826399</v>
      </c>
      <c r="D50" s="70">
        <f t="shared" si="304"/>
        <v>0.35511606635923365</v>
      </c>
      <c r="E50" s="115">
        <f>SUM(E21:E45)-E34</f>
        <v>44363.518993983504</v>
      </c>
      <c r="F50" s="104">
        <f>SUM(F21:F45)-F34</f>
        <v>36196.627251452082</v>
      </c>
      <c r="G50" s="70">
        <f t="shared" ref="G50" si="380">IF(F50&gt;0,E50/F50-1,1)</f>
        <v>0.22562576578744076</v>
      </c>
      <c r="H50" s="115">
        <f>SUM(H21:H45)-H34</f>
        <v>27692.911243005994</v>
      </c>
      <c r="I50" s="104">
        <f>SUM(I21:I45)-I34</f>
        <v>17948.798514917304</v>
      </c>
      <c r="J50" s="70">
        <f t="shared" si="2"/>
        <v>0.54288384372861098</v>
      </c>
      <c r="K50" s="115">
        <f>SUM(K21:K45)-K34</f>
        <v>39552.91856803371</v>
      </c>
      <c r="L50" s="104">
        <f>SUM(L21:L45)-L34</f>
        <v>26663.478101606604</v>
      </c>
      <c r="M50" s="70">
        <f t="shared" si="258"/>
        <v>0.48341181961742841</v>
      </c>
      <c r="N50" s="115">
        <f>SUM(N21:N45)-N34</f>
        <v>39597.340748109302</v>
      </c>
      <c r="O50" s="104">
        <f>SUM(O21:O45)-O34</f>
        <v>32755.730787180706</v>
      </c>
      <c r="P50" s="70">
        <f t="shared" si="4"/>
        <v>0.20886757207096518</v>
      </c>
      <c r="Q50" s="115">
        <f>SUM(Q21:Q45)-Q34</f>
        <v>58203.409334852797</v>
      </c>
      <c r="R50" s="104">
        <f>SUM(R21:R45)-R34</f>
        <v>43548.91212053191</v>
      </c>
      <c r="S50" s="70">
        <f t="shared" si="259"/>
        <v>0.33650661981546404</v>
      </c>
      <c r="T50" s="115">
        <f>SUM(T21:T45)-T34</f>
        <v>65120.257787223331</v>
      </c>
      <c r="U50" s="104">
        <f>SUM(U21:U45)-U34</f>
        <v>50561.538720808196</v>
      </c>
      <c r="V50" s="70">
        <f t="shared" si="6"/>
        <v>0.28794058556654667</v>
      </c>
      <c r="W50" s="115">
        <f>SUM(W21:W45)-W34</f>
        <v>61642.304090124097</v>
      </c>
      <c r="X50" s="104">
        <f>SUM(X21:X45)-X34</f>
        <v>51404.65844754409</v>
      </c>
      <c r="Y50" s="70">
        <f t="shared" si="260"/>
        <v>0.19915793532656223</v>
      </c>
      <c r="Z50" s="115">
        <f>SUM(Z21:Z45)-Z34</f>
        <v>5993.3671736438992</v>
      </c>
      <c r="AA50" s="104">
        <f>SUM(AA21:AA45)-AA34</f>
        <v>5138.5531794790986</v>
      </c>
      <c r="AB50" s="70">
        <f t="shared" si="8"/>
        <v>0.16635305003332745</v>
      </c>
      <c r="AC50" s="115">
        <f>SUM(AC21:AC45)-AC34</f>
        <v>11359.563512595199</v>
      </c>
      <c r="AD50" s="104">
        <f>SUM(AD21:AD45)-AD34</f>
        <v>8309.0387500588004</v>
      </c>
      <c r="AE50" s="70">
        <f t="shared" si="261"/>
        <v>0.36713329354912583</v>
      </c>
      <c r="AF50" s="115">
        <f>SUM(AF21:AF45)-AF34</f>
        <v>2119.0974899875</v>
      </c>
      <c r="AG50" s="104">
        <f>SUM(AG21:AG45)-AG34</f>
        <v>892.9197246112999</v>
      </c>
      <c r="AH50" s="70">
        <f t="shared" si="10"/>
        <v>1.373222845883455</v>
      </c>
      <c r="AI50" s="115">
        <f>SUM(AI21:AI45)-AI34</f>
        <v>6824.4541674316006</v>
      </c>
      <c r="AJ50" s="104">
        <f>SUM(AJ21:AJ45)-AJ34</f>
        <v>5458.4427750321993</v>
      </c>
      <c r="AK50" s="70">
        <f t="shared" si="262"/>
        <v>0.25025661139982236</v>
      </c>
      <c r="AL50" s="115">
        <f t="shared" si="54"/>
        <v>161319.93718613795</v>
      </c>
      <c r="AM50" s="104">
        <f t="shared" si="55"/>
        <v>122644.53832482301</v>
      </c>
      <c r="AN50" s="70">
        <f t="shared" si="12"/>
        <v>0.31534546413215314</v>
      </c>
      <c r="AO50" s="115">
        <f t="shared" si="165"/>
        <v>221946.16866702092</v>
      </c>
      <c r="AP50" s="104">
        <f t="shared" si="166"/>
        <v>171581.1574462257</v>
      </c>
      <c r="AQ50" s="70">
        <f t="shared" si="263"/>
        <v>0.29353462798838992</v>
      </c>
      <c r="AR50" s="72"/>
      <c r="AS50" s="113" t="s">
        <v>69</v>
      </c>
      <c r="AT50" s="115">
        <f>SUM(AT21:AT45)-AT34</f>
        <v>7988.0991921580007</v>
      </c>
      <c r="AU50" s="104">
        <f>SUM(AU21:AU45)-AU34</f>
        <v>9013.9512745952998</v>
      </c>
      <c r="AV50" s="70">
        <f t="shared" si="264"/>
        <v>-0.1138071475190392</v>
      </c>
      <c r="AW50" s="107">
        <f t="shared" ref="AW50" si="381">AT50/B50</f>
        <v>0.38409931731007718</v>
      </c>
      <c r="AX50" s="107">
        <f t="shared" ref="AX50" si="382">AU50/C50</f>
        <v>0.587342985792905</v>
      </c>
      <c r="AY50" s="130">
        <f t="shared" si="180"/>
        <v>-20.324366848282782</v>
      </c>
      <c r="AZ50" s="115">
        <f>SUM(AZ21:AZ45)-AZ34</f>
        <v>7194.0820845117023</v>
      </c>
      <c r="BA50" s="104">
        <f>SUM(BA21:BA45)-BA34</f>
        <v>6915.0132462100983</v>
      </c>
      <c r="BB50" s="70">
        <f t="shared" si="265"/>
        <v>4.0356949201008741E-2</v>
      </c>
      <c r="BC50" s="107">
        <f t="shared" si="266"/>
        <v>0.25978063560683279</v>
      </c>
      <c r="BD50" s="107">
        <f t="shared" si="267"/>
        <v>0.38526329439059714</v>
      </c>
      <c r="BE50" s="130">
        <f t="shared" si="268"/>
        <v>-12.548265878376435</v>
      </c>
      <c r="BF50" s="115">
        <f>SUM(BF21:BF45)-BF34</f>
        <v>8388.7721264939973</v>
      </c>
      <c r="BG50" s="104">
        <f>SUM(BG21:BG45)-BG34</f>
        <v>7925.1109644872986</v>
      </c>
      <c r="BH50" s="70">
        <f t="shared" si="269"/>
        <v>5.850532113485607E-2</v>
      </c>
      <c r="BI50" s="107">
        <f t="shared" si="270"/>
        <v>0.21185190641607785</v>
      </c>
      <c r="BJ50" s="107">
        <f t="shared" si="271"/>
        <v>0.24194578396000471</v>
      </c>
      <c r="BK50" s="130">
        <f t="shared" si="272"/>
        <v>-3.0093877543926868</v>
      </c>
      <c r="BL50" s="115">
        <f>SUM(BL21:BL45)-BL34</f>
        <v>12581.637538659301</v>
      </c>
      <c r="BM50" s="104">
        <f>SUM(BM21:BM45)-BM34</f>
        <v>10065.450735025401</v>
      </c>
      <c r="BN50" s="70">
        <f t="shared" si="273"/>
        <v>0.24998252635405205</v>
      </c>
      <c r="BO50" s="107">
        <f t="shared" si="274"/>
        <v>0.19320619982447049</v>
      </c>
      <c r="BP50" s="107">
        <f t="shared" si="275"/>
        <v>0.19907326773825113</v>
      </c>
      <c r="BQ50" s="130">
        <f t="shared" si="276"/>
        <v>-0.58670679137806381</v>
      </c>
      <c r="BR50" s="115">
        <f>SUM(BR21:BR45)-BR34</f>
        <v>1981.4680999411003</v>
      </c>
      <c r="BS50" s="104">
        <f>SUM(BS21:BS45)-BS34</f>
        <v>1355.5952355230004</v>
      </c>
      <c r="BT50" s="70">
        <f t="shared" si="277"/>
        <v>0.46169597533044793</v>
      </c>
      <c r="BU50" s="107">
        <f t="shared" si="278"/>
        <v>0.33061016329096188</v>
      </c>
      <c r="BV50" s="107">
        <f t="shared" si="279"/>
        <v>0.26380873918685777</v>
      </c>
      <c r="BW50" s="130">
        <f t="shared" si="280"/>
        <v>6.6801424104104115</v>
      </c>
      <c r="BX50" s="115">
        <f>SUM(BX21:BX45)-BX34</f>
        <v>1226.1027835414002</v>
      </c>
      <c r="BY50" s="104">
        <f>SUM(BY21:BY45)-BY34</f>
        <v>698.64805193580003</v>
      </c>
      <c r="BZ50" s="70">
        <f t="shared" si="281"/>
        <v>0.75496486413171726</v>
      </c>
      <c r="CA50" s="107">
        <f t="shared" si="282"/>
        <v>0.5785966853033423</v>
      </c>
      <c r="CB50" s="107">
        <f t="shared" si="283"/>
        <v>0.78243097635672798</v>
      </c>
      <c r="CC50" s="130">
        <f t="shared" si="284"/>
        <v>-20.383429105338568</v>
      </c>
      <c r="CD50" s="115">
        <f t="shared" si="201"/>
        <v>39360.161825305498</v>
      </c>
      <c r="CE50" s="104">
        <f t="shared" si="202"/>
        <v>35973.769507776902</v>
      </c>
      <c r="CF50" s="70">
        <f t="shared" si="32"/>
        <v>9.4135042389608792E-2</v>
      </c>
      <c r="CG50" s="107">
        <f t="shared" si="153"/>
        <v>0.24398820450748152</v>
      </c>
      <c r="CH50" s="107">
        <f t="shared" si="154"/>
        <v>0.29331733804974408</v>
      </c>
      <c r="CI50" s="130">
        <f t="shared" si="83"/>
        <v>-4.9329133542262564</v>
      </c>
      <c r="CJ50" s="85"/>
      <c r="CK50" s="113" t="s">
        <v>69</v>
      </c>
      <c r="CL50" s="115">
        <f>SUM(CL21:CL45)-CL34</f>
        <v>6821.2349060703</v>
      </c>
      <c r="CM50" s="104">
        <f>SUM(CM21:CM45)-CM34</f>
        <v>3171.1484856389993</v>
      </c>
      <c r="CN50" s="70">
        <f t="shared" si="285"/>
        <v>1.1510298041738634</v>
      </c>
      <c r="CO50" s="115">
        <f>SUM(CO21:CO45)-CO34</f>
        <v>7851.4292905138991</v>
      </c>
      <c r="CP50" s="104">
        <f>SUM(CP21:CP45)-CP34</f>
        <v>3154.6018266016999</v>
      </c>
      <c r="CQ50" s="70">
        <f t="shared" si="286"/>
        <v>1.4888812351230598</v>
      </c>
      <c r="CR50" s="115">
        <f>SUM(CR21:CR45)-CR34</f>
        <v>6407.3697801201015</v>
      </c>
      <c r="CS50" s="104">
        <f>SUM(CS21:CS45)-CS34</f>
        <v>5125.0681864970011</v>
      </c>
      <c r="CT50" s="70">
        <f t="shared" si="287"/>
        <v>0.25020186014335888</v>
      </c>
      <c r="CU50" s="115">
        <f>SUM(CU21:CU45)-CU34</f>
        <v>10129.623917323499</v>
      </c>
      <c r="CV50" s="104">
        <f>SUM(CV21:CV45)-CV34</f>
        <v>6773.5758102372001</v>
      </c>
      <c r="CW50" s="70">
        <f t="shared" si="288"/>
        <v>0.49546180645297522</v>
      </c>
      <c r="CX50" s="115">
        <f>SUM(CX21:CX45)-CX34</f>
        <v>1443.7808465293003</v>
      </c>
      <c r="CY50" s="104">
        <f>SUM(CY21:CY45)-CY34</f>
        <v>743.5438361386</v>
      </c>
      <c r="CZ50" s="70">
        <f t="shared" si="289"/>
        <v>0.94175619022974844</v>
      </c>
      <c r="DA50" s="115">
        <f>SUM(DA21:DA45)-DA34</f>
        <v>692.62007644130006</v>
      </c>
      <c r="DB50" s="104">
        <f>SUM(DB21:DB45)-DB34</f>
        <v>146.0173381404</v>
      </c>
      <c r="DC50" s="70">
        <f t="shared" si="290"/>
        <v>3.7434098255874613</v>
      </c>
      <c r="DD50" s="175">
        <f t="shared" si="167"/>
        <v>33346.058816998397</v>
      </c>
      <c r="DE50" s="176">
        <f t="shared" si="168"/>
        <v>19113.9554832539</v>
      </c>
      <c r="DF50" s="70">
        <f t="shared" si="291"/>
        <v>0.74459226119959898</v>
      </c>
      <c r="DG50" s="86"/>
      <c r="DH50" s="113" t="s">
        <v>69</v>
      </c>
      <c r="DI50" s="115">
        <f>SUM(DI21:DI45)-DI34</f>
        <v>2631.7843787292995</v>
      </c>
      <c r="DJ50" s="104">
        <f>SUM(DJ21:DJ45)-DJ34</f>
        <v>798.52755639039992</v>
      </c>
      <c r="DK50" s="70">
        <f t="shared" si="292"/>
        <v>2.2957965666530122</v>
      </c>
      <c r="DL50" s="115">
        <f>SUM(DL21:DL45)-DL34</f>
        <v>4707.5123828578016</v>
      </c>
      <c r="DM50" s="104">
        <f>SUM(DM21:DM45)-DM34</f>
        <v>2011.1762417692</v>
      </c>
      <c r="DN50" s="70">
        <f t="shared" si="293"/>
        <v>1.3406762098167375</v>
      </c>
      <c r="DO50" s="115">
        <f>SUM(DO21:DO45)-DO34</f>
        <v>5335.0947982171992</v>
      </c>
      <c r="DP50" s="104">
        <f>SUM(DP21:DP45)-DP34</f>
        <v>4167.9028851130988</v>
      </c>
      <c r="DQ50" s="70">
        <f t="shared" si="294"/>
        <v>0.28004297251576382</v>
      </c>
      <c r="DR50" s="115">
        <f>SUM(DR21:DR45)-DR34</f>
        <v>6479.8698160046988</v>
      </c>
      <c r="DS50" s="104">
        <f>SUM(DS21:DS45)-DS34</f>
        <v>4610.0440808101994</v>
      </c>
      <c r="DT50" s="70">
        <f t="shared" si="295"/>
        <v>0.40559823342641099</v>
      </c>
      <c r="DU50" s="115">
        <f>SUM(DU21:DU45)-DU34</f>
        <v>1088.0522620206998</v>
      </c>
      <c r="DV50" s="104">
        <f>SUM(DV21:DV45)-DV34</f>
        <v>414.6450000000001</v>
      </c>
      <c r="DW50" s="70">
        <f t="shared" si="296"/>
        <v>1.6240573551368027</v>
      </c>
      <c r="DX50" s="115">
        <f>SUM(DX21:DX45)-DX34</f>
        <v>154.71834535100001</v>
      </c>
      <c r="DY50" s="104">
        <f>SUM(DY21:DY45)-DY34</f>
        <v>48.2543345351</v>
      </c>
      <c r="DZ50" s="70">
        <f t="shared" si="297"/>
        <v>2.2063097925111483</v>
      </c>
      <c r="EA50" s="175">
        <f t="shared" si="169"/>
        <v>20397.031983180703</v>
      </c>
      <c r="EB50" s="176">
        <f t="shared" si="170"/>
        <v>12050.550098618</v>
      </c>
      <c r="EC50" s="70">
        <f t="shared" si="298"/>
        <v>0.69262247916133779</v>
      </c>
      <c r="ED50" s="94"/>
      <c r="EE50" s="127" t="s">
        <v>69</v>
      </c>
      <c r="EF50" s="113"/>
      <c r="EG50" s="177"/>
      <c r="EH50" s="115">
        <f>SUM(EH21:EH45)-EH34</f>
        <v>56487.784513071092</v>
      </c>
      <c r="EI50" s="104">
        <f>SUM(EI21:EI45)-EI34</f>
        <v>59970.045882060607</v>
      </c>
      <c r="EJ50" s="61">
        <f t="shared" si="47"/>
        <v>-5.8066678418720263E-2</v>
      </c>
      <c r="EK50" s="115">
        <f>SUM(EK21:EK45)-EK34</f>
        <v>102452.38693639589</v>
      </c>
      <c r="EL50" s="104">
        <f>SUM(EL21:EL45)-EL34</f>
        <v>92339.36977558049</v>
      </c>
      <c r="EM50" s="61">
        <f t="shared" si="299"/>
        <v>0.10952010161422865</v>
      </c>
      <c r="EN50" s="115">
        <f>SUM(EN21:EN45)-EN34</f>
        <v>63862.083924241699</v>
      </c>
      <c r="EO50" s="104">
        <f>SUM(EO21:EO45)-EO34</f>
        <v>59408.589578301806</v>
      </c>
      <c r="EP50" s="61">
        <f t="shared" si="300"/>
        <v>7.4963812094378968E-2</v>
      </c>
      <c r="EQ50" s="115">
        <f>SUM(EQ21:EQ45)-EQ34</f>
        <v>38557.609102242408</v>
      </c>
      <c r="ER50" s="104">
        <f>SUM(ER21:ER45)-ER34</f>
        <v>36349.508889719698</v>
      </c>
      <c r="ES50" s="61">
        <f t="shared" si="301"/>
        <v>6.0746356139826707E-2</v>
      </c>
      <c r="ET50" s="115">
        <f>SUM(ET21:ET45)-ET34</f>
        <v>181.28465940630005</v>
      </c>
      <c r="EU50" s="104">
        <f>SUM(EU21:EU45)-EU34</f>
        <v>350.99459304229998</v>
      </c>
      <c r="EV50" s="61">
        <f t="shared" si="302"/>
        <v>-0.48351153265642299</v>
      </c>
      <c r="EW50" s="128"/>
      <c r="EX50" s="113"/>
      <c r="EY50" s="177"/>
      <c r="EZ50" s="115">
        <f>SUM(EZ21:EZ45)-EZ34</f>
        <v>15922.614701304505</v>
      </c>
      <c r="FA50" s="104">
        <f>SUM(FA21:FA45)-FA34</f>
        <v>15836.262390722695</v>
      </c>
      <c r="FB50" s="61">
        <f t="shared" si="303"/>
        <v>5.452821407682551E-3</v>
      </c>
      <c r="FC50" s="84"/>
      <c r="FD50" s="115">
        <f t="shared" si="66"/>
        <v>277463.76383666194</v>
      </c>
      <c r="FE50" s="104">
        <f t="shared" si="67"/>
        <v>264254.77110942762</v>
      </c>
      <c r="FF50" s="61">
        <f t="shared" si="53"/>
        <v>4.9985824936210843E-2</v>
      </c>
      <c r="FG50" s="94"/>
      <c r="FH50" s="84"/>
      <c r="FI50" s="84"/>
      <c r="FJ50" s="84"/>
      <c r="FK50" s="84"/>
      <c r="FL50" s="84"/>
      <c r="FM50" s="84"/>
      <c r="FN50" s="84"/>
      <c r="FO50" s="84"/>
      <c r="FP50" s="84"/>
      <c r="FQ50" s="84"/>
      <c r="FR50" s="84"/>
      <c r="FS50" s="84"/>
      <c r="FT50" s="84"/>
      <c r="FU50" s="84"/>
      <c r="FV50" s="84"/>
      <c r="FW50" s="84"/>
      <c r="FX50" s="84"/>
      <c r="FY50" s="63"/>
    </row>
    <row r="51" spans="1:181" s="90" customFormat="1" ht="5" customHeight="1" x14ac:dyDescent="0.25">
      <c r="A51" s="71"/>
      <c r="B51" s="71"/>
      <c r="C51" s="71"/>
      <c r="D51" s="71"/>
      <c r="E51" s="71"/>
      <c r="F51" s="101"/>
      <c r="G51" s="101"/>
      <c r="H51" s="71"/>
      <c r="I51" s="71"/>
      <c r="J51" s="71"/>
      <c r="K51" s="71"/>
      <c r="L51" s="101"/>
      <c r="M51" s="101"/>
      <c r="N51" s="71"/>
      <c r="O51" s="71"/>
      <c r="P51" s="71"/>
      <c r="Q51" s="71"/>
      <c r="R51" s="101"/>
      <c r="S51" s="101"/>
      <c r="T51" s="71"/>
      <c r="U51" s="71"/>
      <c r="V51" s="71"/>
      <c r="W51" s="71"/>
      <c r="X51" s="101"/>
      <c r="Y51" s="101"/>
      <c r="Z51" s="71"/>
      <c r="AA51" s="71"/>
      <c r="AB51" s="71"/>
      <c r="AC51" s="71"/>
      <c r="AD51" s="101"/>
      <c r="AE51" s="101"/>
      <c r="AF51" s="71"/>
      <c r="AG51" s="71"/>
      <c r="AH51" s="71"/>
      <c r="AI51" s="71"/>
      <c r="AJ51" s="101"/>
      <c r="AK51" s="101"/>
      <c r="AM51" s="71"/>
      <c r="AN51" s="71"/>
      <c r="AP51" s="71"/>
      <c r="AQ51" s="71"/>
      <c r="AR51" s="103"/>
      <c r="AS51" s="71"/>
      <c r="AT51" s="71"/>
      <c r="AU51" s="71"/>
      <c r="AV51" s="71"/>
      <c r="AZ51" s="71"/>
      <c r="BA51" s="71"/>
      <c r="BB51" s="71"/>
      <c r="BF51" s="71"/>
      <c r="BG51" s="71"/>
      <c r="BH51" s="71"/>
      <c r="BL51" s="71"/>
      <c r="BM51" s="71"/>
      <c r="BN51" s="71"/>
      <c r="BR51" s="71"/>
      <c r="BS51" s="71"/>
      <c r="BT51" s="71"/>
      <c r="BX51" s="71"/>
      <c r="BY51" s="71"/>
      <c r="BZ51" s="71"/>
      <c r="CD51" s="72"/>
      <c r="CG51" s="174"/>
      <c r="CH51" s="174"/>
      <c r="CI51" s="174"/>
      <c r="CK51" s="71"/>
      <c r="CL51" s="71"/>
      <c r="CM51" s="71"/>
      <c r="CN51" s="71"/>
      <c r="CO51" s="71"/>
      <c r="CP51" s="71"/>
      <c r="CQ51" s="71"/>
      <c r="CR51" s="71"/>
      <c r="CS51" s="71"/>
      <c r="CT51" s="71"/>
      <c r="CU51" s="71"/>
      <c r="CV51" s="71"/>
      <c r="CW51" s="71"/>
      <c r="CX51" s="71"/>
      <c r="CY51" s="71"/>
      <c r="CZ51" s="71"/>
      <c r="DA51" s="71"/>
      <c r="DB51" s="71"/>
      <c r="DC51" s="71"/>
      <c r="DD51" s="77"/>
      <c r="DE51" s="77"/>
      <c r="DH51" s="71"/>
      <c r="DI51" s="71"/>
      <c r="DJ51" s="71"/>
      <c r="DK51" s="71"/>
      <c r="DL51" s="71"/>
      <c r="DM51" s="71"/>
      <c r="DN51" s="71"/>
      <c r="DO51" s="71"/>
      <c r="DP51" s="71"/>
      <c r="DQ51" s="71"/>
      <c r="DR51" s="71"/>
      <c r="DS51" s="71"/>
      <c r="DT51" s="71"/>
      <c r="DU51" s="71"/>
      <c r="DV51" s="71"/>
      <c r="DW51" s="71"/>
      <c r="DX51" s="71"/>
      <c r="DY51" s="71"/>
      <c r="DZ51" s="71"/>
      <c r="EA51" s="77"/>
      <c r="EB51" s="77"/>
      <c r="EH51" s="71"/>
      <c r="EI51" s="71"/>
      <c r="EJ51" s="159"/>
      <c r="EK51" s="71"/>
      <c r="EL51" s="71"/>
      <c r="EM51" s="159"/>
      <c r="EN51" s="71"/>
      <c r="EO51" s="71"/>
      <c r="EP51" s="159"/>
      <c r="EQ51" s="71"/>
      <c r="ER51" s="71"/>
      <c r="ES51" s="159"/>
      <c r="ET51" s="71"/>
      <c r="EU51" s="71"/>
      <c r="EV51" s="159"/>
      <c r="EX51" s="213"/>
      <c r="EY51" s="166"/>
      <c r="EZ51" s="71"/>
      <c r="FA51" s="159"/>
      <c r="FB51" s="159"/>
      <c r="FD51" s="180"/>
      <c r="FE51" s="179"/>
    </row>
    <row r="52" spans="1:181" s="63" customFormat="1" ht="12" customHeight="1" x14ac:dyDescent="0.25">
      <c r="A52" s="109" t="s">
        <v>81</v>
      </c>
      <c r="B52" s="168">
        <f>Serviceorderfile_Current!$W709</f>
        <v>2867.4308000000001</v>
      </c>
      <c r="C52" s="169">
        <f>Serviceorderfile_PREVIOUS!$W709</f>
        <v>3767.9854</v>
      </c>
      <c r="D52" s="59">
        <f t="shared" ref="D52:D54" si="383">IF(C52&gt;0,B52/C52-1,1)</f>
        <v>-0.23900161608906445</v>
      </c>
      <c r="E52" s="168">
        <f>'YOY Orders'!$J43</f>
        <v>6230.1327999999994</v>
      </c>
      <c r="F52" s="169">
        <f>'YOY Orders'!$B43</f>
        <v>6080.6041999999998</v>
      </c>
      <c r="G52" s="59">
        <f t="shared" ref="G52:G54" si="384">IF(F52&gt;0,E52/F52-1,1)</f>
        <v>2.4591075998664724E-2</v>
      </c>
      <c r="H52" s="168">
        <f>Serviceorderfile_Current!$W711</f>
        <v>1482.4305999999999</v>
      </c>
      <c r="I52" s="169">
        <f>Serviceorderfile_PREVIOUS!$W711</f>
        <v>682.68939999999998</v>
      </c>
      <c r="J52" s="59">
        <f t="shared" ref="J52:J54" si="385">IF(I52&gt;0,H52/I52-1,1)</f>
        <v>1.1714568880079286</v>
      </c>
      <c r="K52" s="168">
        <f>'YOY Orders'!$K43</f>
        <v>1583.9205999999999</v>
      </c>
      <c r="L52" s="169">
        <f>'YOY Orders'!$C43</f>
        <v>812.59659999999997</v>
      </c>
      <c r="M52" s="59">
        <f t="shared" ref="M52:M54" si="386">IF(L52&gt;0,K52/L52-1,1)</f>
        <v>0.9492089925062448</v>
      </c>
      <c r="N52" s="168">
        <f>Serviceorderfile_Current!$W710</f>
        <v>1396.5023999999999</v>
      </c>
      <c r="O52" s="169">
        <f>Serviceorderfile_PREVIOUS!$W710</f>
        <v>950.62299999999993</v>
      </c>
      <c r="P52" s="59">
        <f t="shared" ref="P52:P54" si="387">IF(O52&gt;0,N52/O52-1,1)</f>
        <v>0.4690391459074732</v>
      </c>
      <c r="Q52" s="168">
        <f>'YOY Orders'!$O43</f>
        <v>1172.5478000000001</v>
      </c>
      <c r="R52" s="169">
        <f>'YOY Orders'!$G43</f>
        <v>1240.2077999999999</v>
      </c>
      <c r="S52" s="59">
        <f t="shared" ref="S52:S54" si="388">IF(R52&gt;0,Q52/R52-1,1)</f>
        <v>-5.455537370430974E-2</v>
      </c>
      <c r="T52" s="168">
        <f>Serviceorderfile_Current!$W712</f>
        <v>4120.4939999999997</v>
      </c>
      <c r="U52" s="169">
        <f>Serviceorderfile_PREVIOUS!$W712</f>
        <v>3577.8607999999999</v>
      </c>
      <c r="V52" s="59">
        <f t="shared" ref="V52:V54" si="389">IF(U52&gt;0,T52/U52-1,1)</f>
        <v>0.15166414523449312</v>
      </c>
      <c r="W52" s="168">
        <f>'YOY Orders'!$L43</f>
        <v>3383</v>
      </c>
      <c r="X52" s="169">
        <f>'YOY Orders'!$D43</f>
        <v>2816.6857999999997</v>
      </c>
      <c r="Y52" s="59">
        <f t="shared" ref="Y52:Y54" si="390">IF(X52&gt;0,W52/X52-1,1)</f>
        <v>0.2010569300984868</v>
      </c>
      <c r="Z52" s="168">
        <f>Serviceorderfile_Current!$W713</f>
        <v>1069.7046</v>
      </c>
      <c r="AA52" s="169">
        <f>Serviceorderfile_PREVIOUS!$W713</f>
        <v>1293.6592000000001</v>
      </c>
      <c r="AB52" s="59">
        <f t="shared" ref="AB52:AB54" si="391">IF(AA52&gt;0,Z52/AA52-1,1)</f>
        <v>-0.17311715481171552</v>
      </c>
      <c r="AC52" s="168">
        <f>'YOY Orders'!$N43</f>
        <v>928.97179999999992</v>
      </c>
      <c r="AD52" s="169">
        <f>'YOY Orders'!$F43</f>
        <v>652.24239999999998</v>
      </c>
      <c r="AE52" s="59">
        <f t="shared" ref="AE52:AE54" si="392">IF(AD52&gt;0,AC52/AD52-1,1)</f>
        <v>0.42427385892116165</v>
      </c>
      <c r="AF52" s="168">
        <f>Serviceorderfile_Current!$W707</f>
        <v>56.834399999999995</v>
      </c>
      <c r="AG52" s="169">
        <f>Serviceorderfile_PREVIOUS!$W707</f>
        <v>29.770399999999999</v>
      </c>
      <c r="AH52" s="59">
        <f t="shared" ref="AH52:AH54" si="393">IF(AG52&gt;0,AF52/AG52-1,1)</f>
        <v>0.90909090909090895</v>
      </c>
      <c r="AI52" s="168">
        <f>'YOY Orders'!$M43</f>
        <v>389.72159999999997</v>
      </c>
      <c r="AJ52" s="169">
        <f>'YOY Orders'!$E43</f>
        <v>439.11340000000001</v>
      </c>
      <c r="AK52" s="59">
        <f t="shared" ref="AK52:AK54" si="394">IF(AJ52&gt;0,AI52/AJ52-1,1)</f>
        <v>-0.11248073959938376</v>
      </c>
      <c r="AL52" s="169">
        <f t="shared" si="54"/>
        <v>10993.396799999999</v>
      </c>
      <c r="AM52" s="169">
        <f t="shared" si="55"/>
        <v>10302.588199999998</v>
      </c>
      <c r="AN52" s="59">
        <f t="shared" ref="AN52:AN54" si="395">IF(AM52&gt;0,AL52/AM52-1,1)</f>
        <v>6.7051947199054274E-2</v>
      </c>
      <c r="AO52" s="169">
        <f t="shared" ref="AO52:AO54" si="396">E52+W52+AC52+AI52+Q52+K52</f>
        <v>13688.294599999999</v>
      </c>
      <c r="AP52" s="169">
        <f t="shared" ref="AP52:AP54" si="397">F52+X52+AD52+AJ52+R52+L52</f>
        <v>12041.450199999999</v>
      </c>
      <c r="AQ52" s="59">
        <f t="shared" ref="AQ52:AQ54" si="398">IF(AP52&gt;0,AO52/AP52-1,1)</f>
        <v>0.13676462325110972</v>
      </c>
      <c r="AR52" s="72"/>
      <c r="AS52" s="123" t="s">
        <v>81</v>
      </c>
      <c r="AT52" s="168">
        <f>Serviceorderfile_Current!$I709*Serviceorderfile_Current!$U709</f>
        <v>1036.5511999999999</v>
      </c>
      <c r="AU52" s="169">
        <f>Serviceorderfile_PREVIOUS!$I709*Serviceorderfile_PREVIOUS!$U709</f>
        <v>1069.028</v>
      </c>
      <c r="AV52" s="59">
        <f t="shared" ref="AV52:AV54" si="399">IF(AU52&gt;0,AT52/AU52-1,1)</f>
        <v>-3.03797468354432E-2</v>
      </c>
      <c r="AW52" s="74">
        <f t="shared" ref="AW52:AW53" si="400">AT52/B52</f>
        <v>0.36149126946672955</v>
      </c>
      <c r="AX52" s="172">
        <f t="shared" ref="AX52:AX53" si="401">AU52/C52</f>
        <v>0.28371341353923507</v>
      </c>
      <c r="AY52" s="173">
        <f t="shared" ref="AY52:AY53" si="402">(AW52-AX52)*100</f>
        <v>7.7777855927494475</v>
      </c>
      <c r="AZ52" s="168">
        <f>Serviceorderfile_Current!$I711*Serviceorderfile_Current!$U711</f>
        <v>13.532</v>
      </c>
      <c r="BA52" s="169">
        <f>Serviceorderfile_PREVIOUS!$I711*Serviceorderfile_PREVIOUS!$U711</f>
        <v>374.83639999999997</v>
      </c>
      <c r="BB52" s="59">
        <f t="shared" ref="BB52:BB54" si="403">IF(BA52&gt;0,AZ52/BA52-1,1)</f>
        <v>-0.96389891696750907</v>
      </c>
      <c r="BC52" s="74">
        <f t="shared" ref="BC52:BC54" si="404">AZ52/H52</f>
        <v>9.1282519397535376E-3</v>
      </c>
      <c r="BD52" s="172">
        <f t="shared" ref="BD52:BD54" si="405">BA52/I52</f>
        <v>0.54905847373637262</v>
      </c>
      <c r="BE52" s="173">
        <f t="shared" ref="BE52:BE54" si="406">(BC52-BD52)*100</f>
        <v>-53.993022179661907</v>
      </c>
      <c r="BF52" s="168">
        <f>Serviceorderfile_Current!$I710*Serviceorderfile_Current!$U710</f>
        <v>366.71719999999999</v>
      </c>
      <c r="BG52" s="169">
        <f>Serviceorderfile_PREVIOUS!$I710*Serviceorderfile_PREVIOUS!$U710</f>
        <v>154.26480000000001</v>
      </c>
      <c r="BH52" s="59">
        <f t="shared" ref="BH52:BH54" si="407">IF(BG52&gt;0,BF52/BG52-1,1)</f>
        <v>1.37719298245614</v>
      </c>
      <c r="BI52" s="74">
        <f t="shared" ref="BI52:BI54" si="408">BF52/N52</f>
        <v>0.26259689922480622</v>
      </c>
      <c r="BJ52" s="172">
        <f t="shared" ref="BJ52:BJ54" si="409">BG52/O52</f>
        <v>0.1622775800711744</v>
      </c>
      <c r="BK52" s="173">
        <f t="shared" ref="BK52:BK54" si="410">(BI52-BJ52)*100</f>
        <v>10.031931915363183</v>
      </c>
      <c r="BL52" s="168">
        <f>Serviceorderfile_Current!$I712*Serviceorderfile_Current!$U712</f>
        <v>529.10119999999995</v>
      </c>
      <c r="BM52" s="169">
        <f>Serviceorderfile_PREVIOUS!$I712*Serviceorderfile_PREVIOUS!$U712</f>
        <v>571.72699999999998</v>
      </c>
      <c r="BN52" s="59">
        <f t="shared" ref="BN52:BN54" si="411">IF(BM52&gt;0,BL52/BM52-1,1)</f>
        <v>-7.4556213017751505E-2</v>
      </c>
      <c r="BO52" s="74">
        <f t="shared" ref="BO52:BO54" si="412">BL52/T52</f>
        <v>0.1284072249589491</v>
      </c>
      <c r="BP52" s="172">
        <f t="shared" ref="BP52:BP54" si="413">BM52/U52</f>
        <v>0.15979576399394857</v>
      </c>
      <c r="BQ52" s="173">
        <f t="shared" ref="BQ52:BQ54" si="414">(BO52-BP52)*100</f>
        <v>-3.138853903499947</v>
      </c>
      <c r="BR52" s="168">
        <f>Serviceorderfile_Current!$I713*Serviceorderfile_Current!$U713</f>
        <v>120.4348</v>
      </c>
      <c r="BS52" s="169">
        <f>Serviceorderfile_PREVIOUS!$I713*Serviceorderfile_PREVIOUS!$U713</f>
        <v>234.1036</v>
      </c>
      <c r="BT52" s="59">
        <f t="shared" ref="BT52:BT54" si="415">IF(BS52&gt;0,BR52/BS52-1,1)</f>
        <v>-0.48554913294797686</v>
      </c>
      <c r="BU52" s="74">
        <f t="shared" ref="BU52:BU54" si="416">BR52/Z52</f>
        <v>0.11258697027197975</v>
      </c>
      <c r="BV52" s="172">
        <f t="shared" ref="BV52:BV54" si="417">BS52/AA52</f>
        <v>0.1809623430962343</v>
      </c>
      <c r="BW52" s="173">
        <f t="shared" ref="BW52:BW54" si="418">(BU52-BV52)*100</f>
        <v>-6.8375372824254548</v>
      </c>
      <c r="BX52" s="168">
        <f>Serviceorderfile_Current!$I707*Serviceorderfile_Current!$U709</f>
        <v>54.804600000000001</v>
      </c>
      <c r="BY52" s="169">
        <v>0</v>
      </c>
      <c r="BZ52" s="59">
        <f t="shared" ref="BZ52:BZ54" si="419">IF(BY52&gt;0,BX52/BY52-1,1)</f>
        <v>1</v>
      </c>
      <c r="CA52" s="74">
        <f t="shared" ref="CA52:CA54" si="420">BX52/AF52</f>
        <v>0.96428571428571441</v>
      </c>
      <c r="CB52" s="172">
        <f t="shared" ref="CB52:CB54" si="421">BY52/AG52</f>
        <v>0</v>
      </c>
      <c r="CC52" s="173">
        <f t="shared" ref="CC52:CC54" si="422">(CA52-CB52)*100</f>
        <v>96.428571428571445</v>
      </c>
      <c r="CD52" s="132">
        <f t="shared" ref="CD52:CD54" si="423">AT52+BL52+BR52+BX52+BF52+AZ52</f>
        <v>2121.1410000000001</v>
      </c>
      <c r="CE52" s="73">
        <f t="shared" ref="CE52:CE54" si="424">AU52+BM52+BS52+BY52+BG52+BA52</f>
        <v>2403.9598000000001</v>
      </c>
      <c r="CF52" s="59">
        <f t="shared" ref="CF52:CF54" si="425">IF(CE52&gt;0,CD52/CE52-1,1)</f>
        <v>-0.11764705882352944</v>
      </c>
      <c r="CG52" s="74">
        <f t="shared" ref="CG52:CG54" si="426">CD52/AL52</f>
        <v>0.19294682422451997</v>
      </c>
      <c r="CH52" s="172">
        <f t="shared" ref="CH52:CH54" si="427">CE52/AM52</f>
        <v>0.23333552242726741</v>
      </c>
      <c r="CI52" s="173">
        <f t="shared" ref="CI52:CI54" si="428">(CG52-CH52)*100</f>
        <v>-4.0388698202747433</v>
      </c>
      <c r="CJ52" s="85"/>
      <c r="CK52" s="109" t="s">
        <v>81</v>
      </c>
      <c r="CL52" s="168">
        <f>Serviceorderfile_Current!$J709*Serviceorderfile_Current!$U709</f>
        <v>1087.9728</v>
      </c>
      <c r="CM52" s="169">
        <f>Serviceorderfile_PREVIOUS!$J709*Serviceorderfile_PREVIOUS!$U709</f>
        <v>645.47640000000001</v>
      </c>
      <c r="CN52" s="59">
        <f t="shared" ref="CN52:CN54" si="429">IF(CM52&gt;0,CL52/CM52-1,1)</f>
        <v>0.68553459119496862</v>
      </c>
      <c r="CO52" s="168">
        <f>Serviceorderfile_Current!$J711*Serviceorderfile_Current!$U711</f>
        <v>368.07040000000001</v>
      </c>
      <c r="CP52" s="169">
        <f>Serviceorderfile_PREVIOUS!$J711*Serviceorderfile_PREVIOUS!$U711</f>
        <v>171.1798</v>
      </c>
      <c r="CQ52" s="59">
        <f t="shared" ref="CQ52:CQ54" si="430">IF(CP52&gt;0,CO52/CP52-1,1)</f>
        <v>1.150197628458498</v>
      </c>
      <c r="CR52" s="168">
        <f>Serviceorderfile_Current!$J710*Serviceorderfile_Current!$U710</f>
        <v>361.98099999999999</v>
      </c>
      <c r="CS52" s="169">
        <f>Serviceorderfile_PREVIOUS!$J710*Serviceorderfile_PREVIOUS!$U710</f>
        <v>110.9624</v>
      </c>
      <c r="CT52" s="59">
        <f t="shared" ref="CT52:CT54" si="431">IF(CS52&gt;0,CR52/CS52-1,1)</f>
        <v>2.2621951219512195</v>
      </c>
      <c r="CU52" s="168">
        <f>Serviceorderfile_Current!$J712*Serviceorderfile_Current!$U712</f>
        <v>605.55700000000002</v>
      </c>
      <c r="CV52" s="169">
        <f>Serviceorderfile_PREVIOUS!$J712*Serviceorderfile_PREVIOUS!$U712</f>
        <v>491.88819999999998</v>
      </c>
      <c r="CW52" s="59">
        <f t="shared" ref="CW52:CW54" si="432">IF(CV52&gt;0,CU52/CV52-1,1)</f>
        <v>0.23108665749656132</v>
      </c>
      <c r="CX52" s="168">
        <f>Serviceorderfile_Current!$J713*Serviceorderfile_Current!$U713</f>
        <v>324.09139999999996</v>
      </c>
      <c r="CY52" s="169">
        <f>Serviceorderfile_PREVIOUS!$J713*Serviceorderfile_PREVIOUS!$U713</f>
        <v>221.9248</v>
      </c>
      <c r="CZ52" s="59">
        <f t="shared" ref="CZ52:CZ54" si="433">IF(CY52&gt;0,CX52/CY52-1,1)</f>
        <v>0.46036585365853644</v>
      </c>
      <c r="DA52" s="168">
        <f>Serviceorderfile_Current!$J707*Serviceorderfile_Current!$U709</f>
        <v>2.0297999999999998</v>
      </c>
      <c r="DB52" s="169">
        <v>0</v>
      </c>
      <c r="DC52" s="59">
        <f t="shared" ref="DC52:DC54" si="434">IF(DB52&gt;0,DA52/DB52-1,1)</f>
        <v>1</v>
      </c>
      <c r="DD52" s="132">
        <f t="shared" si="167"/>
        <v>2749.7023999999997</v>
      </c>
      <c r="DE52" s="73">
        <f t="shared" si="168"/>
        <v>1641.4316000000001</v>
      </c>
      <c r="DF52" s="59">
        <f t="shared" ref="DF52:DF53" si="435">IF(DE52&gt;0,DD52/DE52-1,1)</f>
        <v>0.67518549051937304</v>
      </c>
      <c r="DG52" s="86"/>
      <c r="DH52" s="109" t="s">
        <v>81</v>
      </c>
      <c r="DI52" s="168">
        <f>Serviceorderfile_Current!$K709*Serviceorderfile_Current!$U709</f>
        <v>301.7636</v>
      </c>
      <c r="DJ52" s="169">
        <f>Serviceorderfile_PREVIOUS!$K709*Serviceorderfile_PREVIOUS!$U709</f>
        <v>205.00979999999998</v>
      </c>
      <c r="DK52" s="59">
        <f t="shared" ref="DK52:DK54" si="436">IF(DJ52&gt;0,DI52/DJ52-1,1)</f>
        <v>0.471947194719472</v>
      </c>
      <c r="DL52" s="168">
        <f>Serviceorderfile_Current!$K711*Serviceorderfile_Current!$U711</f>
        <v>602.17399999999998</v>
      </c>
      <c r="DM52" s="169">
        <f>Serviceorderfile_PREVIOUS!$K711*Serviceorderfile_PREVIOUS!$U711</f>
        <v>118.405</v>
      </c>
      <c r="DN52" s="59">
        <f t="shared" ref="DN52:DN54" si="437">IF(DM52&gt;0,DL52/DM52-1,1)</f>
        <v>4.0857142857142854</v>
      </c>
      <c r="DO52" s="168">
        <f>Serviceorderfile_Current!$K710*Serviceorderfile_Current!$U710</f>
        <v>207.03960000000001</v>
      </c>
      <c r="DP52" s="169">
        <f>Serviceorderfile_PREVIOUS!$K710*Serviceorderfile_PREVIOUS!$U710</f>
        <v>93.370800000000003</v>
      </c>
      <c r="DQ52" s="59">
        <f t="shared" ref="DQ52:DQ54" si="438">IF(DP52&gt;0,DO52/DP52-1,1)</f>
        <v>1.2173913043478262</v>
      </c>
      <c r="DR52" s="168">
        <f>Serviceorderfile_Current!$K712*Serviceorderfile_Current!$U712</f>
        <v>631.94439999999997</v>
      </c>
      <c r="DS52" s="169">
        <f>Serviceorderfile_PREVIOUS!$K712*Serviceorderfile_PREVIOUS!$U712</f>
        <v>443.84960000000001</v>
      </c>
      <c r="DT52" s="59">
        <f t="shared" ref="DT52:DT54" si="439">IF(DS52&gt;0,DR52/DS52-1,1)</f>
        <v>0.42378048780487787</v>
      </c>
      <c r="DU52" s="168">
        <f>Serviceorderfile_Current!$K713*Serviceorderfile_Current!$U713</f>
        <v>537.89699999999993</v>
      </c>
      <c r="DV52" s="169">
        <f>Serviceorderfile_PREVIOUS!$K713*Serviceorderfile_PREVIOUS!$U713</f>
        <v>75.102599999999995</v>
      </c>
      <c r="DW52" s="59">
        <f t="shared" ref="DW52:DW54" si="440">IF(DV52&gt;0,DU52/DV52-1,1)</f>
        <v>6.1621621621621614</v>
      </c>
      <c r="DX52" s="168">
        <f>Serviceorderfile_Current!$K707*Serviceorderfile_Current!$U709</f>
        <v>0</v>
      </c>
      <c r="DY52" s="169">
        <v>0</v>
      </c>
      <c r="DZ52" s="59">
        <f t="shared" ref="DZ52:DZ54" si="441">IF(DY52&gt;0,DX52/DY52-1,1)</f>
        <v>1</v>
      </c>
      <c r="EA52" s="132">
        <f t="shared" ref="EA52:EA53" si="442">DI52+DL52+DO52+DR52+DU52+DX52</f>
        <v>2280.8186000000001</v>
      </c>
      <c r="EB52" s="73">
        <f t="shared" ref="EB52:EB53" si="443">DJ52+DM52+DP52+DS52+DV52+DY52</f>
        <v>935.73780000000011</v>
      </c>
      <c r="EC52" s="59">
        <f t="shared" ref="EC52:EC53" si="444">IF(EB52&gt;0,EA52/EB52-1,1)</f>
        <v>1.4374548083875629</v>
      </c>
      <c r="ED52" s="94"/>
      <c r="EE52" s="109" t="s">
        <v>81</v>
      </c>
      <c r="EF52" s="126">
        <f>Serviceorderfile_Current!$V706</f>
        <v>0.84025885558583102</v>
      </c>
      <c r="EG52" s="59">
        <f>Aged!E43</f>
        <v>0.63</v>
      </c>
      <c r="EH52" s="168">
        <f>Serviceorderfile_Current!$U701*Serviceorderfile_Current!$H701</f>
        <v>2466.8836000000001</v>
      </c>
      <c r="EI52" s="169">
        <f>Serviceorderfile_PREVIOUS!$U701*Serviceorderfile_PREVIOUS!$H701</f>
        <v>2521.6882000000001</v>
      </c>
      <c r="EJ52" s="57">
        <f>IF(EI52&gt;0,EH52/EI52-1,1)</f>
        <v>-2.1733297558357956E-2</v>
      </c>
      <c r="EK52" s="168">
        <f>Serviceorderfile_Current!$U703*Serviceorderfile_Current!$H703</f>
        <v>2082.5747999999999</v>
      </c>
      <c r="EL52" s="169">
        <f>Serviceorderfile_PREVIOUS!$U703*Serviceorderfile_PREVIOUS!$H703</f>
        <v>1228.029</v>
      </c>
      <c r="EM52" s="57">
        <f>IF(EL52&gt;0,EK52/EL52-1,1)</f>
        <v>0.69586776859504118</v>
      </c>
      <c r="EN52" s="168">
        <f>Serviceorderfile_Current!$U702*Serviceorderfile_Current!$H702</f>
        <v>115.02199999999999</v>
      </c>
      <c r="EO52" s="169">
        <f>Serviceorderfile_PREVIOUS!$U702*Serviceorderfile_PREVIOUS!$H702</f>
        <v>806.50720000000001</v>
      </c>
      <c r="EP52" s="57">
        <f>IF(EO52&gt;0,EN52/EO52-1,1)</f>
        <v>-0.85738255033557054</v>
      </c>
      <c r="EQ52" s="168">
        <f>Serviceorderfile_Current!$U704*Serviceorderfile_Current!$H704</f>
        <v>1295.0124000000001</v>
      </c>
      <c r="ER52" s="169">
        <f>Serviceorderfile_PREVIOUS!$U704*Serviceorderfile_PREVIOUS!$H704</f>
        <v>2397.8703999999998</v>
      </c>
      <c r="ES52" s="57">
        <f>IF(ER52&gt;0,EQ52/ER52-1,1)</f>
        <v>-0.45993227990970642</v>
      </c>
      <c r="ET52" s="168">
        <f>Serviceorderfile_Current!$U705*Serviceorderfile_Current!$H705</f>
        <v>0</v>
      </c>
      <c r="EU52" s="169">
        <f>Serviceorderfile_PREVIOUS!$U705*Serviceorderfile_PREVIOUS!$H705</f>
        <v>23.681000000000001</v>
      </c>
      <c r="EV52" s="57">
        <f>IF(EU52&gt;0,ET52/EU52-1,1)</f>
        <v>-1</v>
      </c>
      <c r="EW52" s="84"/>
      <c r="EX52" s="76">
        <f>Serviceorderfile_Current!$V699</f>
        <v>1</v>
      </c>
      <c r="EY52" s="214">
        <f>Aged!E96</f>
        <v>1</v>
      </c>
      <c r="EZ52" s="169">
        <f>Serviceorderfile_Current!$U699*Serviceorderfile_Current!$H699</f>
        <v>2.0297999999999998</v>
      </c>
      <c r="FA52" s="169">
        <f>Serviceorderfile_PREVIOUS!$U699*Serviceorderfile_PREVIOUS!$H699</f>
        <v>39.242799999999995</v>
      </c>
      <c r="FB52" s="57">
        <f>IF(FA52&gt;0,EZ52/FA52-1,1)</f>
        <v>-0.94827586206896552</v>
      </c>
      <c r="FC52" s="84"/>
      <c r="FD52" s="168">
        <f t="shared" si="66"/>
        <v>5961.5226000000002</v>
      </c>
      <c r="FE52" s="169">
        <f t="shared" si="67"/>
        <v>7017.0185999999994</v>
      </c>
      <c r="FF52" s="59">
        <f>IF(FE52&gt;0,FD52/FE52-1,1)</f>
        <v>-0.15041943881978581</v>
      </c>
      <c r="FG52" s="94"/>
      <c r="FH52" s="84"/>
      <c r="FI52" s="84"/>
      <c r="FJ52" s="84"/>
      <c r="FK52" s="84"/>
      <c r="FL52" s="84"/>
      <c r="FM52" s="84"/>
      <c r="FN52" s="84"/>
      <c r="FO52" s="84"/>
      <c r="FP52" s="84"/>
      <c r="FQ52" s="84"/>
      <c r="FR52" s="84"/>
      <c r="FS52" s="84"/>
      <c r="FT52" s="84"/>
      <c r="FU52" s="84"/>
      <c r="FV52" s="84"/>
      <c r="FW52" s="84"/>
      <c r="FX52" s="84"/>
    </row>
    <row r="53" spans="1:181" s="63" customFormat="1" ht="12" customHeight="1" x14ac:dyDescent="0.25">
      <c r="A53" s="110" t="s">
        <v>82</v>
      </c>
      <c r="B53" s="99">
        <f>Serviceorderfile_Current!$W726</f>
        <v>28.547999999999998</v>
      </c>
      <c r="C53" s="97">
        <f>Serviceorderfile_PREVIOUS!$W718</f>
        <v>32.988799999999998</v>
      </c>
      <c r="D53" s="57">
        <f t="shared" si="383"/>
        <v>-0.13461538461538458</v>
      </c>
      <c r="E53" s="100">
        <f>'YOY Orders'!$J44</f>
        <v>194.12639999999999</v>
      </c>
      <c r="F53" s="97">
        <f>'YOY Orders'!$B44</f>
        <v>155.428</v>
      </c>
      <c r="G53" s="61">
        <f t="shared" si="384"/>
        <v>0.24897959183673457</v>
      </c>
      <c r="H53" s="99">
        <f>Serviceorderfile_Current!$W728</f>
        <v>98.966399999999993</v>
      </c>
      <c r="I53" s="97">
        <f>Serviceorderfile_PREVIOUS!$W728</f>
        <v>3.8064</v>
      </c>
      <c r="J53" s="57">
        <f t="shared" si="385"/>
        <v>24.999999999999996</v>
      </c>
      <c r="K53" s="100">
        <f>'YOY Orders'!$K44</f>
        <v>211.8896</v>
      </c>
      <c r="L53" s="97">
        <f>'YOY Orders'!$C44</f>
        <v>12.687999999999999</v>
      </c>
      <c r="M53" s="61">
        <f t="shared" si="386"/>
        <v>15.700000000000003</v>
      </c>
      <c r="N53" s="99">
        <f>Serviceorderfile_Current!$W727</f>
        <v>75.493600000000001</v>
      </c>
      <c r="O53" s="97">
        <f>Serviceorderfile_PREVIOUS!$W719</f>
        <v>3.1719999999999997</v>
      </c>
      <c r="P53" s="57">
        <f t="shared" si="387"/>
        <v>22.8</v>
      </c>
      <c r="Q53" s="100">
        <f>'YOY Orders'!$O44</f>
        <v>133.22399999999999</v>
      </c>
      <c r="R53" s="97">
        <f>'YOY Orders'!$G44</f>
        <v>6.9783999999999997</v>
      </c>
      <c r="S53" s="61">
        <f t="shared" si="388"/>
        <v>18.09090909090909</v>
      </c>
      <c r="T53" s="99">
        <f>Serviceorderfile_Current!$W729</f>
        <v>647.08799999999997</v>
      </c>
      <c r="U53" s="97">
        <f>Serviceorderfile_PREVIOUS!$W721</f>
        <v>511.32639999999998</v>
      </c>
      <c r="V53" s="57">
        <f t="shared" si="389"/>
        <v>0.26550868486352353</v>
      </c>
      <c r="W53" s="100">
        <f>'YOY Orders'!$L44</f>
        <v>437.10159999999996</v>
      </c>
      <c r="X53" s="97">
        <f>'YOY Orders'!$D44</f>
        <v>286.11439999999999</v>
      </c>
      <c r="Y53" s="61">
        <f t="shared" si="390"/>
        <v>0.5277161862527715</v>
      </c>
      <c r="Z53" s="99">
        <f>Serviceorderfile_Current!$W730</f>
        <v>170.65359999999998</v>
      </c>
      <c r="AA53" s="97">
        <f>Serviceorderfile_PREVIOUS!$W722</f>
        <v>66.611999999999995</v>
      </c>
      <c r="AB53" s="57">
        <f t="shared" si="391"/>
        <v>1.5619047619047617</v>
      </c>
      <c r="AC53" s="100">
        <f>'YOY Orders'!$N44</f>
        <v>138.29919999999998</v>
      </c>
      <c r="AD53" s="97">
        <f>'YOY Orders'!$F44</f>
        <v>385.08079999999995</v>
      </c>
      <c r="AE53" s="61">
        <f t="shared" si="392"/>
        <v>-0.64085667215815478</v>
      </c>
      <c r="AF53" s="99">
        <f>Serviceorderfile_Current!$W724</f>
        <v>81.837599999999995</v>
      </c>
      <c r="AG53" s="97">
        <f>Serviceorderfile_PREVIOUS!$W724</f>
        <v>74.224800000000002</v>
      </c>
      <c r="AH53" s="57">
        <f t="shared" si="393"/>
        <v>0.10256410256410242</v>
      </c>
      <c r="AI53" s="100">
        <f>'YOY Orders'!$M44</f>
        <v>300.7056</v>
      </c>
      <c r="AJ53" s="97">
        <f>'YOY Orders'!$E44</f>
        <v>170.65359999999998</v>
      </c>
      <c r="AK53" s="61">
        <f t="shared" si="394"/>
        <v>0.76208178438661722</v>
      </c>
      <c r="AL53" s="93">
        <f t="shared" si="54"/>
        <v>1102.5871999999999</v>
      </c>
      <c r="AM53" s="93">
        <f t="shared" si="55"/>
        <v>692.13040000000001</v>
      </c>
      <c r="AN53" s="57">
        <f t="shared" si="395"/>
        <v>0.59303391384051318</v>
      </c>
      <c r="AO53" s="93">
        <f t="shared" si="396"/>
        <v>1415.3463999999999</v>
      </c>
      <c r="AP53" s="93">
        <f t="shared" si="397"/>
        <v>1016.9431999999999</v>
      </c>
      <c r="AQ53" s="57">
        <f t="shared" si="398"/>
        <v>0.39176543980037426</v>
      </c>
      <c r="AR53" s="72"/>
      <c r="AS53" s="124" t="s">
        <v>82</v>
      </c>
      <c r="AT53" s="99">
        <f>Serviceorderfile_Current!$I726*Serviceorderfile_Current!$U726</f>
        <v>25.375999999999998</v>
      </c>
      <c r="AU53" s="97">
        <f>Serviceorderfile_PREVIOUS!$I726*Serviceorderfile_PREVIOUS!$U726</f>
        <v>26.6448</v>
      </c>
      <c r="AV53" s="57">
        <f t="shared" si="399"/>
        <v>-4.7619047619047672E-2</v>
      </c>
      <c r="AW53" s="81">
        <f t="shared" si="400"/>
        <v>0.88888888888888884</v>
      </c>
      <c r="AX53" s="82">
        <f t="shared" si="401"/>
        <v>0.80769230769230771</v>
      </c>
      <c r="AY53" s="121">
        <f t="shared" si="402"/>
        <v>8.1196581196581121</v>
      </c>
      <c r="AZ53" s="99">
        <f>Serviceorderfile_Current!$I728*Serviceorderfile_Current!$U728</f>
        <v>1.2687999999999999</v>
      </c>
      <c r="BA53" s="97">
        <f>Serviceorderfile_PREVIOUS!$I728*Serviceorderfile_PREVIOUS!$U728</f>
        <v>3.8064</v>
      </c>
      <c r="BB53" s="57">
        <f t="shared" si="403"/>
        <v>-0.66666666666666674</v>
      </c>
      <c r="BC53" s="81">
        <f t="shared" si="404"/>
        <v>1.282051282051282E-2</v>
      </c>
      <c r="BD53" s="82">
        <f t="shared" si="405"/>
        <v>1</v>
      </c>
      <c r="BE53" s="121">
        <f t="shared" si="406"/>
        <v>-98.71794871794873</v>
      </c>
      <c r="BF53" s="99">
        <f>Serviceorderfile_Current!$I727*Serviceorderfile_Current!$U727</f>
        <v>54.558399999999999</v>
      </c>
      <c r="BG53" s="97">
        <f>Serviceorderfile_PREVIOUS!$I727*Serviceorderfile_PREVIOUS!$U727</f>
        <v>0</v>
      </c>
      <c r="BH53" s="57">
        <f t="shared" si="407"/>
        <v>1</v>
      </c>
      <c r="BI53" s="81">
        <f t="shared" si="408"/>
        <v>0.72268907563025209</v>
      </c>
      <c r="BJ53" s="82">
        <f t="shared" si="409"/>
        <v>0</v>
      </c>
      <c r="BK53" s="121">
        <f t="shared" si="410"/>
        <v>72.268907563025209</v>
      </c>
      <c r="BL53" s="99">
        <f>Serviceorderfile_Current!$I729*Serviceorderfile_Current!$U729</f>
        <v>79.3</v>
      </c>
      <c r="BM53" s="97">
        <f>Serviceorderfile_PREVIOUS!$I729*Serviceorderfile_PREVIOUS!$U729</f>
        <v>75.493600000000001</v>
      </c>
      <c r="BN53" s="57">
        <f t="shared" si="411"/>
        <v>5.0420168067226934E-2</v>
      </c>
      <c r="BO53" s="81">
        <f t="shared" si="412"/>
        <v>0.12254901960784315</v>
      </c>
      <c r="BP53" s="82">
        <f t="shared" si="413"/>
        <v>0.14764267990074442</v>
      </c>
      <c r="BQ53" s="121">
        <f t="shared" si="414"/>
        <v>-2.5093660292901276</v>
      </c>
      <c r="BR53" s="99">
        <f>Serviceorderfile_Current!$I730*Serviceorderfile_Current!$U730</f>
        <v>24.107199999999999</v>
      </c>
      <c r="BS53" s="97">
        <f>Serviceorderfile_PREVIOUS!$I730*Serviceorderfile_PREVIOUS!$U730</f>
        <v>204.91119999999998</v>
      </c>
      <c r="BT53" s="57">
        <f t="shared" si="415"/>
        <v>-0.88235294117647056</v>
      </c>
      <c r="BU53" s="81">
        <f t="shared" si="416"/>
        <v>0.14126394052044611</v>
      </c>
      <c r="BV53" s="82">
        <f t="shared" si="417"/>
        <v>3.0761904761904759</v>
      </c>
      <c r="BW53" s="121">
        <f t="shared" si="418"/>
        <v>-293.492653567003</v>
      </c>
      <c r="BX53" s="99">
        <f>Serviceorderfile_Current!$I724*Serviceorderfile_Current!$U726</f>
        <v>39.332799999999999</v>
      </c>
      <c r="BY53" s="93">
        <v>0</v>
      </c>
      <c r="BZ53" s="57">
        <f t="shared" si="419"/>
        <v>1</v>
      </c>
      <c r="CA53" s="81">
        <f t="shared" si="420"/>
        <v>0.48062015503875971</v>
      </c>
      <c r="CB53" s="82">
        <f t="shared" si="421"/>
        <v>0</v>
      </c>
      <c r="CC53" s="121">
        <f t="shared" si="422"/>
        <v>48.062015503875969</v>
      </c>
      <c r="CD53" s="120">
        <f t="shared" si="423"/>
        <v>223.94319999999999</v>
      </c>
      <c r="CE53" s="80">
        <f t="shared" si="424"/>
        <v>310.85599999999999</v>
      </c>
      <c r="CF53" s="61">
        <f t="shared" si="425"/>
        <v>-0.2795918367346939</v>
      </c>
      <c r="CG53" s="81">
        <f t="shared" si="426"/>
        <v>0.20310701956271576</v>
      </c>
      <c r="CH53" s="82">
        <f t="shared" si="427"/>
        <v>0.44912923923006415</v>
      </c>
      <c r="CI53" s="121">
        <f t="shared" si="428"/>
        <v>-24.602221966734838</v>
      </c>
      <c r="CJ53" s="85"/>
      <c r="CK53" s="110" t="s">
        <v>82</v>
      </c>
      <c r="CL53" s="99">
        <f>Serviceorderfile_Current!$J726*Serviceorderfile_Current!$U726</f>
        <v>3.1719999999999997</v>
      </c>
      <c r="CM53" s="97">
        <f>Serviceorderfile_PREVIOUS!$J726*Serviceorderfile_PREVIOUS!$U726</f>
        <v>26.010399999999997</v>
      </c>
      <c r="CN53" s="57">
        <f t="shared" si="429"/>
        <v>-0.87804878048780488</v>
      </c>
      <c r="CO53" s="99">
        <f>Serviceorderfile_Current!$J728*Serviceorderfile_Current!$U728</f>
        <v>0.63439999999999996</v>
      </c>
      <c r="CP53" s="97">
        <f>Serviceorderfile_PREVIOUS!$J728*Serviceorderfile_PREVIOUS!$U728</f>
        <v>0</v>
      </c>
      <c r="CQ53" s="57">
        <f t="shared" si="430"/>
        <v>1</v>
      </c>
      <c r="CR53" s="99">
        <f>Serviceorderfile_Current!$J727*Serviceorderfile_Current!$U727</f>
        <v>7.6128</v>
      </c>
      <c r="CS53" s="97">
        <f>Serviceorderfile_PREVIOUS!$J727*Serviceorderfile_PREVIOUS!$U727</f>
        <v>0</v>
      </c>
      <c r="CT53" s="57">
        <f t="shared" si="431"/>
        <v>1</v>
      </c>
      <c r="CU53" s="99">
        <f>Serviceorderfile_Current!$J729*Serviceorderfile_Current!$U729</f>
        <v>76.7624</v>
      </c>
      <c r="CV53" s="97">
        <f>Serviceorderfile_PREVIOUS!$J729*Serviceorderfile_PREVIOUS!$U729</f>
        <v>28.547999999999998</v>
      </c>
      <c r="CW53" s="57">
        <f t="shared" si="432"/>
        <v>1.6888888888888891</v>
      </c>
      <c r="CX53" s="99">
        <f>Serviceorderfile_Current!$J730*Serviceorderfile_Current!$U730</f>
        <v>12.687999999999999</v>
      </c>
      <c r="CY53" s="97">
        <f>Serviceorderfile_PREVIOUS!$J730*Serviceorderfile_PREVIOUS!$U730</f>
        <v>216.3304</v>
      </c>
      <c r="CZ53" s="57">
        <f t="shared" si="433"/>
        <v>-0.94134897360703818</v>
      </c>
      <c r="DA53" s="99">
        <f>Serviceorderfile_Current!$J724*Serviceorderfile_Current!$U726</f>
        <v>13.3224</v>
      </c>
      <c r="DB53" s="93">
        <v>0</v>
      </c>
      <c r="DC53" s="57">
        <f t="shared" si="434"/>
        <v>1</v>
      </c>
      <c r="DD53" s="118">
        <f t="shared" si="167"/>
        <v>114.19200000000001</v>
      </c>
      <c r="DE53" s="77">
        <f t="shared" si="168"/>
        <v>270.8888</v>
      </c>
      <c r="DF53" s="57">
        <f t="shared" si="435"/>
        <v>-0.57845433255269318</v>
      </c>
      <c r="DG53" s="86"/>
      <c r="DH53" s="110" t="s">
        <v>82</v>
      </c>
      <c r="DI53" s="99">
        <f>Serviceorderfile_Current!$K726*Serviceorderfile_Current!$U726</f>
        <v>0</v>
      </c>
      <c r="DJ53" s="97">
        <f>Serviceorderfile_PREVIOUS!$K726*Serviceorderfile_PREVIOUS!$U726</f>
        <v>1.9032</v>
      </c>
      <c r="DK53" s="57">
        <f t="shared" si="436"/>
        <v>-1</v>
      </c>
      <c r="DL53" s="99">
        <f>Serviceorderfile_Current!$K728*Serviceorderfile_Current!$U728</f>
        <v>97.063199999999995</v>
      </c>
      <c r="DM53" s="97">
        <f>Serviceorderfile_PREVIOUS!$K728*Serviceorderfile_PREVIOUS!$U728</f>
        <v>0</v>
      </c>
      <c r="DN53" s="57">
        <f t="shared" si="437"/>
        <v>1</v>
      </c>
      <c r="DO53" s="99">
        <f>Serviceorderfile_Current!$K727*Serviceorderfile_Current!$U727</f>
        <v>8.8815999999999988</v>
      </c>
      <c r="DP53" s="97">
        <f>Serviceorderfile_PREVIOUS!$K727*Serviceorderfile_PREVIOUS!$U727</f>
        <v>0</v>
      </c>
      <c r="DQ53" s="57">
        <f t="shared" si="438"/>
        <v>1</v>
      </c>
      <c r="DR53" s="99">
        <f>Serviceorderfile_Current!$K729*Serviceorderfile_Current!$U729</f>
        <v>65.343199999999996</v>
      </c>
      <c r="DS53" s="97">
        <f>Serviceorderfile_PREVIOUS!$K729*Serviceorderfile_PREVIOUS!$U729</f>
        <v>54.558399999999999</v>
      </c>
      <c r="DT53" s="57">
        <f t="shared" si="439"/>
        <v>0.19767441860465107</v>
      </c>
      <c r="DU53" s="99">
        <f>Serviceorderfile_Current!$K730*Serviceorderfile_Current!$U730</f>
        <v>51.386399999999995</v>
      </c>
      <c r="DV53" s="97">
        <f>Serviceorderfile_PREVIOUS!$K730*Serviceorderfile_PREVIOUS!$U730</f>
        <v>56.461599999999997</v>
      </c>
      <c r="DW53" s="57">
        <f t="shared" si="440"/>
        <v>-8.98876404494382E-2</v>
      </c>
      <c r="DX53" s="99">
        <f>Serviceorderfile_Current!$K724*Serviceorderfile_Current!$U726</f>
        <v>29.182399999999998</v>
      </c>
      <c r="DY53" s="93">
        <v>0</v>
      </c>
      <c r="DZ53" s="57">
        <f t="shared" si="441"/>
        <v>1</v>
      </c>
      <c r="EA53" s="118">
        <f t="shared" si="442"/>
        <v>251.85679999999999</v>
      </c>
      <c r="EB53" s="77">
        <f t="shared" si="443"/>
        <v>112.92319999999999</v>
      </c>
      <c r="EC53" s="57">
        <f t="shared" si="444"/>
        <v>1.2303370786516856</v>
      </c>
      <c r="ED53" s="94"/>
      <c r="EE53" s="110" t="s">
        <v>82</v>
      </c>
      <c r="EF53" s="83">
        <f>Serviceorderfile_Current!$V723</f>
        <v>0.97502230151650315</v>
      </c>
      <c r="EG53" s="61">
        <f>Aged!E44</f>
        <v>0.95</v>
      </c>
      <c r="EH53" s="99">
        <f>Serviceorderfile_Current!$U718*Serviceorderfile_Current!$H718</f>
        <v>19.666399999999999</v>
      </c>
      <c r="EI53" s="97">
        <f>Serviceorderfile_PREVIOUS!$U718*Serviceorderfile_PREVIOUS!$H718</f>
        <v>38.064</v>
      </c>
      <c r="EJ53" s="57">
        <f>IF(EI53&gt;0,EH53/EI53-1,1)</f>
        <v>-0.48333333333333339</v>
      </c>
      <c r="EK53" s="99">
        <f>Serviceorderfile_Current!$U720*Serviceorderfile_Current!$H720</f>
        <v>36.160799999999995</v>
      </c>
      <c r="EL53" s="97">
        <f>Serviceorderfile_PREVIOUS!$U720*Serviceorderfile_PREVIOUS!$H720</f>
        <v>169.38479999999998</v>
      </c>
      <c r="EM53" s="57">
        <f>IF(EL53&gt;0,EK53/EL53-1,1)</f>
        <v>-0.7865168539325843</v>
      </c>
      <c r="EN53" s="99">
        <f>Serviceorderfile_Current!$U719*Serviceorderfile_Current!$H719</f>
        <v>0</v>
      </c>
      <c r="EO53" s="97">
        <f>Serviceorderfile_PREVIOUS!$U719*Serviceorderfile_PREVIOUS!$H719</f>
        <v>3.1719999999999997</v>
      </c>
      <c r="EP53" s="57">
        <f>IF(EO53&gt;0,EN53/EO53-1,1)</f>
        <v>-1</v>
      </c>
      <c r="EQ53" s="99">
        <f>Serviceorderfile_Current!$U721*Serviceorderfile_Current!$H721</f>
        <v>655.33519999999999</v>
      </c>
      <c r="ER53" s="97">
        <f>Serviceorderfile_PREVIOUS!$U721*Serviceorderfile_PREVIOUS!$H721</f>
        <v>550.02479999999991</v>
      </c>
      <c r="ES53" s="61">
        <f>IF(ER53&gt;0,EQ53/ER53-1,1)</f>
        <v>0.19146482122260688</v>
      </c>
      <c r="ET53" s="99">
        <f>Serviceorderfile_Current!$U722*Serviceorderfile_Current!$H722</f>
        <v>4.4407999999999994</v>
      </c>
      <c r="EU53" s="97">
        <f>Serviceorderfile_PREVIOUS!$U722*Serviceorderfile_PREVIOUS!$H722</f>
        <v>66.611999999999995</v>
      </c>
      <c r="EV53" s="57">
        <f>IF(EU53&gt;0,ET53/EU53-1,1)</f>
        <v>-0.93333333333333335</v>
      </c>
      <c r="EW53" s="84"/>
      <c r="EX53" s="76">
        <f>Serviceorderfile_Current!$V716</f>
        <v>1</v>
      </c>
      <c r="EY53" s="214">
        <f>Aged!E97</f>
        <v>1</v>
      </c>
      <c r="EZ53" s="93">
        <f>Serviceorderfile_Current!$U716*Serviceorderfile_Current!$H716</f>
        <v>149.7184</v>
      </c>
      <c r="FA53" s="97">
        <f>Serviceorderfile_PREVIOUS!$U716*Serviceorderfile_PREVIOUS!$H716</f>
        <v>362.24239999999998</v>
      </c>
      <c r="FB53" s="61">
        <f>IF(FA53&gt;0,EZ53/FA53-1,1)</f>
        <v>-0.58669001751313488</v>
      </c>
      <c r="FC53" s="84"/>
      <c r="FD53" s="100">
        <f t="shared" si="66"/>
        <v>865.32159999999999</v>
      </c>
      <c r="FE53" s="97">
        <f t="shared" si="67"/>
        <v>1189.5</v>
      </c>
      <c r="FF53" s="61">
        <f t="shared" ref="FF53:FF56" si="445">IF(FE53&gt;0,FD53/FE53-1,1)</f>
        <v>-0.27253333333333329</v>
      </c>
      <c r="FG53" s="94"/>
      <c r="FH53" s="84"/>
      <c r="FI53" s="84"/>
      <c r="FJ53" s="84"/>
      <c r="FK53" s="84"/>
      <c r="FL53" s="84"/>
      <c r="FM53" s="84"/>
      <c r="FN53" s="84"/>
      <c r="FO53" s="84"/>
      <c r="FP53" s="84"/>
      <c r="FQ53" s="84"/>
      <c r="FR53" s="84"/>
      <c r="FS53" s="84"/>
      <c r="FT53" s="84"/>
      <c r="FU53" s="84"/>
      <c r="FV53" s="84"/>
      <c r="FW53" s="84"/>
      <c r="FX53" s="84"/>
    </row>
    <row r="54" spans="1:181" s="63" customFormat="1" ht="12" customHeight="1" x14ac:dyDescent="0.25">
      <c r="A54" s="113" t="s">
        <v>84</v>
      </c>
      <c r="B54" s="115">
        <f>B53+B52</f>
        <v>2895.9787999999999</v>
      </c>
      <c r="C54" s="104">
        <f>C53+C52</f>
        <v>3800.9742000000001</v>
      </c>
      <c r="D54" s="70">
        <f t="shared" si="383"/>
        <v>-0.23809564400621297</v>
      </c>
      <c r="E54" s="115">
        <f>E53+E52</f>
        <v>6424.2591999999995</v>
      </c>
      <c r="F54" s="104">
        <f>F53+F52</f>
        <v>6236.0321999999996</v>
      </c>
      <c r="G54" s="70">
        <f t="shared" si="384"/>
        <v>3.0183776151765151E-2</v>
      </c>
      <c r="H54" s="115">
        <f>H53+H52</f>
        <v>1581.3969999999999</v>
      </c>
      <c r="I54" s="104">
        <f>I53+I52</f>
        <v>686.49580000000003</v>
      </c>
      <c r="J54" s="70">
        <f t="shared" si="385"/>
        <v>1.3035785506626549</v>
      </c>
      <c r="K54" s="115">
        <f>K53+K52</f>
        <v>1795.8101999999999</v>
      </c>
      <c r="L54" s="104">
        <f>L53+L52</f>
        <v>825.28459999999995</v>
      </c>
      <c r="M54" s="70">
        <f t="shared" si="386"/>
        <v>1.175988986102491</v>
      </c>
      <c r="N54" s="115">
        <f>N53+N52</f>
        <v>1471.9959999999999</v>
      </c>
      <c r="O54" s="104">
        <f>O53+O52</f>
        <v>953.79499999999996</v>
      </c>
      <c r="P54" s="70">
        <f t="shared" si="387"/>
        <v>0.54330437882354166</v>
      </c>
      <c r="Q54" s="115">
        <f>Q53+Q52</f>
        <v>1305.7718</v>
      </c>
      <c r="R54" s="104">
        <f>R53+R52</f>
        <v>1247.1861999999999</v>
      </c>
      <c r="S54" s="70">
        <f t="shared" si="388"/>
        <v>4.6974220850102499E-2</v>
      </c>
      <c r="T54" s="115">
        <f>T53+T52</f>
        <v>4767.5819999999994</v>
      </c>
      <c r="U54" s="104">
        <f>U53+U52</f>
        <v>4089.1871999999998</v>
      </c>
      <c r="V54" s="70">
        <f t="shared" si="389"/>
        <v>0.16589966827637515</v>
      </c>
      <c r="W54" s="115">
        <f>W53+W52</f>
        <v>3820.1016</v>
      </c>
      <c r="X54" s="104">
        <f>X53+X52</f>
        <v>3102.8001999999997</v>
      </c>
      <c r="Y54" s="70">
        <f t="shared" si="390"/>
        <v>0.23117872688031937</v>
      </c>
      <c r="Z54" s="115">
        <f>Z53+Z52</f>
        <v>1240.3582000000001</v>
      </c>
      <c r="AA54" s="104">
        <f>AA53+AA52</f>
        <v>1360.2712000000001</v>
      </c>
      <c r="AB54" s="70">
        <f t="shared" si="391"/>
        <v>-8.8153744635628528E-2</v>
      </c>
      <c r="AC54" s="115">
        <f>AC53+AC52</f>
        <v>1067.271</v>
      </c>
      <c r="AD54" s="104">
        <f>AD53+AD52</f>
        <v>1037.3231999999998</v>
      </c>
      <c r="AE54" s="70">
        <f t="shared" si="392"/>
        <v>2.8870269169724683E-2</v>
      </c>
      <c r="AF54" s="115">
        <f>AF53+AF52</f>
        <v>138.672</v>
      </c>
      <c r="AG54" s="104">
        <f>AG53+AG52</f>
        <v>103.9952</v>
      </c>
      <c r="AH54" s="70">
        <f t="shared" si="393"/>
        <v>0.33344615905349473</v>
      </c>
      <c r="AI54" s="115">
        <f>AI53+AI52</f>
        <v>690.42719999999997</v>
      </c>
      <c r="AJ54" s="104">
        <f>AJ53+AJ52</f>
        <v>609.76700000000005</v>
      </c>
      <c r="AK54" s="70">
        <f t="shared" si="394"/>
        <v>0.13228036282711253</v>
      </c>
      <c r="AL54" s="104">
        <f t="shared" si="54"/>
        <v>12095.984</v>
      </c>
      <c r="AM54" s="104">
        <f t="shared" si="55"/>
        <v>10994.7186</v>
      </c>
      <c r="AN54" s="70">
        <f t="shared" si="395"/>
        <v>0.10016312741282896</v>
      </c>
      <c r="AO54" s="104">
        <f t="shared" si="396"/>
        <v>15103.641</v>
      </c>
      <c r="AP54" s="104">
        <f t="shared" si="397"/>
        <v>13058.393399999997</v>
      </c>
      <c r="AQ54" s="70">
        <f t="shared" si="398"/>
        <v>0.15662321828962544</v>
      </c>
      <c r="AR54" s="72"/>
      <c r="AS54" s="127" t="s">
        <v>84</v>
      </c>
      <c r="AT54" s="115">
        <f>AT53+AT52</f>
        <v>1061.9271999999999</v>
      </c>
      <c r="AU54" s="104">
        <f>AU53+AU52</f>
        <v>1095.6728000000001</v>
      </c>
      <c r="AV54" s="70">
        <f t="shared" si="399"/>
        <v>-3.0798975752615365E-2</v>
      </c>
      <c r="AW54" s="107">
        <f t="shared" ref="AW54" si="446">AT54/B54</f>
        <v>0.36669025339550132</v>
      </c>
      <c r="AX54" s="107">
        <f t="shared" ref="AX54" si="447">AU54/C54</f>
        <v>0.28826104633912014</v>
      </c>
      <c r="AY54" s="130">
        <f t="shared" ref="AY54" si="448">(AW54-AX54)*100</f>
        <v>7.8429207056381181</v>
      </c>
      <c r="AZ54" s="115">
        <f>AZ53+AZ52</f>
        <v>14.800800000000001</v>
      </c>
      <c r="BA54" s="104">
        <f>BA53+BA52</f>
        <v>378.64279999999997</v>
      </c>
      <c r="BB54" s="70">
        <f t="shared" si="403"/>
        <v>-0.96091091656833294</v>
      </c>
      <c r="BC54" s="107">
        <f t="shared" si="404"/>
        <v>9.3593196395339064E-3</v>
      </c>
      <c r="BD54" s="107">
        <f t="shared" si="405"/>
        <v>0.55155880050540729</v>
      </c>
      <c r="BE54" s="130">
        <f t="shared" si="406"/>
        <v>-54.21994808658733</v>
      </c>
      <c r="BF54" s="115">
        <f>BF53+BF52</f>
        <v>421.2756</v>
      </c>
      <c r="BG54" s="104">
        <f>BG53+BG52</f>
        <v>154.26480000000001</v>
      </c>
      <c r="BH54" s="70">
        <f t="shared" si="407"/>
        <v>1.7308601832692876</v>
      </c>
      <c r="BI54" s="107">
        <f t="shared" si="408"/>
        <v>0.28619344074304554</v>
      </c>
      <c r="BJ54" s="107">
        <f t="shared" si="409"/>
        <v>0.1617378996534895</v>
      </c>
      <c r="BK54" s="130">
        <f t="shared" si="410"/>
        <v>12.445554108955603</v>
      </c>
      <c r="BL54" s="115">
        <f>BL53+BL52</f>
        <v>608.4011999999999</v>
      </c>
      <c r="BM54" s="104">
        <f>BM53+BM52</f>
        <v>647.22059999999999</v>
      </c>
      <c r="BN54" s="70">
        <f t="shared" si="411"/>
        <v>-5.9978622435688966E-2</v>
      </c>
      <c r="BO54" s="107">
        <f t="shared" si="412"/>
        <v>0.12761211028987021</v>
      </c>
      <c r="BP54" s="107">
        <f t="shared" si="413"/>
        <v>0.158276099465439</v>
      </c>
      <c r="BQ54" s="130">
        <f t="shared" si="414"/>
        <v>-3.0663989175568784</v>
      </c>
      <c r="BR54" s="115">
        <f>BR53+BR52</f>
        <v>144.542</v>
      </c>
      <c r="BS54" s="104">
        <f>BS53+BS52</f>
        <v>439.01479999999998</v>
      </c>
      <c r="BT54" s="70">
        <f t="shared" si="415"/>
        <v>-0.67075825234137887</v>
      </c>
      <c r="BU54" s="107">
        <f t="shared" si="416"/>
        <v>0.11653246618597755</v>
      </c>
      <c r="BV54" s="107">
        <f t="shared" si="417"/>
        <v>0.32274064171909245</v>
      </c>
      <c r="BW54" s="130">
        <f t="shared" si="418"/>
        <v>-20.62081755331149</v>
      </c>
      <c r="BX54" s="115">
        <f>BX53+BX52</f>
        <v>94.1374</v>
      </c>
      <c r="BY54" s="104">
        <f>BY53+BY52</f>
        <v>0</v>
      </c>
      <c r="BZ54" s="70">
        <f t="shared" si="419"/>
        <v>1</v>
      </c>
      <c r="CA54" s="107">
        <f t="shared" si="420"/>
        <v>0.67884937117803168</v>
      </c>
      <c r="CB54" s="107">
        <f t="shared" si="421"/>
        <v>0</v>
      </c>
      <c r="CC54" s="130">
        <f t="shared" si="422"/>
        <v>67.884937117803162</v>
      </c>
      <c r="CD54" s="104">
        <f t="shared" si="423"/>
        <v>2345.0841999999998</v>
      </c>
      <c r="CE54" s="104">
        <f t="shared" si="424"/>
        <v>2714.8157999999999</v>
      </c>
      <c r="CF54" s="70">
        <f t="shared" si="425"/>
        <v>-0.13619030801279408</v>
      </c>
      <c r="CG54" s="107">
        <f t="shared" si="426"/>
        <v>0.19387295816528854</v>
      </c>
      <c r="CH54" s="107">
        <f t="shared" si="427"/>
        <v>0.24691998938472148</v>
      </c>
      <c r="CI54" s="130">
        <f t="shared" si="428"/>
        <v>-5.3047031219432936</v>
      </c>
      <c r="CJ54" s="85"/>
      <c r="CK54" s="113" t="s">
        <v>84</v>
      </c>
      <c r="CL54" s="115">
        <f>CL53+CL52</f>
        <v>1091.1448</v>
      </c>
      <c r="CM54" s="104">
        <f>CM53+CM52</f>
        <v>671.48680000000002</v>
      </c>
      <c r="CN54" s="70">
        <f t="shared" si="429"/>
        <v>0.6249683538082953</v>
      </c>
      <c r="CO54" s="115">
        <f>CO53+CO52</f>
        <v>368.70480000000003</v>
      </c>
      <c r="CP54" s="104">
        <f>CP53+CP52</f>
        <v>171.1798</v>
      </c>
      <c r="CQ54" s="70">
        <f t="shared" si="430"/>
        <v>1.1539036732137791</v>
      </c>
      <c r="CR54" s="115">
        <f>CR53+CR52</f>
        <v>369.59379999999999</v>
      </c>
      <c r="CS54" s="104">
        <f>CS53+CS52</f>
        <v>110.9624</v>
      </c>
      <c r="CT54" s="70">
        <f t="shared" si="431"/>
        <v>2.3308021455916599</v>
      </c>
      <c r="CU54" s="115">
        <f>CU53+CU52</f>
        <v>682.31939999999997</v>
      </c>
      <c r="CV54" s="104">
        <f>CV53+CV52</f>
        <v>520.43619999999999</v>
      </c>
      <c r="CW54" s="70">
        <f t="shared" si="432"/>
        <v>0.31105292060775169</v>
      </c>
      <c r="CX54" s="115">
        <f>CX53+CX52</f>
        <v>336.77939999999995</v>
      </c>
      <c r="CY54" s="104">
        <f>CY53+CY52</f>
        <v>438.2552</v>
      </c>
      <c r="CZ54" s="70">
        <f t="shared" si="433"/>
        <v>-0.23154499935197581</v>
      </c>
      <c r="DA54" s="115">
        <f>DA53+DA52</f>
        <v>15.3522</v>
      </c>
      <c r="DB54" s="104">
        <f>DB53+DB52</f>
        <v>0</v>
      </c>
      <c r="DC54" s="70">
        <f t="shared" si="434"/>
        <v>1</v>
      </c>
      <c r="DD54" s="175">
        <f>CL54+CO54+CR54+CU54+CX54+DA54</f>
        <v>2863.8943999999997</v>
      </c>
      <c r="DE54" s="176">
        <f>CM54+CP54+CS54+CV54+CY54+DB54</f>
        <v>1912.3204000000001</v>
      </c>
      <c r="DF54" s="70">
        <f>IF(DE54&gt;0,DD54/DE54-1,1)</f>
        <v>0.49760176171315207</v>
      </c>
      <c r="DG54" s="86"/>
      <c r="DH54" s="113" t="s">
        <v>84</v>
      </c>
      <c r="DI54" s="115">
        <f>DI53+DI52</f>
        <v>301.7636</v>
      </c>
      <c r="DJ54" s="104">
        <f>DJ53+DJ52</f>
        <v>206.91299999999998</v>
      </c>
      <c r="DK54" s="70">
        <f t="shared" si="436"/>
        <v>0.45840812322087077</v>
      </c>
      <c r="DL54" s="115">
        <f>DL53+DL52</f>
        <v>699.23720000000003</v>
      </c>
      <c r="DM54" s="104">
        <f>DM53+DM52</f>
        <v>118.405</v>
      </c>
      <c r="DN54" s="70">
        <f t="shared" si="437"/>
        <v>4.9054702081837762</v>
      </c>
      <c r="DO54" s="115">
        <f>DO53+DO52</f>
        <v>215.9212</v>
      </c>
      <c r="DP54" s="104">
        <f>DP53+DP52</f>
        <v>93.370800000000003</v>
      </c>
      <c r="DQ54" s="70">
        <f t="shared" si="438"/>
        <v>1.3125131197333642</v>
      </c>
      <c r="DR54" s="115">
        <f>DR53+DR52</f>
        <v>697.2876</v>
      </c>
      <c r="DS54" s="104">
        <f>DS53+DS52</f>
        <v>498.40800000000002</v>
      </c>
      <c r="DT54" s="70">
        <f t="shared" si="439"/>
        <v>0.39902971059854564</v>
      </c>
      <c r="DU54" s="115">
        <f>DU53+DU52</f>
        <v>589.28339999999992</v>
      </c>
      <c r="DV54" s="104">
        <f>DV53+DV52</f>
        <v>131.5642</v>
      </c>
      <c r="DW54" s="70">
        <f t="shared" si="440"/>
        <v>3.4790558525799566</v>
      </c>
      <c r="DX54" s="115">
        <f>DX53+DX52</f>
        <v>29.182399999999998</v>
      </c>
      <c r="DY54" s="104">
        <f>DY53+DY52</f>
        <v>0</v>
      </c>
      <c r="DZ54" s="70">
        <f t="shared" si="441"/>
        <v>1</v>
      </c>
      <c r="EA54" s="175">
        <f>DI54+DL54+DO54+DR54+DU54+DX54</f>
        <v>2532.6754000000001</v>
      </c>
      <c r="EB54" s="176">
        <f>DJ54+DM54+DP54+DS54+DV54+DY54</f>
        <v>1048.6610000000001</v>
      </c>
      <c r="EC54" s="70">
        <f>IF(EB54&gt;0,EA54/EB54-1,1)</f>
        <v>1.4151517029812304</v>
      </c>
      <c r="ED54" s="94"/>
      <c r="EE54" s="113" t="s">
        <v>84</v>
      </c>
      <c r="EF54" s="113"/>
      <c r="EG54" s="177"/>
      <c r="EH54" s="115">
        <f>EH53+EH52</f>
        <v>2486.5500000000002</v>
      </c>
      <c r="EI54" s="104">
        <f>EI53+EI52</f>
        <v>2559.7521999999999</v>
      </c>
      <c r="EJ54" s="57">
        <f t="shared" ref="EJ54" si="449">IF(EI54&gt;0,EH54/EI54-1,1)</f>
        <v>-2.8597377511776267E-2</v>
      </c>
      <c r="EK54" s="115">
        <f>EK53+EK52</f>
        <v>2118.7356</v>
      </c>
      <c r="EL54" s="104">
        <f>EL53+EL52</f>
        <v>1397.4138</v>
      </c>
      <c r="EM54" s="57">
        <f t="shared" ref="EM54" si="450">IF(EL54&gt;0,EK54/EL54-1,1)</f>
        <v>0.51618339535504787</v>
      </c>
      <c r="EN54" s="115">
        <f>EN53+EN52</f>
        <v>115.02199999999999</v>
      </c>
      <c r="EO54" s="104">
        <f>EO53+EO52</f>
        <v>809.67920000000004</v>
      </c>
      <c r="EP54" s="57">
        <f t="shared" ref="EP54" si="451">IF(EO54&gt;0,EN54/EO54-1,1)</f>
        <v>-0.8579412685913137</v>
      </c>
      <c r="EQ54" s="115">
        <f>EQ53+EQ52</f>
        <v>1950.3476000000001</v>
      </c>
      <c r="ER54" s="104">
        <f>ER53+ER52</f>
        <v>2947.8951999999999</v>
      </c>
      <c r="ES54" s="57">
        <f t="shared" ref="ES54" si="452">IF(ER54&gt;0,EQ54/ER54-1,1)</f>
        <v>-0.33839316947223896</v>
      </c>
      <c r="ET54" s="115">
        <f>ET53+ET52</f>
        <v>4.4407999999999994</v>
      </c>
      <c r="EU54" s="104">
        <f>EU53+EU52</f>
        <v>90.292999999999992</v>
      </c>
      <c r="EV54" s="57">
        <f t="shared" ref="EV54" si="453">IF(EU54&gt;0,ET54/EU54-1,1)</f>
        <v>-0.95081789285991158</v>
      </c>
      <c r="EW54" s="84"/>
      <c r="EX54" s="113"/>
      <c r="EY54" s="177"/>
      <c r="EZ54" s="104">
        <f>EZ53+EZ52</f>
        <v>151.7482</v>
      </c>
      <c r="FA54" s="104">
        <f>FA53+FA52</f>
        <v>401.48519999999996</v>
      </c>
      <c r="FB54" s="57">
        <f t="shared" ref="FB54" si="454">IF(FA54&gt;0,EZ54/FA54-1,1)</f>
        <v>-0.62203289187247746</v>
      </c>
      <c r="FC54" s="84"/>
      <c r="FD54" s="100">
        <f t="shared" si="66"/>
        <v>6826.8442000000005</v>
      </c>
      <c r="FE54" s="97">
        <f t="shared" si="67"/>
        <v>8206.5185999999994</v>
      </c>
      <c r="FF54" s="61">
        <f t="shared" si="445"/>
        <v>-0.16811932894418824</v>
      </c>
      <c r="FG54" s="94"/>
      <c r="FH54" s="84"/>
      <c r="FI54" s="84"/>
      <c r="FJ54" s="84"/>
      <c r="FK54" s="84"/>
      <c r="FL54" s="84"/>
      <c r="FM54" s="84"/>
      <c r="FN54" s="84"/>
      <c r="FO54" s="84"/>
      <c r="FP54" s="84"/>
      <c r="FQ54" s="84"/>
      <c r="FR54" s="84"/>
      <c r="FS54" s="84"/>
      <c r="FT54" s="84"/>
      <c r="FU54" s="84"/>
      <c r="FV54" s="84"/>
      <c r="FW54" s="84"/>
      <c r="FX54" s="84"/>
    </row>
    <row r="55" spans="1:181" s="90" customFormat="1" ht="5" customHeight="1" x14ac:dyDescent="0.25">
      <c r="A55" s="71"/>
      <c r="B55" s="71"/>
      <c r="C55" s="71"/>
      <c r="D55" s="71"/>
      <c r="E55" s="71"/>
      <c r="F55" s="101"/>
      <c r="G55" s="101"/>
      <c r="H55" s="71"/>
      <c r="I55" s="71"/>
      <c r="J55" s="71"/>
      <c r="K55" s="71"/>
      <c r="L55" s="101"/>
      <c r="M55" s="101"/>
      <c r="N55" s="71"/>
      <c r="O55" s="71"/>
      <c r="P55" s="71"/>
      <c r="Q55" s="71"/>
      <c r="R55" s="101"/>
      <c r="S55" s="101"/>
      <c r="T55" s="71"/>
      <c r="U55" s="71"/>
      <c r="V55" s="71"/>
      <c r="W55" s="71"/>
      <c r="X55" s="101"/>
      <c r="Y55" s="101"/>
      <c r="Z55" s="71"/>
      <c r="AA55" s="71"/>
      <c r="AB55" s="71"/>
      <c r="AC55" s="71"/>
      <c r="AD55" s="101"/>
      <c r="AE55" s="101"/>
      <c r="AF55" s="71"/>
      <c r="AG55" s="71"/>
      <c r="AH55" s="71"/>
      <c r="AI55" s="71"/>
      <c r="AJ55" s="101"/>
      <c r="AK55" s="101"/>
      <c r="AM55" s="71"/>
      <c r="AN55" s="71"/>
      <c r="AP55" s="71"/>
      <c r="AQ55" s="71"/>
      <c r="AR55" s="103"/>
      <c r="AS55" s="71"/>
      <c r="AT55" s="71"/>
      <c r="AU55" s="71"/>
      <c r="AV55" s="71"/>
      <c r="AZ55" s="71"/>
      <c r="BA55" s="71"/>
      <c r="BB55" s="71"/>
      <c r="BF55" s="71"/>
      <c r="BG55" s="71"/>
      <c r="BH55" s="71"/>
      <c r="BL55" s="71"/>
      <c r="BM55" s="71"/>
      <c r="BN55" s="71"/>
      <c r="BR55" s="71"/>
      <c r="BS55" s="71"/>
      <c r="BT55" s="71"/>
      <c r="BX55" s="71"/>
      <c r="BY55" s="71"/>
      <c r="BZ55" s="71"/>
      <c r="CD55" s="72"/>
      <c r="CG55" s="159"/>
      <c r="CH55" s="159"/>
      <c r="CI55" s="159"/>
      <c r="CK55" s="71"/>
      <c r="CL55" s="71"/>
      <c r="CM55" s="71"/>
      <c r="CN55" s="71"/>
      <c r="CO55" s="71"/>
      <c r="CP55" s="71"/>
      <c r="CQ55" s="71"/>
      <c r="CR55" s="71"/>
      <c r="CS55" s="71"/>
      <c r="CT55" s="71"/>
      <c r="CU55" s="71"/>
      <c r="CV55" s="71"/>
      <c r="CW55" s="71"/>
      <c r="CX55" s="71"/>
      <c r="CY55" s="71"/>
      <c r="CZ55" s="71"/>
      <c r="DA55" s="71"/>
      <c r="DB55" s="71"/>
      <c r="DC55" s="71"/>
      <c r="DD55" s="77"/>
      <c r="DE55" s="77"/>
      <c r="DH55" s="71"/>
      <c r="DI55" s="71"/>
      <c r="DJ55" s="71"/>
      <c r="DK55" s="71"/>
      <c r="DL55" s="71"/>
      <c r="DM55" s="71"/>
      <c r="DN55" s="71"/>
      <c r="DO55" s="71"/>
      <c r="DP55" s="71"/>
      <c r="DQ55" s="71"/>
      <c r="DR55" s="71"/>
      <c r="DS55" s="71"/>
      <c r="DT55" s="71"/>
      <c r="DU55" s="71"/>
      <c r="DV55" s="71"/>
      <c r="DW55" s="71"/>
      <c r="DX55" s="71"/>
      <c r="DY55" s="71"/>
      <c r="DZ55" s="71"/>
      <c r="EA55" s="77"/>
      <c r="EB55" s="77"/>
      <c r="EH55" s="71"/>
      <c r="EI55" s="71"/>
      <c r="EJ55" s="159"/>
      <c r="EK55" s="71"/>
      <c r="EL55" s="71"/>
      <c r="EM55" s="159"/>
      <c r="EN55" s="71"/>
      <c r="EO55" s="71"/>
      <c r="EP55" s="159"/>
      <c r="EQ55" s="71"/>
      <c r="ER55" s="71"/>
      <c r="ES55" s="159"/>
      <c r="ET55" s="71"/>
      <c r="EU55" s="71"/>
      <c r="EV55" s="159"/>
      <c r="EZ55" s="71"/>
      <c r="FA55" s="71"/>
      <c r="FB55" s="159"/>
      <c r="FD55" s="180"/>
      <c r="FE55" s="180"/>
    </row>
    <row r="56" spans="1:181" s="63" customFormat="1" ht="12" customHeight="1" x14ac:dyDescent="0.25">
      <c r="A56" s="113" t="s">
        <v>85</v>
      </c>
      <c r="B56" s="115">
        <f>B54+B50+B19</f>
        <v>28686.068579089006</v>
      </c>
      <c r="C56" s="104">
        <f>C54+C50+C19</f>
        <v>23068.520951794198</v>
      </c>
      <c r="D56" s="70">
        <f t="shared" ref="D56" si="455">IF(C56&gt;0,B56/C56-1,1)</f>
        <v>0.243515725998805</v>
      </c>
      <c r="E56" s="115">
        <f>E54+E50+E19</f>
        <v>57766.395340764706</v>
      </c>
      <c r="F56" s="104">
        <f>F54+F50+F19</f>
        <v>47928.599621049485</v>
      </c>
      <c r="G56" s="70">
        <f t="shared" ref="G56" si="456">IF(F56&gt;0,E56/F56-1,1)</f>
        <v>0.20525940247573216</v>
      </c>
      <c r="H56" s="115">
        <f>H54+H50+H19</f>
        <v>36220.729503918992</v>
      </c>
      <c r="I56" s="104">
        <f>I54+I50+I19</f>
        <v>22454.129327736904</v>
      </c>
      <c r="J56" s="70">
        <f t="shared" ref="J56" si="457">IF(I56&gt;0,H56/I56-1,1)</f>
        <v>0.61309881916359266</v>
      </c>
      <c r="K56" s="115">
        <f>K54+K50+K19</f>
        <v>47869.21811318471</v>
      </c>
      <c r="L56" s="104">
        <f>L54+L50+L19</f>
        <v>31304.151625789604</v>
      </c>
      <c r="M56" s="70">
        <f t="shared" ref="M56" si="458">IF(L56&gt;0,K56/L56-1,1)</f>
        <v>0.52916516267280489</v>
      </c>
      <c r="N56" s="115">
        <f>N54+N50+N19</f>
        <v>47375.316812878904</v>
      </c>
      <c r="O56" s="104">
        <f>O54+O50+O19</f>
        <v>37790.654029078905</v>
      </c>
      <c r="P56" s="70">
        <f t="shared" ref="P56" si="459">IF(O56&gt;0,N56/O56-1,1)</f>
        <v>0.25362521581195319</v>
      </c>
      <c r="Q56" s="115">
        <f>Q54+Q50+Q19</f>
        <v>68628.675924519994</v>
      </c>
      <c r="R56" s="104">
        <f>R54+R50+R19</f>
        <v>50608.817992316603</v>
      </c>
      <c r="S56" s="70">
        <f t="shared" ref="S56" si="460">IF(R56&gt;0,Q56/R56-1,1)</f>
        <v>0.35606162418057563</v>
      </c>
      <c r="T56" s="115">
        <f>T54+T50+T19</f>
        <v>79056.540582118032</v>
      </c>
      <c r="U56" s="104">
        <f>U54+U50+U19</f>
        <v>62966.476847682192</v>
      </c>
      <c r="V56" s="70">
        <f t="shared" ref="V56" si="461">IF(U56&gt;0,T56/U56-1,1)</f>
        <v>0.25553381005194531</v>
      </c>
      <c r="W56" s="115">
        <f>W54+W50+W19</f>
        <v>74175.922445112097</v>
      </c>
      <c r="X56" s="104">
        <f>X54+X50+X19</f>
        <v>61660.498391950285</v>
      </c>
      <c r="Y56" s="70">
        <f t="shared" ref="Y56" si="462">IF(X56&gt;0,W56/X56-1,1)</f>
        <v>0.20297312508903897</v>
      </c>
      <c r="Z56" s="115">
        <f>Z54+Z50+Z19</f>
        <v>7793.6793705186001</v>
      </c>
      <c r="AA56" s="104">
        <f>AA54+AA50+AA19</f>
        <v>6987.2815180768985</v>
      </c>
      <c r="AB56" s="70">
        <f t="shared" ref="AB56" si="463">IF(AA56&gt;0,Z56/AA56-1,1)</f>
        <v>0.11540938351424046</v>
      </c>
      <c r="AC56" s="115">
        <f>AC54+AC50+AC19</f>
        <v>13451.805527381101</v>
      </c>
      <c r="AD56" s="104">
        <f>AD54+AD50+AD19</f>
        <v>11371.4106042313</v>
      </c>
      <c r="AE56" s="70">
        <f t="shared" ref="AE56" si="464">IF(AD56&gt;0,AC56/AD56-1,1)</f>
        <v>0.18294959135286937</v>
      </c>
      <c r="AF56" s="115">
        <f>AF54+AF50+AF19</f>
        <v>4338.0173737376008</v>
      </c>
      <c r="AG56" s="104">
        <f>AG54+AG50+AG19</f>
        <v>2275.4789613632997</v>
      </c>
      <c r="AH56" s="70">
        <f t="shared" ref="AH56" si="465">IF(AG56&gt;0,AF56/AG56-1,1)</f>
        <v>0.90641946042804977</v>
      </c>
      <c r="AI56" s="115">
        <f>AI54+AI50+AI19</f>
        <v>12800.179270149001</v>
      </c>
      <c r="AJ56" s="104">
        <f>AJ54+AJ50+AJ19</f>
        <v>12222.112866221498</v>
      </c>
      <c r="AK56" s="70">
        <f t="shared" ref="AK56" si="466">IF(AJ56&gt;0,AI56/AJ56-1,1)</f>
        <v>4.7296765318304068E-2</v>
      </c>
      <c r="AL56" s="104">
        <f t="shared" si="54"/>
        <v>203470.35222226114</v>
      </c>
      <c r="AM56" s="104">
        <f t="shared" si="55"/>
        <v>155542.5416357324</v>
      </c>
      <c r="AN56" s="70">
        <f t="shared" ref="AN56" si="467">IF(AM56&gt;0,AL56/AM56-1,1)</f>
        <v>0.30813313246977581</v>
      </c>
      <c r="AO56" s="104">
        <f t="shared" ref="AO56" si="468">E56+W56+AC56+AI56+Q56+K56</f>
        <v>274692.19662111165</v>
      </c>
      <c r="AP56" s="104">
        <f t="shared" ref="AP56" si="469">F56+X56+AD56+AJ56+R56+L56</f>
        <v>215095.59110155879</v>
      </c>
      <c r="AQ56" s="70">
        <f t="shared" ref="AQ56" si="470">IF(AP56&gt;0,AO56/AP56-1,1)</f>
        <v>0.27707032586927327</v>
      </c>
      <c r="AR56" s="72"/>
      <c r="AS56" s="127" t="s">
        <v>85</v>
      </c>
      <c r="AT56" s="115">
        <f>AT54+AT50+AT19</f>
        <v>10185.302684694001</v>
      </c>
      <c r="AU56" s="104">
        <f>AU54+AU50+AU19</f>
        <v>11524.3912336168</v>
      </c>
      <c r="AV56" s="70">
        <f t="shared" ref="AV56" si="471">IF(AU56&gt;0,AT56/AU56-1,1)</f>
        <v>-0.11619603341967943</v>
      </c>
      <c r="AW56" s="107">
        <f t="shared" ref="AW56" si="472">AT56/B56</f>
        <v>0.3550609473240498</v>
      </c>
      <c r="AX56" s="107">
        <f t="shared" ref="AX56" si="473">AU56/C56</f>
        <v>0.49957217706757517</v>
      </c>
      <c r="AY56" s="130">
        <f t="shared" ref="AY56" si="474">(AW56-AX56)*100</f>
        <v>-14.451122974352536</v>
      </c>
      <c r="AZ56" s="115">
        <f>AZ54+AZ50+AZ19</f>
        <v>9464.4952421915023</v>
      </c>
      <c r="BA56" s="104">
        <f>BA54+BA50+BA19</f>
        <v>8587.2187438615983</v>
      </c>
      <c r="BB56" s="70">
        <f t="shared" ref="BB56" si="475">IF(BA56&gt;0,AZ56/BA56-1,1)</f>
        <v>0.1021607256665038</v>
      </c>
      <c r="BC56" s="107">
        <f t="shared" ref="BC56" si="476">AZ56/H56</f>
        <v>0.26130051414805072</v>
      </c>
      <c r="BD56" s="107">
        <f t="shared" ref="BD56" si="477">BA56/I56</f>
        <v>0.38243383292773986</v>
      </c>
      <c r="BE56" s="130">
        <f t="shared" ref="BE56" si="478">(BC56-BD56)*100</f>
        <v>-12.113331877968914</v>
      </c>
      <c r="BF56" s="115">
        <f>BF54+BF50+BF19</f>
        <v>10134.442105613698</v>
      </c>
      <c r="BG56" s="104">
        <f>BG54+BG50+BG19</f>
        <v>9445.7662959256977</v>
      </c>
      <c r="BH56" s="70">
        <f t="shared" ref="BH56" si="479">IF(BG56&gt;0,BF56/BG56-1,1)</f>
        <v>7.2908410827933645E-2</v>
      </c>
      <c r="BI56" s="107">
        <f t="shared" ref="BI56" si="480">BF56/N56</f>
        <v>0.21391819173774193</v>
      </c>
      <c r="BJ56" s="107">
        <f t="shared" ref="BJ56" si="481">BG56/O56</f>
        <v>0.24994979681106952</v>
      </c>
      <c r="BK56" s="130">
        <f t="shared" ref="BK56" si="482">(BI56-BJ56)*100</f>
        <v>-3.6031605073327588</v>
      </c>
      <c r="BL56" s="115">
        <f>BL54+BL50+BL19</f>
        <v>14630.433698171701</v>
      </c>
      <c r="BM56" s="104">
        <f>BM54+BM50+BM19</f>
        <v>11665.757332352001</v>
      </c>
      <c r="BN56" s="70">
        <f t="shared" ref="BN56" si="483">IF(BM56&gt;0,BL56/BM56-1,1)</f>
        <v>0.25413492509379787</v>
      </c>
      <c r="BO56" s="107">
        <f t="shared" ref="BO56" si="484">BL56/T56</f>
        <v>0.18506291308022388</v>
      </c>
      <c r="BP56" s="107">
        <f t="shared" ref="BP56" si="485">BM56/U56</f>
        <v>0.18526933562714362</v>
      </c>
      <c r="BQ56" s="130">
        <f t="shared" ref="BQ56" si="486">(BO56-BP56)*100</f>
        <v>-2.0642254691974338E-2</v>
      </c>
      <c r="BR56" s="115">
        <f>BR54+BR50+BR19</f>
        <v>2457.2632683090001</v>
      </c>
      <c r="BS56" s="104">
        <f>BS54+BS50+BS19</f>
        <v>2064.9265254288002</v>
      </c>
      <c r="BT56" s="70">
        <f t="shared" ref="BT56" si="487">IF(BS56&gt;0,BR56/BS56-1,1)</f>
        <v>0.19000034047154668</v>
      </c>
      <c r="BU56" s="107">
        <f t="shared" ref="BU56" si="488">BR56/Z56</f>
        <v>0.31528924292217719</v>
      </c>
      <c r="BV56" s="107">
        <f t="shared" ref="BV56" si="489">BS56/AA56</f>
        <v>0.29552645332617533</v>
      </c>
      <c r="BW56" s="130">
        <f t="shared" ref="BW56" si="490">(BU56-BV56)*100</f>
        <v>1.9762789596001862</v>
      </c>
      <c r="BX56" s="115">
        <f>BX54+BX50+BX19</f>
        <v>2138.2236029525002</v>
      </c>
      <c r="BY56" s="104">
        <f>BY54+BY50+BY19</f>
        <v>1454.3864793238999</v>
      </c>
      <c r="BZ56" s="70">
        <f t="shared" ref="BZ56" si="491">IF(BY56&gt;0,BX56/BY56-1,1)</f>
        <v>0.4701894120650072</v>
      </c>
      <c r="CA56" s="107">
        <f t="shared" ref="CA56" si="492">BX56/AF56</f>
        <v>0.49290342078787575</v>
      </c>
      <c r="CB56" s="107">
        <f t="shared" ref="CB56" si="493">BY56/AG56</f>
        <v>0.63915619701117277</v>
      </c>
      <c r="CC56" s="130">
        <f t="shared" ref="CC56" si="494">(CA56-CB56)*100</f>
        <v>-14.625277622329701</v>
      </c>
      <c r="CD56" s="104">
        <f t="shared" ref="CD56" si="495">AT56+BL56+BR56+BX56+BF56+AZ56</f>
        <v>49010.160601932403</v>
      </c>
      <c r="CE56" s="104">
        <f t="shared" ref="CE56" si="496">AU56+BM56+BS56+BY56+BG56+BA56</f>
        <v>44742.446610508792</v>
      </c>
      <c r="CF56" s="70">
        <f t="shared" ref="CF56" si="497">IF(CE56&gt;0,CD56/CE56-1,1)</f>
        <v>9.5384010368830374E-2</v>
      </c>
      <c r="CG56" s="107">
        <f t="shared" ref="CG56" si="498">CD56/AL56</f>
        <v>0.24087126240581763</v>
      </c>
      <c r="CH56" s="107">
        <f t="shared" ref="CH56" si="499">CE56/AM56</f>
        <v>0.28765407932764692</v>
      </c>
      <c r="CI56" s="130">
        <f t="shared" ref="CI56" si="500">(CG56-CH56)*100</f>
        <v>-4.678281692182928</v>
      </c>
      <c r="CJ56" s="85"/>
      <c r="CK56" s="113" t="s">
        <v>85</v>
      </c>
      <c r="CL56" s="115">
        <f>CL54+CL50+CL19</f>
        <v>9263.2171364842998</v>
      </c>
      <c r="CM56" s="104">
        <f>CM54+CM50+CM19</f>
        <v>4251.1410205410994</v>
      </c>
      <c r="CN56" s="70">
        <f t="shared" ref="CN56" si="501">IF(CM56&gt;0,CL56/CM56-1,1)</f>
        <v>1.178995495968103</v>
      </c>
      <c r="CO56" s="115">
        <f>CO54+CO50+CO19</f>
        <v>9036.1500521810995</v>
      </c>
      <c r="CP56" s="104">
        <f>CP54+CP50+CP19</f>
        <v>3749.2686456634997</v>
      </c>
      <c r="CQ56" s="70">
        <f t="shared" ref="CQ56" si="502">IF(CP56&gt;0,CO56/CP56-1,1)</f>
        <v>1.4101100524318371</v>
      </c>
      <c r="CR56" s="115">
        <f>CR54+CR50+CR19</f>
        <v>7640.5175002928008</v>
      </c>
      <c r="CS56" s="104">
        <f>CS54+CS50+CS19</f>
        <v>5900.3342803252017</v>
      </c>
      <c r="CT56" s="70">
        <f t="shared" ref="CT56" si="503">IF(CS56&gt;0,CR56/CS56-1,1)</f>
        <v>0.29492959844161359</v>
      </c>
      <c r="CU56" s="115">
        <f>CU54+CU50+CU19</f>
        <v>11687.2987180933</v>
      </c>
      <c r="CV56" s="104">
        <f>CV54+CV50+CV19</f>
        <v>8999.1828585659005</v>
      </c>
      <c r="CW56" s="70">
        <f t="shared" ref="CW56" si="504">IF(CV56&gt;0,CU56/CV56-1,1)</f>
        <v>0.29870666056848783</v>
      </c>
      <c r="CX56" s="115">
        <f>CX54+CX50+CX19</f>
        <v>1856.7213368970001</v>
      </c>
      <c r="CY56" s="104">
        <f>CY54+CY50+CY19</f>
        <v>1257.7508978551</v>
      </c>
      <c r="CZ56" s="70">
        <f t="shared" ref="CZ56" si="505">IF(CY56&gt;0,CX56/CY56-1,1)</f>
        <v>0.47622342394137962</v>
      </c>
      <c r="DA56" s="115">
        <f>DA54+DA50+DA19</f>
        <v>1362.9807374287002</v>
      </c>
      <c r="DB56" s="104">
        <f>DB54+DB50+DB19</f>
        <v>460.8687587435</v>
      </c>
      <c r="DC56" s="70">
        <f t="shared" ref="DC56" si="506">IF(DB56&gt;0,DA56/DB56-1,1)</f>
        <v>1.9574162092147311</v>
      </c>
      <c r="DD56" s="175">
        <f t="shared" si="167"/>
        <v>40846.88548137719</v>
      </c>
      <c r="DE56" s="176">
        <f t="shared" si="168"/>
        <v>24618.546461694306</v>
      </c>
      <c r="DF56" s="70">
        <f t="shared" ref="DF56" si="507">IF(DE56&gt;0,DD56/DE56-1,1)</f>
        <v>0.6591915995094868</v>
      </c>
      <c r="DG56" s="86"/>
      <c r="DH56" s="113" t="s">
        <v>85</v>
      </c>
      <c r="DI56" s="115">
        <f>DI54+DI50+DI19</f>
        <v>4063.1039529665995</v>
      </c>
      <c r="DJ56" s="104">
        <f>DJ54+DJ50+DJ19</f>
        <v>1265.2015770682999</v>
      </c>
      <c r="DK56" s="70">
        <f t="shared" ref="DK56" si="508">IF(DJ56&gt;0,DI56/DJ56-1,1)</f>
        <v>2.2114281444238664</v>
      </c>
      <c r="DL56" s="115">
        <f>DL54+DL50+DL19</f>
        <v>6278.9999395608011</v>
      </c>
      <c r="DM56" s="104">
        <f>DM54+DM50+DM19</f>
        <v>2248.9874319021001</v>
      </c>
      <c r="DN56" s="70">
        <f t="shared" ref="DN56" si="509">IF(DM56&gt;0,DL56/DM56-1,1)</f>
        <v>1.7919230896947629</v>
      </c>
      <c r="DO56" s="115">
        <f>DO54+DO50+DO19</f>
        <v>6418.2599847845995</v>
      </c>
      <c r="DP56" s="104">
        <f>DP54+DP50+DP19</f>
        <v>4638.1343682364986</v>
      </c>
      <c r="DQ56" s="70">
        <f t="shared" ref="DQ56" si="510">IF(DP56&gt;0,DO56/DP56-1,1)</f>
        <v>0.38380207971959557</v>
      </c>
      <c r="DR56" s="115">
        <f>DR54+DR50+DR19</f>
        <v>8853.2267043267984</v>
      </c>
      <c r="DS56" s="104">
        <f>DS54+DS50+DS19</f>
        <v>5882.0103232129995</v>
      </c>
      <c r="DT56" s="70">
        <f t="shared" ref="DT56" si="511">IF(DS56&gt;0,DR56/DS56-1,1)</f>
        <v>0.50513620647486324</v>
      </c>
      <c r="DU56" s="115">
        <f>DU54+DU50+DU19</f>
        <v>1686.1995694986997</v>
      </c>
      <c r="DV56" s="104">
        <f>DV54+DV50+DV19</f>
        <v>583.40392271550013</v>
      </c>
      <c r="DW56" s="70">
        <f t="shared" ref="DW56" si="512">IF(DV56&gt;0,DU56/DV56-1,1)</f>
        <v>1.8902780798081529</v>
      </c>
      <c r="DX56" s="115">
        <f>DX54+DX50+DX19</f>
        <v>334.8145492946</v>
      </c>
      <c r="DY56" s="104">
        <f>DY54+DY50+DY19</f>
        <v>140.58327825010002</v>
      </c>
      <c r="DZ56" s="70">
        <f t="shared" ref="DZ56" si="513">IF(DY56&gt;0,DX56/DY56-1,1)</f>
        <v>1.3816100567733187</v>
      </c>
      <c r="EA56" s="175">
        <f t="shared" ref="EA56" si="514">DI56+DL56+DO56+DR56+DU56+DX56</f>
        <v>27634.604700432094</v>
      </c>
      <c r="EB56" s="176">
        <f t="shared" ref="EB56" si="515">DJ56+DM56+DP56+DS56+DV56+DY56</f>
        <v>14758.320901385499</v>
      </c>
      <c r="EC56" s="70">
        <f t="shared" ref="EC56" si="516">IF(EB56&gt;0,EA56/EB56-1,1)</f>
        <v>0.87247620410786553</v>
      </c>
      <c r="ED56" s="94"/>
      <c r="EE56" s="127" t="s">
        <v>85</v>
      </c>
      <c r="EF56" s="113"/>
      <c r="EG56" s="177"/>
      <c r="EH56" s="115">
        <f>EH54+EH50+EH19</f>
        <v>110131.91165671989</v>
      </c>
      <c r="EI56" s="104">
        <f>EI54+EI50+EI19</f>
        <v>114279.1784041819</v>
      </c>
      <c r="EJ56" s="61">
        <f t="shared" ref="EJ56" si="517">IF(EI56&gt;0,EH56/EI56-1,1)</f>
        <v>-3.6290659465488817E-2</v>
      </c>
      <c r="EK56" s="115">
        <f>EK54+EK50+EK19</f>
        <v>160573.07314159838</v>
      </c>
      <c r="EL56" s="104">
        <f>EL54+EL50+EL19</f>
        <v>143897.7093584059</v>
      </c>
      <c r="EM56" s="61">
        <f t="shared" ref="EM56" si="518">IF(EL56&gt;0,EK56/EL56-1,1)</f>
        <v>0.11588345539023948</v>
      </c>
      <c r="EN56" s="115">
        <f>EN54+EN50+EN19</f>
        <v>96144.223419512389</v>
      </c>
      <c r="EO56" s="104">
        <f>EO54+EO50+EO19</f>
        <v>79752.818490119913</v>
      </c>
      <c r="EP56" s="61">
        <f t="shared" ref="EP56" si="519">IF(EO56&gt;0,EN56/EO56-1,1)</f>
        <v>0.20552759438117052</v>
      </c>
      <c r="EQ56" s="115">
        <f>EQ54+EQ50+EQ19</f>
        <v>52826.837769748105</v>
      </c>
      <c r="ER56" s="104">
        <f>ER54+ER50+ER19</f>
        <v>53765.528973593595</v>
      </c>
      <c r="ES56" s="61">
        <f t="shared" ref="ES56" si="520">IF(ER56&gt;0,EQ56/ER56-1,1)</f>
        <v>-1.745897830385934E-2</v>
      </c>
      <c r="ET56" s="115">
        <f>ET54+ET50+ET19</f>
        <v>623.06056283659996</v>
      </c>
      <c r="EU56" s="104">
        <f>EU54+EU50+EU19</f>
        <v>602.84912752610001</v>
      </c>
      <c r="EV56" s="61">
        <f t="shared" ref="EV56" si="521">IF(EU56&gt;0,ET56/EU56-1,1)</f>
        <v>3.3526523283597065E-2</v>
      </c>
      <c r="EW56" s="84"/>
      <c r="EX56" s="113"/>
      <c r="EY56" s="177"/>
      <c r="EZ56" s="115">
        <f>EZ54+EZ50+EZ19</f>
        <v>72076.313506506995</v>
      </c>
      <c r="FA56" s="104">
        <f>FA54+FA50+FA19</f>
        <v>66434.084173548094</v>
      </c>
      <c r="FB56" s="61">
        <f t="shared" ref="FB56" si="522">IF(FA56&gt;0,EZ56/FA56-1,1)</f>
        <v>8.4929737545858419E-2</v>
      </c>
      <c r="FC56" s="84"/>
      <c r="FD56" s="115">
        <f t="shared" si="66"/>
        <v>492375.42005692236</v>
      </c>
      <c r="FE56" s="104">
        <f t="shared" si="67"/>
        <v>458732.1685273755</v>
      </c>
      <c r="FF56" s="70">
        <f t="shared" si="445"/>
        <v>7.3339638764703619E-2</v>
      </c>
      <c r="FG56" s="94"/>
      <c r="FH56" s="84"/>
      <c r="FI56" s="84"/>
      <c r="FJ56" s="84"/>
      <c r="FK56" s="84"/>
      <c r="FL56" s="84"/>
      <c r="FM56" s="84"/>
      <c r="FN56" s="84"/>
      <c r="FO56" s="84"/>
      <c r="FP56" s="84"/>
      <c r="FQ56" s="84"/>
      <c r="FR56" s="84"/>
      <c r="FS56" s="84"/>
      <c r="FT56" s="84"/>
      <c r="FU56" s="84"/>
      <c r="FV56" s="84"/>
      <c r="FW56" s="84"/>
      <c r="FX56" s="84"/>
    </row>
    <row r="57" spans="1:181" s="90" customFormat="1" x14ac:dyDescent="0.25">
      <c r="A57" s="71"/>
      <c r="B57" s="71"/>
      <c r="C57" s="71"/>
      <c r="D57" s="71"/>
      <c r="E57" s="71"/>
      <c r="F57" s="101"/>
      <c r="G57" s="101"/>
      <c r="H57" s="71"/>
      <c r="I57" s="71"/>
      <c r="J57" s="71"/>
      <c r="K57" s="101"/>
      <c r="L57" s="101"/>
      <c r="M57" s="101"/>
      <c r="N57" s="71"/>
      <c r="O57" s="71"/>
      <c r="P57" s="71"/>
      <c r="Q57" s="71"/>
      <c r="R57" s="101"/>
      <c r="S57" s="101"/>
      <c r="T57" s="71"/>
      <c r="U57" s="101"/>
      <c r="V57" s="101"/>
      <c r="W57" s="102"/>
      <c r="X57" s="102"/>
      <c r="Y57" s="102"/>
      <c r="Z57" s="102"/>
      <c r="AA57" s="102"/>
      <c r="AB57" s="102"/>
      <c r="AC57" s="71"/>
      <c r="AD57" s="101"/>
      <c r="AE57" s="101"/>
      <c r="AF57" s="102"/>
      <c r="AG57" s="102"/>
      <c r="AH57" s="102"/>
      <c r="AI57" s="101"/>
      <c r="AJ57" s="88"/>
      <c r="AK57" s="88"/>
      <c r="AM57" s="71"/>
      <c r="AN57" s="101"/>
      <c r="AO57" s="93"/>
      <c r="AP57" s="101"/>
      <c r="AQ57" s="101"/>
      <c r="AR57" s="103"/>
      <c r="AS57" s="71"/>
      <c r="AT57" s="103"/>
      <c r="AU57" s="103"/>
      <c r="AV57" s="103"/>
      <c r="BA57" s="103"/>
      <c r="BF57" s="103"/>
      <c r="BG57" s="103"/>
      <c r="BH57" s="103"/>
      <c r="CD57" s="91"/>
      <c r="CE57" s="91"/>
      <c r="CK57" s="103"/>
      <c r="CL57" s="103"/>
      <c r="CM57" s="103"/>
      <c r="CN57" s="103"/>
      <c r="CO57" s="103"/>
      <c r="CP57" s="103"/>
      <c r="CQ57" s="103"/>
      <c r="CR57" s="103"/>
      <c r="CS57" s="103"/>
      <c r="CT57" s="103"/>
      <c r="DD57" s="91"/>
      <c r="DE57" s="91"/>
      <c r="DH57" s="103"/>
      <c r="DI57" s="103"/>
      <c r="DJ57" s="103"/>
      <c r="DK57" s="103"/>
      <c r="DL57" s="103"/>
      <c r="DM57" s="103"/>
      <c r="DN57" s="103"/>
      <c r="DO57" s="103"/>
      <c r="DP57" s="103"/>
      <c r="DQ57" s="103"/>
    </row>
    <row r="58" spans="1:181" s="90" customFormat="1" x14ac:dyDescent="0.25">
      <c r="A58" s="71"/>
      <c r="B58" s="71"/>
      <c r="C58" s="71"/>
      <c r="D58" s="71"/>
      <c r="E58" s="71"/>
      <c r="F58" s="101"/>
      <c r="G58" s="101"/>
      <c r="H58" s="71"/>
      <c r="I58" s="71"/>
      <c r="J58" s="71"/>
      <c r="K58" s="101"/>
      <c r="L58" s="101"/>
      <c r="M58" s="101"/>
      <c r="N58" s="71"/>
      <c r="O58" s="71"/>
      <c r="P58" s="71"/>
      <c r="Q58" s="71"/>
      <c r="R58" s="101"/>
      <c r="S58" s="101"/>
      <c r="T58" s="71"/>
      <c r="U58" s="101"/>
      <c r="V58" s="101"/>
      <c r="W58" s="102"/>
      <c r="X58" s="102"/>
      <c r="Y58" s="102"/>
      <c r="Z58" s="102"/>
      <c r="AA58" s="102"/>
      <c r="AB58" s="102"/>
      <c r="AC58" s="71"/>
      <c r="AD58" s="101"/>
      <c r="AE58" s="101"/>
      <c r="AF58" s="102"/>
      <c r="AG58" s="102"/>
      <c r="AH58" s="102"/>
      <c r="AI58" s="101"/>
      <c r="AJ58" s="88"/>
      <c r="AK58" s="88"/>
      <c r="AM58" s="71"/>
      <c r="AN58" s="101"/>
      <c r="AO58" s="101"/>
      <c r="AP58" s="101"/>
      <c r="AQ58" s="101"/>
      <c r="AR58" s="103"/>
      <c r="AS58" s="71"/>
      <c r="AT58" s="103"/>
      <c r="AU58" s="103"/>
      <c r="AV58" s="103"/>
      <c r="BA58" s="103"/>
      <c r="BF58" s="103"/>
      <c r="BG58" s="103"/>
      <c r="BH58" s="103"/>
      <c r="CD58" s="131">
        <v>14963</v>
      </c>
      <c r="CE58" s="202">
        <v>18386</v>
      </c>
      <c r="CK58" s="103"/>
      <c r="CL58" s="103"/>
      <c r="CM58" s="103"/>
      <c r="CN58" s="103"/>
      <c r="CO58" s="103"/>
      <c r="CP58" s="103"/>
      <c r="CQ58" s="103"/>
      <c r="CR58" s="103"/>
      <c r="CS58" s="103"/>
      <c r="CT58" s="103"/>
      <c r="DH58" s="103"/>
      <c r="DI58" s="103"/>
      <c r="DJ58" s="103"/>
      <c r="DK58" s="103"/>
      <c r="DL58" s="103"/>
      <c r="DM58" s="103"/>
      <c r="DN58" s="103"/>
      <c r="DO58" s="103"/>
      <c r="DP58" s="103"/>
      <c r="DQ58" s="103"/>
    </row>
    <row r="59" spans="1:181" s="90" customFormat="1" x14ac:dyDescent="0.25">
      <c r="A59" s="71"/>
      <c r="B59" s="71"/>
      <c r="C59" s="93"/>
      <c r="D59" s="71"/>
      <c r="E59" s="71"/>
      <c r="F59" s="101"/>
      <c r="G59" s="101"/>
      <c r="H59" s="71"/>
      <c r="I59" s="93"/>
      <c r="J59" s="71"/>
      <c r="K59" s="101"/>
      <c r="L59" s="101"/>
      <c r="M59" s="101"/>
      <c r="N59" s="71"/>
      <c r="O59" s="93"/>
      <c r="P59" s="71"/>
      <c r="Q59" s="71"/>
      <c r="R59" s="101"/>
      <c r="S59" s="101"/>
      <c r="T59" s="71"/>
      <c r="U59" s="101"/>
      <c r="V59" s="101"/>
      <c r="W59" s="102"/>
      <c r="X59" s="102"/>
      <c r="Y59" s="102"/>
      <c r="Z59" s="102"/>
      <c r="AA59" s="102"/>
      <c r="AB59" s="102"/>
      <c r="AC59" s="71"/>
      <c r="AD59" s="101"/>
      <c r="AE59" s="101"/>
      <c r="AF59" s="102"/>
      <c r="AG59" s="102"/>
      <c r="AH59" s="102"/>
      <c r="AI59" s="101"/>
      <c r="AJ59" s="88"/>
      <c r="AK59" s="88"/>
      <c r="AM59" s="71"/>
      <c r="AN59" s="101"/>
      <c r="AO59" s="101"/>
      <c r="AP59" s="101"/>
      <c r="AQ59" s="101"/>
      <c r="AR59" s="103"/>
      <c r="AS59" s="71"/>
      <c r="AT59" s="103"/>
      <c r="AU59" s="103"/>
      <c r="AV59" s="103"/>
      <c r="BA59" s="103"/>
      <c r="BF59" s="103"/>
      <c r="BG59" s="103"/>
      <c r="BH59" s="103"/>
      <c r="CD59" s="72"/>
      <c r="CE59" s="90">
        <f>CE58/2</f>
        <v>9193</v>
      </c>
      <c r="CK59" s="103"/>
      <c r="CL59" s="103"/>
      <c r="CM59" s="103"/>
      <c r="CN59" s="103"/>
      <c r="CO59" s="103"/>
      <c r="CP59" s="103"/>
      <c r="CQ59" s="103"/>
      <c r="CR59" s="103"/>
      <c r="CS59" s="103"/>
      <c r="CT59" s="103"/>
      <c r="DH59" s="103"/>
      <c r="DI59" s="103"/>
      <c r="DJ59" s="103"/>
      <c r="DK59" s="103"/>
      <c r="DL59" s="103"/>
      <c r="DM59" s="103"/>
      <c r="DN59" s="103"/>
      <c r="DO59" s="103"/>
      <c r="DP59" s="103"/>
      <c r="DQ59" s="103"/>
    </row>
    <row r="60" spans="1:181" s="90" customFormat="1" x14ac:dyDescent="0.25">
      <c r="A60" s="71"/>
      <c r="B60" s="93"/>
      <c r="C60" s="71"/>
      <c r="D60" s="71"/>
      <c r="E60" s="71"/>
      <c r="F60" s="101"/>
      <c r="G60" s="101"/>
      <c r="H60" s="93"/>
      <c r="I60" s="71"/>
      <c r="J60" s="71"/>
      <c r="K60" s="101"/>
      <c r="L60" s="101"/>
      <c r="M60" s="101"/>
      <c r="N60" s="93"/>
      <c r="O60" s="71"/>
      <c r="P60" s="71"/>
      <c r="Q60" s="71"/>
      <c r="R60" s="101"/>
      <c r="S60" s="101"/>
      <c r="T60" s="71"/>
      <c r="U60" s="101"/>
      <c r="V60" s="101"/>
      <c r="W60" s="102"/>
      <c r="X60" s="102"/>
      <c r="Y60" s="102"/>
      <c r="Z60" s="102"/>
      <c r="AA60" s="102"/>
      <c r="AB60" s="102"/>
      <c r="AC60" s="71"/>
      <c r="AD60" s="101"/>
      <c r="AE60" s="101"/>
      <c r="AF60" s="102"/>
      <c r="AG60" s="102"/>
      <c r="AH60" s="102"/>
      <c r="AI60" s="101"/>
      <c r="AJ60" s="88"/>
      <c r="AK60" s="88"/>
      <c r="AM60" s="71"/>
      <c r="AN60" s="101"/>
      <c r="AO60" s="101"/>
      <c r="AP60" s="101"/>
      <c r="AQ60" s="101"/>
      <c r="AR60" s="103"/>
      <c r="AS60" s="103"/>
      <c r="AT60" s="103"/>
      <c r="AU60" s="103"/>
      <c r="AV60" s="103"/>
      <c r="BA60" s="103"/>
      <c r="BF60" s="103"/>
      <c r="BG60" s="103"/>
      <c r="BH60" s="103"/>
      <c r="CD60" s="131"/>
      <c r="CK60" s="103"/>
      <c r="CL60" s="103"/>
      <c r="CM60" s="103"/>
      <c r="CN60" s="103"/>
      <c r="CO60" s="103"/>
      <c r="CP60" s="103"/>
      <c r="CQ60" s="103"/>
      <c r="CR60" s="103"/>
      <c r="CS60" s="103"/>
      <c r="CT60" s="103"/>
      <c r="DH60" s="103"/>
      <c r="DI60" s="103"/>
      <c r="DJ60" s="103"/>
      <c r="DK60" s="103"/>
      <c r="DL60" s="103"/>
      <c r="DM60" s="103"/>
      <c r="DN60" s="103"/>
      <c r="DO60" s="103"/>
      <c r="DP60" s="103"/>
      <c r="DQ60" s="103"/>
    </row>
    <row r="61" spans="1:181" s="90" customFormat="1" x14ac:dyDescent="0.25">
      <c r="A61" s="71"/>
      <c r="B61" s="93"/>
      <c r="C61" s="71"/>
      <c r="D61" s="71"/>
      <c r="E61" s="71"/>
      <c r="F61" s="101"/>
      <c r="G61" s="101"/>
      <c r="H61" s="93"/>
      <c r="I61" s="71"/>
      <c r="J61" s="71"/>
      <c r="K61" s="101"/>
      <c r="L61" s="101"/>
      <c r="M61" s="101"/>
      <c r="N61" s="93"/>
      <c r="O61" s="71"/>
      <c r="P61" s="71"/>
      <c r="Q61" s="71"/>
      <c r="R61" s="101"/>
      <c r="S61" s="101"/>
      <c r="T61" s="71"/>
      <c r="U61" s="101"/>
      <c r="V61" s="101"/>
      <c r="W61" s="102"/>
      <c r="X61" s="102"/>
      <c r="Y61" s="102"/>
      <c r="Z61" s="102"/>
      <c r="AA61" s="102"/>
      <c r="AB61" s="102"/>
      <c r="AC61" s="71"/>
      <c r="AD61" s="101"/>
      <c r="AE61" s="101"/>
      <c r="AF61" s="102"/>
      <c r="AG61" s="102"/>
      <c r="AH61" s="102"/>
      <c r="AI61" s="101"/>
      <c r="AJ61" s="88"/>
      <c r="AK61" s="88"/>
      <c r="AM61" s="71"/>
      <c r="AN61" s="101"/>
      <c r="AO61" s="101"/>
      <c r="AP61" s="101"/>
      <c r="AQ61" s="101"/>
      <c r="AR61" s="103"/>
      <c r="AS61" s="103"/>
      <c r="AT61" s="103"/>
      <c r="AU61" s="103"/>
      <c r="AV61" s="103"/>
      <c r="BA61" s="103"/>
      <c r="BF61" s="103"/>
      <c r="BG61" s="103"/>
      <c r="BH61" s="103"/>
      <c r="CK61" s="103"/>
      <c r="CL61" s="103"/>
      <c r="CM61" s="103"/>
      <c r="CN61" s="103"/>
      <c r="CO61" s="103"/>
      <c r="CP61" s="103"/>
      <c r="CQ61" s="103"/>
      <c r="CR61" s="103"/>
      <c r="CS61" s="103"/>
      <c r="CT61" s="103"/>
      <c r="DH61" s="103"/>
      <c r="DI61" s="103"/>
      <c r="DJ61" s="103"/>
      <c r="DK61" s="103"/>
      <c r="DL61" s="103"/>
      <c r="DM61" s="103"/>
      <c r="DN61" s="103"/>
      <c r="DO61" s="103"/>
      <c r="DP61" s="103"/>
      <c r="DQ61" s="103"/>
    </row>
    <row r="62" spans="1:181" s="90" customFormat="1" x14ac:dyDescent="0.25">
      <c r="A62" s="71"/>
      <c r="B62" s="93"/>
      <c r="C62" s="71"/>
      <c r="D62" s="71"/>
      <c r="E62" s="71"/>
      <c r="F62" s="101"/>
      <c r="G62" s="101"/>
      <c r="H62" s="93"/>
      <c r="I62" s="71"/>
      <c r="J62" s="71"/>
      <c r="K62" s="101"/>
      <c r="L62" s="101"/>
      <c r="M62" s="101"/>
      <c r="N62" s="93"/>
      <c r="O62" s="71"/>
      <c r="P62" s="71"/>
      <c r="Q62" s="71"/>
      <c r="R62" s="101"/>
      <c r="S62" s="101"/>
      <c r="T62" s="71"/>
      <c r="U62" s="101"/>
      <c r="V62" s="101"/>
      <c r="W62" s="102"/>
      <c r="X62" s="102"/>
      <c r="Y62" s="102"/>
      <c r="Z62" s="102"/>
      <c r="AA62" s="102"/>
      <c r="AB62" s="102"/>
      <c r="AC62" s="71"/>
      <c r="AD62" s="101"/>
      <c r="AE62" s="101"/>
      <c r="AF62" s="102"/>
      <c r="AG62" s="102"/>
      <c r="AH62" s="102"/>
      <c r="AI62" s="101"/>
      <c r="AJ62" s="88"/>
      <c r="AK62" s="88"/>
      <c r="AM62" s="71"/>
      <c r="AN62" s="101"/>
      <c r="AO62" s="101"/>
      <c r="AP62" s="101"/>
      <c r="AQ62" s="101"/>
      <c r="AR62" s="103"/>
      <c r="AS62" s="103"/>
      <c r="AT62" s="103"/>
      <c r="AU62" s="103"/>
      <c r="AV62" s="103"/>
      <c r="BA62" s="103"/>
      <c r="BF62" s="103"/>
      <c r="BG62" s="103"/>
      <c r="BH62" s="103"/>
      <c r="CK62" s="103"/>
      <c r="CL62" s="103"/>
      <c r="CM62" s="103"/>
      <c r="CN62" s="103"/>
      <c r="CO62" s="103"/>
      <c r="CP62" s="103"/>
      <c r="CQ62" s="103"/>
      <c r="CR62" s="103"/>
      <c r="CS62" s="103"/>
      <c r="CT62" s="103"/>
      <c r="DH62" s="103"/>
      <c r="DI62" s="103"/>
      <c r="DJ62" s="103"/>
      <c r="DK62" s="103"/>
      <c r="DL62" s="103"/>
      <c r="DM62" s="103"/>
      <c r="DN62" s="103"/>
      <c r="DO62" s="103"/>
      <c r="DP62" s="103"/>
      <c r="DQ62" s="103"/>
    </row>
    <row r="63" spans="1:181" s="90" customFormat="1" x14ac:dyDescent="0.25">
      <c r="A63" s="71"/>
      <c r="B63" s="93"/>
      <c r="C63" s="71"/>
      <c r="D63" s="71"/>
      <c r="E63" s="71"/>
      <c r="F63" s="101"/>
      <c r="G63" s="101"/>
      <c r="H63" s="93"/>
      <c r="I63" s="71"/>
      <c r="J63" s="71"/>
      <c r="K63" s="101"/>
      <c r="L63" s="101"/>
      <c r="M63" s="101"/>
      <c r="N63" s="93"/>
      <c r="O63" s="71"/>
      <c r="P63" s="71"/>
      <c r="Q63" s="71"/>
      <c r="R63" s="101"/>
      <c r="S63" s="101"/>
      <c r="T63" s="71"/>
      <c r="U63" s="101"/>
      <c r="V63" s="101"/>
      <c r="W63" s="102"/>
      <c r="X63" s="102"/>
      <c r="Y63" s="102"/>
      <c r="Z63" s="102"/>
      <c r="AA63" s="102"/>
      <c r="AB63" s="102"/>
      <c r="AC63" s="71"/>
      <c r="AD63" s="101"/>
      <c r="AE63" s="101"/>
      <c r="AF63" s="102"/>
      <c r="AG63" s="102"/>
      <c r="AH63" s="102"/>
      <c r="AI63" s="101"/>
      <c r="AJ63" s="88"/>
      <c r="AK63" s="88"/>
      <c r="AM63" s="71"/>
      <c r="AN63" s="101"/>
      <c r="AO63" s="101"/>
      <c r="AP63" s="101"/>
      <c r="AQ63" s="101"/>
      <c r="AR63" s="103"/>
      <c r="AS63" s="103"/>
      <c r="AT63" s="103"/>
      <c r="AU63" s="103"/>
      <c r="AV63" s="103"/>
      <c r="BA63" s="103"/>
      <c r="BF63" s="103"/>
      <c r="BG63" s="103"/>
      <c r="BH63" s="103"/>
      <c r="CK63" s="103"/>
      <c r="CL63" s="103"/>
      <c r="CM63" s="103"/>
      <c r="CN63" s="103"/>
      <c r="CO63" s="103"/>
      <c r="CP63" s="103"/>
      <c r="CQ63" s="103"/>
      <c r="CR63" s="103"/>
      <c r="CS63" s="103"/>
      <c r="CT63" s="103"/>
      <c r="DH63" s="103"/>
      <c r="DI63" s="103"/>
      <c r="DJ63" s="103"/>
      <c r="DK63" s="103"/>
      <c r="DL63" s="103"/>
      <c r="DM63" s="103"/>
      <c r="DN63" s="103"/>
      <c r="DO63" s="103"/>
      <c r="DP63" s="103"/>
      <c r="DQ63" s="103"/>
    </row>
    <row r="64" spans="1:181" s="90" customFormat="1" x14ac:dyDescent="0.25">
      <c r="A64" s="71"/>
      <c r="B64" s="93"/>
      <c r="C64" s="71"/>
      <c r="D64" s="71"/>
      <c r="E64" s="71"/>
      <c r="F64" s="101"/>
      <c r="G64" s="101"/>
      <c r="H64" s="93"/>
      <c r="I64" s="71"/>
      <c r="J64" s="71"/>
      <c r="K64" s="101"/>
      <c r="L64" s="101"/>
      <c r="M64" s="101"/>
      <c r="N64" s="93"/>
      <c r="O64" s="71"/>
      <c r="P64" s="71"/>
      <c r="Q64" s="71"/>
      <c r="R64" s="101"/>
      <c r="S64" s="101"/>
      <c r="T64" s="71"/>
      <c r="U64" s="101"/>
      <c r="V64" s="101"/>
      <c r="W64" s="102"/>
      <c r="X64" s="102"/>
      <c r="Y64" s="102"/>
      <c r="Z64" s="102"/>
      <c r="AA64" s="102"/>
      <c r="AB64" s="102"/>
      <c r="AC64" s="71"/>
      <c r="AD64" s="101"/>
      <c r="AE64" s="101"/>
      <c r="AF64" s="102"/>
      <c r="AG64" s="102"/>
      <c r="AH64" s="102"/>
      <c r="AI64" s="101"/>
      <c r="AJ64" s="88"/>
      <c r="AK64" s="88"/>
      <c r="AM64" s="71"/>
      <c r="AN64" s="101"/>
      <c r="AO64" s="101"/>
      <c r="AP64" s="101"/>
      <c r="AQ64" s="101"/>
      <c r="AR64" s="103"/>
      <c r="AS64" s="103"/>
      <c r="AT64" s="103"/>
      <c r="AU64" s="103"/>
      <c r="AV64" s="103"/>
      <c r="BA64" s="103"/>
      <c r="BF64" s="103"/>
      <c r="BG64" s="103"/>
      <c r="BH64" s="103"/>
      <c r="CK64" s="103"/>
      <c r="CL64" s="103"/>
      <c r="CM64" s="103"/>
      <c r="CN64" s="103"/>
      <c r="CO64" s="103"/>
      <c r="CP64" s="103"/>
      <c r="CQ64" s="103"/>
      <c r="CR64" s="103"/>
      <c r="CS64" s="103"/>
      <c r="CT64" s="103"/>
      <c r="DH64" s="103"/>
      <c r="DI64" s="103"/>
      <c r="DJ64" s="103"/>
      <c r="DK64" s="103"/>
      <c r="DL64" s="103"/>
      <c r="DM64" s="103"/>
      <c r="DN64" s="103"/>
      <c r="DO64" s="103"/>
      <c r="DP64" s="103"/>
      <c r="DQ64" s="103"/>
    </row>
    <row r="65" spans="1:121" s="90" customFormat="1" x14ac:dyDescent="0.25">
      <c r="A65" s="71"/>
      <c r="B65" s="93"/>
      <c r="C65" s="71"/>
      <c r="D65" s="71"/>
      <c r="E65" s="71"/>
      <c r="F65" s="101"/>
      <c r="G65" s="101"/>
      <c r="H65" s="93"/>
      <c r="I65" s="71"/>
      <c r="J65" s="71"/>
      <c r="K65" s="101"/>
      <c r="L65" s="101"/>
      <c r="M65" s="101"/>
      <c r="N65" s="93"/>
      <c r="O65" s="71"/>
      <c r="P65" s="71"/>
      <c r="Q65" s="71"/>
      <c r="R65" s="101"/>
      <c r="S65" s="101"/>
      <c r="T65" s="71"/>
      <c r="U65" s="101"/>
      <c r="V65" s="101"/>
      <c r="W65" s="102"/>
      <c r="X65" s="102"/>
      <c r="Y65" s="102"/>
      <c r="Z65" s="102"/>
      <c r="AA65" s="102"/>
      <c r="AB65" s="102"/>
      <c r="AC65" s="71"/>
      <c r="AD65" s="101"/>
      <c r="AE65" s="101"/>
      <c r="AF65" s="102"/>
      <c r="AG65" s="102"/>
      <c r="AH65" s="102"/>
      <c r="AI65" s="101"/>
      <c r="AJ65" s="88"/>
      <c r="AK65" s="88"/>
      <c r="AM65" s="71"/>
      <c r="AN65" s="101"/>
      <c r="AO65" s="101"/>
      <c r="AP65" s="101"/>
      <c r="AQ65" s="101"/>
      <c r="AR65" s="103"/>
      <c r="AS65" s="103"/>
      <c r="AT65" s="103"/>
      <c r="AU65" s="103"/>
      <c r="AV65" s="103"/>
      <c r="BA65" s="103"/>
      <c r="BF65" s="103"/>
      <c r="BG65" s="103"/>
      <c r="BH65" s="103"/>
      <c r="CK65" s="103"/>
      <c r="CL65" s="103"/>
      <c r="CM65" s="103"/>
      <c r="CN65" s="103"/>
      <c r="CO65" s="103"/>
      <c r="CP65" s="103"/>
      <c r="CQ65" s="103"/>
      <c r="CR65" s="103"/>
      <c r="CS65" s="103"/>
      <c r="CT65" s="103"/>
      <c r="DH65" s="103"/>
      <c r="DI65" s="103"/>
      <c r="DJ65" s="103"/>
      <c r="DK65" s="103"/>
      <c r="DL65" s="103"/>
      <c r="DM65" s="103"/>
      <c r="DN65" s="103"/>
      <c r="DO65" s="103"/>
      <c r="DP65" s="103"/>
      <c r="DQ65" s="103"/>
    </row>
    <row r="66" spans="1:121" s="90" customFormat="1" x14ac:dyDescent="0.25">
      <c r="A66" s="71"/>
      <c r="B66" s="71"/>
      <c r="C66" s="71"/>
      <c r="D66" s="71"/>
      <c r="E66" s="71"/>
      <c r="F66" s="101"/>
      <c r="G66" s="101"/>
      <c r="H66" s="71"/>
      <c r="I66" s="71"/>
      <c r="J66" s="71"/>
      <c r="K66" s="101"/>
      <c r="L66" s="101"/>
      <c r="M66" s="101"/>
      <c r="N66" s="71"/>
      <c r="O66" s="71"/>
      <c r="P66" s="71"/>
      <c r="Q66" s="71"/>
      <c r="R66" s="101"/>
      <c r="S66" s="101"/>
      <c r="T66" s="71"/>
      <c r="U66" s="101"/>
      <c r="V66" s="101"/>
      <c r="W66" s="102"/>
      <c r="X66" s="102"/>
      <c r="Y66" s="102"/>
      <c r="Z66" s="102"/>
      <c r="AA66" s="102"/>
      <c r="AB66" s="102"/>
      <c r="AC66" s="71"/>
      <c r="AD66" s="101"/>
      <c r="AE66" s="101"/>
      <c r="AF66" s="102"/>
      <c r="AG66" s="102"/>
      <c r="AH66" s="102"/>
      <c r="AI66" s="101"/>
      <c r="AJ66" s="88"/>
      <c r="AK66" s="88"/>
      <c r="AM66" s="71"/>
      <c r="AN66" s="101"/>
      <c r="AO66" s="101"/>
      <c r="AP66" s="101"/>
      <c r="AQ66" s="101"/>
      <c r="AR66" s="103"/>
      <c r="AS66" s="103"/>
      <c r="AT66" s="103"/>
      <c r="AU66" s="103"/>
      <c r="AV66" s="103"/>
      <c r="BA66" s="103"/>
      <c r="BF66" s="103"/>
      <c r="BG66" s="103"/>
      <c r="BH66" s="103"/>
      <c r="CK66" s="103"/>
      <c r="CL66" s="103"/>
      <c r="CM66" s="103"/>
      <c r="CN66" s="103"/>
      <c r="CO66" s="103"/>
      <c r="CP66" s="103"/>
      <c r="CQ66" s="103"/>
      <c r="CR66" s="103"/>
      <c r="CS66" s="103"/>
      <c r="CT66" s="103"/>
      <c r="DH66" s="103"/>
      <c r="DI66" s="103"/>
      <c r="DJ66" s="103"/>
      <c r="DK66" s="103"/>
      <c r="DL66" s="103"/>
      <c r="DM66" s="103"/>
      <c r="DN66" s="103"/>
      <c r="DO66" s="103"/>
      <c r="DP66" s="103"/>
      <c r="DQ66" s="103"/>
    </row>
    <row r="67" spans="1:121" s="90" customFormat="1" x14ac:dyDescent="0.25">
      <c r="A67" s="71"/>
      <c r="B67" s="71"/>
      <c r="C67" s="71"/>
      <c r="D67" s="71"/>
      <c r="E67" s="71"/>
      <c r="F67" s="101"/>
      <c r="G67" s="101"/>
      <c r="H67" s="71"/>
      <c r="I67" s="71"/>
      <c r="J67" s="71"/>
      <c r="K67" s="101"/>
      <c r="L67" s="101"/>
      <c r="M67" s="101"/>
      <c r="N67" s="71"/>
      <c r="O67" s="71"/>
      <c r="P67" s="71"/>
      <c r="Q67" s="71"/>
      <c r="R67" s="101"/>
      <c r="S67" s="101"/>
      <c r="T67" s="71"/>
      <c r="U67" s="101"/>
      <c r="V67" s="101"/>
      <c r="W67" s="102"/>
      <c r="X67" s="102"/>
      <c r="Y67" s="102"/>
      <c r="Z67" s="102"/>
      <c r="AA67" s="102"/>
      <c r="AB67" s="102"/>
      <c r="AC67" s="71"/>
      <c r="AD67" s="101"/>
      <c r="AE67" s="101"/>
      <c r="AF67" s="102"/>
      <c r="AG67" s="102"/>
      <c r="AH67" s="102"/>
      <c r="AI67" s="101"/>
      <c r="AJ67" s="88"/>
      <c r="AK67" s="88"/>
      <c r="AM67" s="71"/>
      <c r="AN67" s="101"/>
      <c r="AO67" s="101"/>
      <c r="AP67" s="101"/>
      <c r="AQ67" s="101"/>
      <c r="AR67" s="103"/>
      <c r="AS67" s="103"/>
      <c r="AT67" s="103"/>
      <c r="AU67" s="103"/>
      <c r="AV67" s="103"/>
      <c r="BA67" s="103"/>
      <c r="BF67" s="103"/>
      <c r="BG67" s="103"/>
      <c r="BH67" s="103"/>
      <c r="CK67" s="103"/>
      <c r="CL67" s="103"/>
      <c r="CM67" s="103"/>
      <c r="CN67" s="103"/>
      <c r="CO67" s="103"/>
      <c r="CP67" s="103"/>
      <c r="CQ67" s="103"/>
      <c r="CR67" s="103"/>
      <c r="CS67" s="103"/>
      <c r="CT67" s="103"/>
      <c r="DH67" s="103"/>
      <c r="DI67" s="103"/>
      <c r="DJ67" s="103"/>
      <c r="DK67" s="103"/>
      <c r="DL67" s="103"/>
      <c r="DM67" s="103"/>
      <c r="DN67" s="103"/>
      <c r="DO67" s="103"/>
      <c r="DP67" s="103"/>
      <c r="DQ67" s="103"/>
    </row>
    <row r="68" spans="1:121" s="90" customFormat="1" x14ac:dyDescent="0.25">
      <c r="A68" s="71"/>
      <c r="B68" s="93"/>
      <c r="C68" s="71"/>
      <c r="D68" s="71"/>
      <c r="E68" s="71"/>
      <c r="F68" s="101"/>
      <c r="G68" s="101"/>
      <c r="H68" s="93"/>
      <c r="I68" s="71"/>
      <c r="J68" s="71"/>
      <c r="K68" s="101"/>
      <c r="L68" s="101"/>
      <c r="M68" s="101"/>
      <c r="N68" s="93"/>
      <c r="O68" s="71"/>
      <c r="P68" s="71"/>
      <c r="Q68" s="71"/>
      <c r="R68" s="101"/>
      <c r="S68" s="101"/>
      <c r="T68" s="71"/>
      <c r="U68" s="101"/>
      <c r="V68" s="101"/>
      <c r="W68" s="102"/>
      <c r="X68" s="102"/>
      <c r="Y68" s="102"/>
      <c r="Z68" s="102"/>
      <c r="AA68" s="102"/>
      <c r="AB68" s="102"/>
      <c r="AC68" s="71"/>
      <c r="AD68" s="101"/>
      <c r="AE68" s="101"/>
      <c r="AF68" s="102"/>
      <c r="AG68" s="102"/>
      <c r="AH68" s="102"/>
      <c r="AI68" s="101"/>
      <c r="AJ68" s="88"/>
      <c r="AK68" s="88"/>
      <c r="AM68" s="71"/>
      <c r="AN68" s="101"/>
      <c r="AO68" s="101"/>
      <c r="AP68" s="101"/>
      <c r="AQ68" s="101"/>
      <c r="AR68" s="103"/>
      <c r="AS68" s="103"/>
      <c r="AT68" s="103"/>
      <c r="AU68" s="103"/>
      <c r="AV68" s="103"/>
      <c r="BA68" s="103"/>
      <c r="BF68" s="103"/>
      <c r="BG68" s="103"/>
      <c r="BH68" s="103"/>
      <c r="CK68" s="103"/>
      <c r="CL68" s="103"/>
      <c r="CM68" s="103"/>
      <c r="CN68" s="103"/>
      <c r="CO68" s="103"/>
      <c r="CP68" s="103"/>
      <c r="CQ68" s="103"/>
      <c r="CR68" s="103"/>
      <c r="CS68" s="103"/>
      <c r="CT68" s="103"/>
      <c r="DH68" s="103"/>
      <c r="DI68" s="103"/>
      <c r="DJ68" s="103"/>
      <c r="DK68" s="103"/>
      <c r="DL68" s="103"/>
      <c r="DM68" s="103"/>
      <c r="DN68" s="103"/>
      <c r="DO68" s="103"/>
      <c r="DP68" s="103"/>
      <c r="DQ68" s="103"/>
    </row>
    <row r="69" spans="1:121" s="90" customFormat="1" x14ac:dyDescent="0.25">
      <c r="A69" s="71"/>
      <c r="B69" s="93"/>
      <c r="C69" s="71"/>
      <c r="D69" s="71"/>
      <c r="E69" s="71"/>
      <c r="F69" s="101"/>
      <c r="G69" s="101"/>
      <c r="H69" s="93"/>
      <c r="I69" s="71"/>
      <c r="J69" s="71"/>
      <c r="K69" s="101"/>
      <c r="L69" s="101"/>
      <c r="M69" s="101"/>
      <c r="N69" s="93"/>
      <c r="O69" s="71"/>
      <c r="P69" s="71"/>
      <c r="Q69" s="71"/>
      <c r="R69" s="101"/>
      <c r="S69" s="101"/>
      <c r="T69" s="71"/>
      <c r="U69" s="101"/>
      <c r="V69" s="101"/>
      <c r="W69" s="102"/>
      <c r="X69" s="102"/>
      <c r="Y69" s="102"/>
      <c r="Z69" s="102"/>
      <c r="AA69" s="102"/>
      <c r="AB69" s="102"/>
      <c r="AC69" s="71"/>
      <c r="AD69" s="101"/>
      <c r="AE69" s="101"/>
      <c r="AF69" s="102"/>
      <c r="AG69" s="102"/>
      <c r="AH69" s="102"/>
      <c r="AI69" s="101"/>
      <c r="AJ69" s="88"/>
      <c r="AK69" s="88"/>
      <c r="AM69" s="71"/>
      <c r="AN69" s="101"/>
      <c r="AO69" s="101"/>
      <c r="AP69" s="101"/>
      <c r="AQ69" s="101"/>
      <c r="AR69" s="103"/>
      <c r="AS69" s="103"/>
      <c r="AT69" s="103"/>
      <c r="AU69" s="103"/>
      <c r="AV69" s="103"/>
      <c r="BA69" s="103"/>
      <c r="BF69" s="103"/>
      <c r="BG69" s="103"/>
      <c r="BH69" s="103"/>
      <c r="CK69" s="103"/>
      <c r="CL69" s="103"/>
      <c r="CM69" s="103"/>
      <c r="CN69" s="103"/>
      <c r="CO69" s="103"/>
      <c r="CP69" s="103"/>
      <c r="CQ69" s="103"/>
      <c r="CR69" s="103"/>
      <c r="CS69" s="103"/>
      <c r="CT69" s="103"/>
      <c r="DH69" s="103"/>
      <c r="DI69" s="103"/>
      <c r="DJ69" s="103"/>
      <c r="DK69" s="103"/>
      <c r="DL69" s="103"/>
      <c r="DM69" s="103"/>
      <c r="DN69" s="103"/>
      <c r="DO69" s="103"/>
      <c r="DP69" s="103"/>
      <c r="DQ69" s="103"/>
    </row>
    <row r="70" spans="1:121" s="90" customFormat="1" x14ac:dyDescent="0.25">
      <c r="A70" s="71"/>
      <c r="B70" s="93"/>
      <c r="C70" s="71"/>
      <c r="D70" s="71"/>
      <c r="E70" s="71"/>
      <c r="F70" s="101"/>
      <c r="G70" s="101"/>
      <c r="H70" s="93"/>
      <c r="I70" s="71"/>
      <c r="J70" s="71"/>
      <c r="K70" s="101"/>
      <c r="L70" s="101"/>
      <c r="M70" s="101"/>
      <c r="N70" s="93"/>
      <c r="O70" s="71"/>
      <c r="P70" s="71"/>
      <c r="Q70" s="71"/>
      <c r="R70" s="101"/>
      <c r="S70" s="101"/>
      <c r="T70" s="71"/>
      <c r="U70" s="101"/>
      <c r="V70" s="101"/>
      <c r="W70" s="102"/>
      <c r="X70" s="102"/>
      <c r="Y70" s="102"/>
      <c r="Z70" s="102"/>
      <c r="AA70" s="102"/>
      <c r="AB70" s="102"/>
      <c r="AC70" s="71"/>
      <c r="AD70" s="101"/>
      <c r="AE70" s="101"/>
      <c r="AF70" s="102"/>
      <c r="AG70" s="102"/>
      <c r="AH70" s="102"/>
      <c r="AI70" s="101"/>
      <c r="AJ70" s="88"/>
      <c r="AK70" s="88"/>
      <c r="AM70" s="71"/>
      <c r="AN70" s="101"/>
      <c r="AO70" s="101"/>
      <c r="AP70" s="101"/>
      <c r="AQ70" s="101"/>
      <c r="AR70" s="103"/>
      <c r="AS70" s="103"/>
      <c r="AT70" s="103"/>
      <c r="AU70" s="103"/>
      <c r="AV70" s="103"/>
      <c r="BA70" s="103"/>
      <c r="BF70" s="103"/>
      <c r="BG70" s="103"/>
      <c r="BH70" s="103"/>
      <c r="CK70" s="103"/>
      <c r="CL70" s="103"/>
      <c r="CM70" s="103"/>
      <c r="CN70" s="103"/>
      <c r="CO70" s="103"/>
      <c r="CP70" s="103"/>
      <c r="CQ70" s="103"/>
      <c r="CR70" s="103"/>
      <c r="CS70" s="103"/>
      <c r="CT70" s="103"/>
      <c r="DH70" s="103"/>
      <c r="DI70" s="103"/>
      <c r="DJ70" s="103"/>
      <c r="DK70" s="103"/>
      <c r="DL70" s="103"/>
      <c r="DM70" s="103"/>
      <c r="DN70" s="103"/>
      <c r="DO70" s="103"/>
      <c r="DP70" s="103"/>
      <c r="DQ70" s="103"/>
    </row>
    <row r="71" spans="1:121" s="90" customFormat="1" x14ac:dyDescent="0.25">
      <c r="A71" s="71"/>
      <c r="B71" s="93"/>
      <c r="C71" s="71"/>
      <c r="D71" s="71"/>
      <c r="E71" s="71"/>
      <c r="F71" s="101"/>
      <c r="G71" s="101"/>
      <c r="H71" s="93"/>
      <c r="I71" s="71"/>
      <c r="J71" s="71"/>
      <c r="K71" s="101"/>
      <c r="L71" s="101"/>
      <c r="M71" s="101"/>
      <c r="N71" s="93"/>
      <c r="O71" s="71"/>
      <c r="P71" s="71"/>
      <c r="Q71" s="71"/>
      <c r="R71" s="101"/>
      <c r="S71" s="101"/>
      <c r="T71" s="71"/>
      <c r="U71" s="101"/>
      <c r="V71" s="101"/>
      <c r="W71" s="102"/>
      <c r="X71" s="102"/>
      <c r="Y71" s="102"/>
      <c r="Z71" s="102"/>
      <c r="AA71" s="102"/>
      <c r="AB71" s="102"/>
      <c r="AC71" s="71"/>
      <c r="AD71" s="101"/>
      <c r="AE71" s="101"/>
      <c r="AF71" s="102"/>
      <c r="AG71" s="102"/>
      <c r="AH71" s="102"/>
      <c r="AI71" s="101"/>
      <c r="AJ71" s="88"/>
      <c r="AK71" s="88"/>
      <c r="AM71" s="71"/>
      <c r="AN71" s="101"/>
      <c r="AO71" s="101"/>
      <c r="AP71" s="101"/>
      <c r="AQ71" s="101"/>
      <c r="AR71" s="103"/>
      <c r="AS71" s="103"/>
      <c r="AT71" s="103"/>
      <c r="AU71" s="103"/>
      <c r="AV71" s="103"/>
      <c r="BA71" s="103"/>
      <c r="BF71" s="103"/>
      <c r="BG71" s="103"/>
      <c r="BH71" s="103"/>
      <c r="CK71" s="103"/>
      <c r="CL71" s="103"/>
      <c r="CM71" s="103"/>
      <c r="CN71" s="103"/>
      <c r="CO71" s="103"/>
      <c r="CP71" s="103"/>
      <c r="CQ71" s="103"/>
      <c r="CR71" s="103"/>
      <c r="CS71" s="103"/>
      <c r="CT71" s="103"/>
      <c r="DH71" s="103"/>
      <c r="DI71" s="103"/>
      <c r="DJ71" s="103"/>
      <c r="DK71" s="103"/>
      <c r="DL71" s="103"/>
      <c r="DM71" s="103"/>
      <c r="DN71" s="103"/>
      <c r="DO71" s="103"/>
      <c r="DP71" s="103"/>
      <c r="DQ71" s="103"/>
    </row>
    <row r="72" spans="1:121" s="90" customFormat="1" x14ac:dyDescent="0.25">
      <c r="A72" s="71"/>
      <c r="B72" s="93"/>
      <c r="C72" s="71"/>
      <c r="D72" s="71"/>
      <c r="E72" s="71"/>
      <c r="F72" s="101"/>
      <c r="G72" s="101"/>
      <c r="H72" s="93"/>
      <c r="I72" s="71"/>
      <c r="J72" s="71"/>
      <c r="K72" s="101"/>
      <c r="L72" s="101"/>
      <c r="M72" s="101"/>
      <c r="N72" s="93"/>
      <c r="O72" s="71"/>
      <c r="P72" s="71"/>
      <c r="Q72" s="71"/>
      <c r="R72" s="101"/>
      <c r="S72" s="101"/>
      <c r="T72" s="71"/>
      <c r="U72" s="101"/>
      <c r="V72" s="101"/>
      <c r="W72" s="102"/>
      <c r="X72" s="102"/>
      <c r="Y72" s="102"/>
      <c r="Z72" s="102"/>
      <c r="AA72" s="102"/>
      <c r="AB72" s="102"/>
      <c r="AC72" s="71"/>
      <c r="AD72" s="101"/>
      <c r="AE72" s="101"/>
      <c r="AF72" s="102"/>
      <c r="AG72" s="102"/>
      <c r="AH72" s="102"/>
      <c r="AI72" s="101"/>
      <c r="AJ72" s="88"/>
      <c r="AK72" s="88"/>
      <c r="AM72" s="71"/>
      <c r="AN72" s="101"/>
      <c r="AO72" s="101"/>
      <c r="AP72" s="101"/>
      <c r="AQ72" s="101"/>
      <c r="AR72" s="103"/>
      <c r="AS72" s="103"/>
      <c r="AT72" s="103"/>
      <c r="AU72" s="103"/>
      <c r="AV72" s="103"/>
      <c r="BA72" s="103"/>
      <c r="BF72" s="103"/>
      <c r="BG72" s="103"/>
      <c r="BH72" s="103"/>
      <c r="CK72" s="103"/>
      <c r="CL72" s="103"/>
      <c r="CM72" s="103"/>
      <c r="CN72" s="103"/>
      <c r="CO72" s="103"/>
      <c r="CP72" s="103"/>
      <c r="CQ72" s="103"/>
      <c r="CR72" s="103"/>
      <c r="CS72" s="103"/>
      <c r="CT72" s="103"/>
      <c r="DH72" s="103"/>
      <c r="DI72" s="103"/>
      <c r="DJ72" s="103"/>
      <c r="DK72" s="103"/>
      <c r="DL72" s="103"/>
      <c r="DM72" s="103"/>
      <c r="DN72" s="103"/>
      <c r="DO72" s="103"/>
      <c r="DP72" s="103"/>
      <c r="DQ72" s="103"/>
    </row>
    <row r="73" spans="1:121" s="90" customFormat="1" x14ac:dyDescent="0.25">
      <c r="A73" s="71"/>
      <c r="B73" s="93"/>
      <c r="C73" s="71"/>
      <c r="D73" s="71"/>
      <c r="E73" s="71"/>
      <c r="F73" s="101"/>
      <c r="G73" s="101"/>
      <c r="H73" s="93"/>
      <c r="I73" s="71"/>
      <c r="J73" s="71"/>
      <c r="K73" s="101"/>
      <c r="L73" s="101"/>
      <c r="M73" s="101"/>
      <c r="N73" s="93"/>
      <c r="O73" s="71"/>
      <c r="P73" s="71"/>
      <c r="Q73" s="71"/>
      <c r="R73" s="101"/>
      <c r="S73" s="101"/>
      <c r="T73" s="71"/>
      <c r="U73" s="101"/>
      <c r="V73" s="101"/>
      <c r="W73" s="102"/>
      <c r="X73" s="102"/>
      <c r="Y73" s="102"/>
      <c r="Z73" s="102"/>
      <c r="AA73" s="102"/>
      <c r="AB73" s="102"/>
      <c r="AC73" s="71"/>
      <c r="AD73" s="101"/>
      <c r="AE73" s="101"/>
      <c r="AF73" s="102"/>
      <c r="AG73" s="102"/>
      <c r="AH73" s="102"/>
      <c r="AI73" s="101"/>
      <c r="AJ73" s="88"/>
      <c r="AK73" s="88"/>
      <c r="AM73" s="71"/>
      <c r="AN73" s="101"/>
      <c r="AO73" s="101"/>
      <c r="AP73" s="101"/>
      <c r="AQ73" s="101"/>
      <c r="AR73" s="103"/>
      <c r="AS73" s="103"/>
      <c r="AT73" s="103"/>
      <c r="AU73" s="103"/>
      <c r="AV73" s="103"/>
      <c r="BA73" s="103"/>
      <c r="BF73" s="103"/>
      <c r="BG73" s="103"/>
      <c r="BH73" s="103"/>
      <c r="CK73" s="103"/>
      <c r="CL73" s="103"/>
      <c r="CM73" s="103"/>
      <c r="CN73" s="103"/>
      <c r="CO73" s="103"/>
      <c r="CP73" s="103"/>
      <c r="CQ73" s="103"/>
      <c r="CR73" s="103"/>
      <c r="CS73" s="103"/>
      <c r="CT73" s="103"/>
      <c r="DH73" s="103"/>
      <c r="DI73" s="103"/>
      <c r="DJ73" s="103"/>
      <c r="DK73" s="103"/>
      <c r="DL73" s="103"/>
      <c r="DM73" s="103"/>
      <c r="DN73" s="103"/>
      <c r="DO73" s="103"/>
      <c r="DP73" s="103"/>
      <c r="DQ73" s="103"/>
    </row>
    <row r="74" spans="1:121" s="90" customFormat="1" x14ac:dyDescent="0.25">
      <c r="A74" s="71"/>
      <c r="B74" s="71"/>
      <c r="C74" s="71"/>
      <c r="D74" s="71"/>
      <c r="E74" s="71"/>
      <c r="F74" s="101"/>
      <c r="G74" s="101"/>
      <c r="H74" s="71"/>
      <c r="I74" s="71"/>
      <c r="J74" s="71"/>
      <c r="K74" s="101"/>
      <c r="L74" s="101"/>
      <c r="M74" s="101"/>
      <c r="N74" s="71"/>
      <c r="O74" s="71"/>
      <c r="P74" s="71"/>
      <c r="Q74" s="71"/>
      <c r="R74" s="101"/>
      <c r="S74" s="101"/>
      <c r="T74" s="71"/>
      <c r="U74" s="101"/>
      <c r="V74" s="101"/>
      <c r="W74" s="102"/>
      <c r="X74" s="102"/>
      <c r="Y74" s="102"/>
      <c r="Z74" s="102"/>
      <c r="AA74" s="102"/>
      <c r="AB74" s="102"/>
      <c r="AC74" s="71"/>
      <c r="AD74" s="101"/>
      <c r="AE74" s="101"/>
      <c r="AF74" s="102"/>
      <c r="AG74" s="102"/>
      <c r="AH74" s="102"/>
      <c r="AI74" s="101"/>
      <c r="AJ74" s="88"/>
      <c r="AK74" s="88"/>
      <c r="AM74" s="71"/>
      <c r="AN74" s="101"/>
      <c r="AO74" s="101"/>
      <c r="AP74" s="101"/>
      <c r="AQ74" s="101"/>
      <c r="AR74" s="103"/>
      <c r="AS74" s="103"/>
      <c r="AT74" s="103"/>
      <c r="AU74" s="103"/>
      <c r="AV74" s="103"/>
      <c r="BA74" s="103"/>
      <c r="BF74" s="103"/>
      <c r="BG74" s="103"/>
      <c r="BH74" s="103"/>
      <c r="CK74" s="103"/>
      <c r="CL74" s="103"/>
      <c r="CM74" s="103"/>
      <c r="CN74" s="103"/>
      <c r="CO74" s="103"/>
      <c r="CP74" s="103"/>
      <c r="CQ74" s="103"/>
      <c r="CR74" s="103"/>
      <c r="CS74" s="103"/>
      <c r="CT74" s="103"/>
      <c r="DH74" s="103"/>
      <c r="DI74" s="103"/>
      <c r="DJ74" s="103"/>
      <c r="DK74" s="103"/>
      <c r="DL74" s="103"/>
      <c r="DM74" s="103"/>
      <c r="DN74" s="103"/>
      <c r="DO74" s="103"/>
      <c r="DP74" s="103"/>
      <c r="DQ74" s="103"/>
    </row>
    <row r="75" spans="1:121" s="90" customFormat="1" x14ac:dyDescent="0.25">
      <c r="A75" s="71"/>
      <c r="B75" s="71"/>
      <c r="C75" s="71"/>
      <c r="D75" s="71"/>
      <c r="E75" s="71"/>
      <c r="F75" s="101"/>
      <c r="G75" s="101"/>
      <c r="H75" s="71"/>
      <c r="I75" s="71"/>
      <c r="J75" s="71"/>
      <c r="K75" s="101"/>
      <c r="L75" s="101"/>
      <c r="M75" s="101"/>
      <c r="N75" s="71"/>
      <c r="O75" s="71"/>
      <c r="P75" s="71"/>
      <c r="Q75" s="71"/>
      <c r="R75" s="101"/>
      <c r="S75" s="101"/>
      <c r="T75" s="71"/>
      <c r="U75" s="101"/>
      <c r="V75" s="101"/>
      <c r="W75" s="102"/>
      <c r="X75" s="102"/>
      <c r="Y75" s="102"/>
      <c r="Z75" s="102"/>
      <c r="AA75" s="102"/>
      <c r="AB75" s="102"/>
      <c r="AC75" s="71"/>
      <c r="AD75" s="101"/>
      <c r="AE75" s="101"/>
      <c r="AF75" s="102"/>
      <c r="AG75" s="102"/>
      <c r="AH75" s="102"/>
      <c r="AI75" s="101"/>
      <c r="AJ75" s="88"/>
      <c r="AK75" s="88"/>
      <c r="AM75" s="71"/>
      <c r="AN75" s="101"/>
      <c r="AO75" s="101"/>
      <c r="AP75" s="101"/>
      <c r="AQ75" s="101"/>
      <c r="AR75" s="103"/>
      <c r="AS75" s="103"/>
      <c r="AT75" s="103"/>
      <c r="AU75" s="103"/>
      <c r="AV75" s="103"/>
      <c r="BA75" s="103"/>
      <c r="BF75" s="103"/>
      <c r="BG75" s="103"/>
      <c r="BH75" s="103"/>
      <c r="CK75" s="103"/>
      <c r="CL75" s="103"/>
      <c r="CM75" s="103"/>
      <c r="CN75" s="103"/>
      <c r="CO75" s="103"/>
      <c r="CP75" s="103"/>
      <c r="CQ75" s="103"/>
      <c r="CR75" s="103"/>
      <c r="CS75" s="103"/>
      <c r="CT75" s="103"/>
      <c r="DH75" s="103"/>
      <c r="DI75" s="103"/>
      <c r="DJ75" s="103"/>
      <c r="DK75" s="103"/>
      <c r="DL75" s="103"/>
      <c r="DM75" s="103"/>
      <c r="DN75" s="103"/>
      <c r="DO75" s="103"/>
      <c r="DP75" s="103"/>
      <c r="DQ75" s="103"/>
    </row>
    <row r="76" spans="1:121" s="90" customFormat="1" x14ac:dyDescent="0.25">
      <c r="A76" s="71"/>
      <c r="B76" s="71"/>
      <c r="C76" s="71"/>
      <c r="D76" s="71"/>
      <c r="E76" s="71"/>
      <c r="F76" s="101"/>
      <c r="G76" s="101"/>
      <c r="H76" s="71"/>
      <c r="I76" s="71"/>
      <c r="J76" s="71"/>
      <c r="K76" s="101"/>
      <c r="L76" s="101"/>
      <c r="M76" s="101"/>
      <c r="N76" s="71"/>
      <c r="O76" s="71"/>
      <c r="P76" s="71"/>
      <c r="Q76" s="71"/>
      <c r="R76" s="101"/>
      <c r="S76" s="101"/>
      <c r="T76" s="71"/>
      <c r="U76" s="101"/>
      <c r="V76" s="101"/>
      <c r="W76" s="102"/>
      <c r="X76" s="102"/>
      <c r="Y76" s="102"/>
      <c r="Z76" s="102"/>
      <c r="AA76" s="102"/>
      <c r="AB76" s="102"/>
      <c r="AC76" s="71"/>
      <c r="AD76" s="101"/>
      <c r="AE76" s="101"/>
      <c r="AF76" s="102"/>
      <c r="AG76" s="102"/>
      <c r="AH76" s="102"/>
      <c r="AI76" s="101"/>
      <c r="AJ76" s="88"/>
      <c r="AK76" s="88"/>
      <c r="AM76" s="71"/>
      <c r="AN76" s="101"/>
      <c r="AO76" s="101"/>
      <c r="AP76" s="101"/>
      <c r="AQ76" s="101"/>
      <c r="AR76" s="103"/>
      <c r="AS76" s="103"/>
      <c r="AT76" s="103"/>
      <c r="AU76" s="103"/>
      <c r="AV76" s="103"/>
      <c r="BA76" s="103"/>
      <c r="BF76" s="103"/>
      <c r="BG76" s="103"/>
      <c r="BH76" s="103"/>
      <c r="CK76" s="103"/>
      <c r="CL76" s="103"/>
      <c r="CM76" s="103"/>
      <c r="CN76" s="103"/>
      <c r="CO76" s="103"/>
      <c r="CP76" s="103"/>
      <c r="CQ76" s="103"/>
      <c r="CR76" s="103"/>
      <c r="CS76" s="103"/>
      <c r="CT76" s="103"/>
      <c r="DH76" s="103"/>
      <c r="DI76" s="103"/>
      <c r="DJ76" s="103"/>
      <c r="DK76" s="103"/>
      <c r="DL76" s="103"/>
      <c r="DM76" s="103"/>
      <c r="DN76" s="103"/>
      <c r="DO76" s="103"/>
      <c r="DP76" s="103"/>
      <c r="DQ76" s="103"/>
    </row>
    <row r="77" spans="1:121" s="90" customFormat="1" x14ac:dyDescent="0.25">
      <c r="A77" s="71"/>
      <c r="B77" s="71"/>
      <c r="C77" s="71"/>
      <c r="D77" s="71"/>
      <c r="E77" s="71"/>
      <c r="F77" s="101"/>
      <c r="G77" s="101"/>
      <c r="H77" s="71"/>
      <c r="I77" s="71"/>
      <c r="J77" s="71"/>
      <c r="K77" s="101"/>
      <c r="L77" s="101"/>
      <c r="M77" s="101"/>
      <c r="N77" s="71"/>
      <c r="O77" s="71"/>
      <c r="P77" s="71"/>
      <c r="Q77" s="71"/>
      <c r="R77" s="101"/>
      <c r="S77" s="101"/>
      <c r="T77" s="71"/>
      <c r="U77" s="101"/>
      <c r="V77" s="101"/>
      <c r="W77" s="102"/>
      <c r="X77" s="102"/>
      <c r="Y77" s="102"/>
      <c r="Z77" s="102"/>
      <c r="AA77" s="102"/>
      <c r="AB77" s="102"/>
      <c r="AC77" s="71"/>
      <c r="AD77" s="101"/>
      <c r="AE77" s="101"/>
      <c r="AF77" s="102"/>
      <c r="AG77" s="102"/>
      <c r="AH77" s="102"/>
      <c r="AI77" s="101"/>
      <c r="AJ77" s="88"/>
      <c r="AK77" s="88"/>
      <c r="AM77" s="71"/>
      <c r="AN77" s="101"/>
      <c r="AO77" s="101"/>
      <c r="AP77" s="101"/>
      <c r="AQ77" s="101"/>
      <c r="AR77" s="103"/>
      <c r="AS77" s="103"/>
      <c r="AT77" s="103"/>
      <c r="AU77" s="103"/>
      <c r="AV77" s="103"/>
      <c r="BA77" s="103"/>
      <c r="BF77" s="103"/>
      <c r="BG77" s="103"/>
      <c r="BH77" s="103"/>
      <c r="CK77" s="103"/>
      <c r="CL77" s="103"/>
      <c r="CM77" s="103"/>
      <c r="CN77" s="103"/>
      <c r="CO77" s="103"/>
      <c r="CP77" s="103"/>
      <c r="CQ77" s="103"/>
      <c r="CR77" s="103"/>
      <c r="CS77" s="103"/>
      <c r="CT77" s="103"/>
      <c r="DH77" s="103"/>
      <c r="DI77" s="103"/>
      <c r="DJ77" s="103"/>
      <c r="DK77" s="103"/>
      <c r="DL77" s="103"/>
      <c r="DM77" s="103"/>
      <c r="DN77" s="103"/>
      <c r="DO77" s="103"/>
      <c r="DP77" s="103"/>
      <c r="DQ77" s="103"/>
    </row>
    <row r="78" spans="1:121" s="90" customFormat="1" x14ac:dyDescent="0.25">
      <c r="A78" s="71"/>
      <c r="B78" s="71"/>
      <c r="C78" s="71"/>
      <c r="D78" s="71"/>
      <c r="E78" s="71"/>
      <c r="F78" s="101"/>
      <c r="G78" s="101"/>
      <c r="H78" s="71"/>
      <c r="I78" s="71"/>
      <c r="J78" s="71"/>
      <c r="K78" s="101"/>
      <c r="L78" s="101"/>
      <c r="M78" s="101"/>
      <c r="N78" s="71"/>
      <c r="O78" s="71"/>
      <c r="P78" s="71"/>
      <c r="Q78" s="71"/>
      <c r="R78" s="101"/>
      <c r="S78" s="101"/>
      <c r="T78" s="71"/>
      <c r="U78" s="101"/>
      <c r="V78" s="101"/>
      <c r="W78" s="102"/>
      <c r="X78" s="102"/>
      <c r="Y78" s="102"/>
      <c r="Z78" s="102"/>
      <c r="AA78" s="102"/>
      <c r="AB78" s="102"/>
      <c r="AC78" s="71"/>
      <c r="AD78" s="101"/>
      <c r="AE78" s="101"/>
      <c r="AF78" s="102"/>
      <c r="AG78" s="102"/>
      <c r="AH78" s="102"/>
      <c r="AI78" s="101"/>
      <c r="AJ78" s="88"/>
      <c r="AK78" s="88"/>
      <c r="AM78" s="71"/>
      <c r="AN78" s="101"/>
      <c r="AO78" s="101"/>
      <c r="AP78" s="101"/>
      <c r="AQ78" s="101"/>
      <c r="AR78" s="103"/>
      <c r="AS78" s="103"/>
      <c r="AT78" s="103"/>
      <c r="AU78" s="103"/>
      <c r="AV78" s="103"/>
      <c r="BA78" s="103"/>
      <c r="BF78" s="103"/>
      <c r="BG78" s="103"/>
      <c r="BH78" s="103"/>
      <c r="CK78" s="103"/>
      <c r="CL78" s="103"/>
      <c r="CM78" s="103"/>
      <c r="CN78" s="103"/>
      <c r="CO78" s="103"/>
      <c r="CP78" s="103"/>
      <c r="CQ78" s="103"/>
      <c r="CR78" s="103"/>
      <c r="CS78" s="103"/>
      <c r="CT78" s="103"/>
      <c r="DH78" s="103"/>
      <c r="DI78" s="103"/>
      <c r="DJ78" s="103"/>
      <c r="DK78" s="103"/>
      <c r="DL78" s="103"/>
      <c r="DM78" s="103"/>
      <c r="DN78" s="103"/>
      <c r="DO78" s="103"/>
      <c r="DP78" s="103"/>
      <c r="DQ78" s="103"/>
    </row>
    <row r="79" spans="1:121" s="90" customFormat="1" x14ac:dyDescent="0.25">
      <c r="A79" s="71"/>
      <c r="B79" s="71"/>
      <c r="C79" s="71"/>
      <c r="D79" s="71"/>
      <c r="E79" s="71"/>
      <c r="F79" s="101"/>
      <c r="G79" s="101"/>
      <c r="H79" s="71"/>
      <c r="I79" s="71"/>
      <c r="J79" s="71"/>
      <c r="K79" s="101"/>
      <c r="L79" s="101"/>
      <c r="M79" s="101"/>
      <c r="N79" s="71"/>
      <c r="O79" s="71"/>
      <c r="P79" s="71"/>
      <c r="Q79" s="71"/>
      <c r="R79" s="101"/>
      <c r="S79" s="101"/>
      <c r="T79" s="71"/>
      <c r="U79" s="101"/>
      <c r="V79" s="101"/>
      <c r="W79" s="102"/>
      <c r="X79" s="102"/>
      <c r="Y79" s="102"/>
      <c r="Z79" s="102"/>
      <c r="AA79" s="102"/>
      <c r="AB79" s="102"/>
      <c r="AC79" s="71"/>
      <c r="AD79" s="101"/>
      <c r="AE79" s="101"/>
      <c r="AF79" s="102"/>
      <c r="AG79" s="102"/>
      <c r="AH79" s="102"/>
      <c r="AI79" s="101"/>
      <c r="AJ79" s="88"/>
      <c r="AK79" s="88"/>
      <c r="AM79" s="71"/>
      <c r="AN79" s="101"/>
      <c r="AO79" s="101"/>
      <c r="AP79" s="101"/>
      <c r="AQ79" s="101"/>
      <c r="AR79" s="103"/>
      <c r="AS79" s="103"/>
      <c r="AT79" s="103"/>
      <c r="AU79" s="103"/>
      <c r="AV79" s="103"/>
      <c r="BA79" s="103"/>
      <c r="BF79" s="103"/>
      <c r="BG79" s="103"/>
      <c r="BH79" s="103"/>
      <c r="CK79" s="103"/>
      <c r="CL79" s="103"/>
      <c r="CM79" s="103"/>
      <c r="CN79" s="103"/>
      <c r="CO79" s="103"/>
      <c r="CP79" s="103"/>
      <c r="CQ79" s="103"/>
      <c r="CR79" s="103"/>
      <c r="CS79" s="103"/>
      <c r="CT79" s="103"/>
      <c r="DH79" s="103"/>
      <c r="DI79" s="103"/>
      <c r="DJ79" s="103"/>
      <c r="DK79" s="103"/>
      <c r="DL79" s="103"/>
      <c r="DM79" s="103"/>
      <c r="DN79" s="103"/>
      <c r="DO79" s="103"/>
      <c r="DP79" s="103"/>
      <c r="DQ79" s="103"/>
    </row>
    <row r="80" spans="1:121" s="90" customFormat="1" x14ac:dyDescent="0.25">
      <c r="A80" s="71"/>
      <c r="B80" s="71"/>
      <c r="C80" s="71"/>
      <c r="D80" s="71"/>
      <c r="E80" s="71"/>
      <c r="F80" s="101"/>
      <c r="G80" s="101"/>
      <c r="H80" s="71"/>
      <c r="I80" s="71"/>
      <c r="J80" s="71"/>
      <c r="K80" s="101"/>
      <c r="L80" s="101"/>
      <c r="M80" s="101"/>
      <c r="N80" s="71"/>
      <c r="O80" s="71"/>
      <c r="P80" s="71"/>
      <c r="Q80" s="71"/>
      <c r="R80" s="101"/>
      <c r="S80" s="101"/>
      <c r="T80" s="71"/>
      <c r="U80" s="101"/>
      <c r="V80" s="101"/>
      <c r="W80" s="102"/>
      <c r="X80" s="102"/>
      <c r="Y80" s="102"/>
      <c r="Z80" s="102"/>
      <c r="AA80" s="102"/>
      <c r="AB80" s="102"/>
      <c r="AC80" s="71"/>
      <c r="AD80" s="101"/>
      <c r="AE80" s="101"/>
      <c r="AF80" s="102"/>
      <c r="AG80" s="102"/>
      <c r="AH80" s="102"/>
      <c r="AI80" s="101"/>
      <c r="AJ80" s="88"/>
      <c r="AK80" s="88"/>
      <c r="AM80" s="71"/>
      <c r="AN80" s="101"/>
      <c r="AO80" s="101"/>
      <c r="AP80" s="101"/>
      <c r="AQ80" s="101"/>
      <c r="AR80" s="103"/>
      <c r="AS80" s="103"/>
      <c r="AT80" s="103"/>
      <c r="AU80" s="103"/>
      <c r="AV80" s="103"/>
      <c r="BA80" s="103"/>
      <c r="BF80" s="103"/>
      <c r="BG80" s="103"/>
      <c r="BH80" s="103"/>
      <c r="CK80" s="103"/>
      <c r="CL80" s="103"/>
      <c r="CM80" s="103"/>
      <c r="CN80" s="103"/>
      <c r="CO80" s="103"/>
      <c r="CP80" s="103"/>
      <c r="CQ80" s="103"/>
      <c r="CR80" s="103"/>
      <c r="CS80" s="103"/>
      <c r="CT80" s="103"/>
      <c r="DH80" s="103"/>
      <c r="DI80" s="103"/>
      <c r="DJ80" s="103"/>
      <c r="DK80" s="103"/>
      <c r="DL80" s="103"/>
      <c r="DM80" s="103"/>
      <c r="DN80" s="103"/>
      <c r="DO80" s="103"/>
      <c r="DP80" s="103"/>
      <c r="DQ80" s="103"/>
    </row>
    <row r="81" spans="1:121" s="90" customFormat="1" x14ac:dyDescent="0.25">
      <c r="A81" s="71"/>
      <c r="B81" s="71"/>
      <c r="C81" s="71"/>
      <c r="D81" s="71"/>
      <c r="E81" s="71"/>
      <c r="F81" s="101"/>
      <c r="G81" s="101"/>
      <c r="H81" s="71"/>
      <c r="I81" s="71"/>
      <c r="J81" s="71"/>
      <c r="K81" s="101"/>
      <c r="L81" s="101"/>
      <c r="M81" s="101"/>
      <c r="N81" s="71"/>
      <c r="O81" s="71"/>
      <c r="P81" s="71"/>
      <c r="Q81" s="71"/>
      <c r="R81" s="101"/>
      <c r="S81" s="101"/>
      <c r="T81" s="71"/>
      <c r="U81" s="101"/>
      <c r="V81" s="101"/>
      <c r="W81" s="102"/>
      <c r="X81" s="102"/>
      <c r="Y81" s="102"/>
      <c r="Z81" s="102"/>
      <c r="AA81" s="102"/>
      <c r="AB81" s="102"/>
      <c r="AC81" s="71"/>
      <c r="AD81" s="101"/>
      <c r="AE81" s="101"/>
      <c r="AF81" s="102"/>
      <c r="AG81" s="102"/>
      <c r="AH81" s="102"/>
      <c r="AI81" s="101"/>
      <c r="AJ81" s="88"/>
      <c r="AK81" s="88"/>
      <c r="AM81" s="71"/>
      <c r="AN81" s="101"/>
      <c r="AO81" s="101"/>
      <c r="AP81" s="101"/>
      <c r="AQ81" s="101"/>
      <c r="AR81" s="103"/>
      <c r="AS81" s="103"/>
      <c r="AT81" s="103"/>
      <c r="AU81" s="103"/>
      <c r="AV81" s="103"/>
      <c r="BA81" s="103"/>
      <c r="BF81" s="103"/>
      <c r="BG81" s="103"/>
      <c r="BH81" s="103"/>
      <c r="CK81" s="103"/>
      <c r="CL81" s="103"/>
      <c r="CM81" s="103"/>
      <c r="CN81" s="103"/>
      <c r="CO81" s="103"/>
      <c r="CP81" s="103"/>
      <c r="CQ81" s="103"/>
      <c r="CR81" s="103"/>
      <c r="CS81" s="103"/>
      <c r="CT81" s="103"/>
      <c r="DH81" s="103"/>
      <c r="DI81" s="103"/>
      <c r="DJ81" s="103"/>
      <c r="DK81" s="103"/>
      <c r="DL81" s="103"/>
      <c r="DM81" s="103"/>
      <c r="DN81" s="103"/>
      <c r="DO81" s="103"/>
      <c r="DP81" s="103"/>
      <c r="DQ81" s="103"/>
    </row>
    <row r="82" spans="1:121" s="90" customFormat="1" x14ac:dyDescent="0.25">
      <c r="A82" s="71"/>
      <c r="B82" s="71"/>
      <c r="C82" s="71"/>
      <c r="D82" s="71"/>
      <c r="E82" s="71"/>
      <c r="F82" s="101"/>
      <c r="G82" s="101"/>
      <c r="H82" s="71"/>
      <c r="I82" s="71"/>
      <c r="J82" s="71"/>
      <c r="K82" s="101"/>
      <c r="L82" s="101"/>
      <c r="M82" s="101"/>
      <c r="N82" s="71"/>
      <c r="O82" s="71"/>
      <c r="P82" s="71"/>
      <c r="Q82" s="71"/>
      <c r="R82" s="101"/>
      <c r="S82" s="101"/>
      <c r="T82" s="71"/>
      <c r="U82" s="101"/>
      <c r="V82" s="101"/>
      <c r="W82" s="102"/>
      <c r="X82" s="102"/>
      <c r="Y82" s="102"/>
      <c r="Z82" s="102"/>
      <c r="AA82" s="102"/>
      <c r="AB82" s="102"/>
      <c r="AC82" s="71"/>
      <c r="AD82" s="101"/>
      <c r="AE82" s="101"/>
      <c r="AF82" s="102"/>
      <c r="AG82" s="102"/>
      <c r="AH82" s="102"/>
      <c r="AI82" s="101"/>
      <c r="AJ82" s="88"/>
      <c r="AK82" s="88"/>
      <c r="AM82" s="71"/>
      <c r="AN82" s="101"/>
      <c r="AO82" s="101"/>
      <c r="AP82" s="101"/>
      <c r="AQ82" s="101"/>
      <c r="AR82" s="103"/>
      <c r="AS82" s="103"/>
      <c r="AT82" s="103"/>
      <c r="AU82" s="103"/>
      <c r="AV82" s="103"/>
      <c r="BA82" s="103"/>
      <c r="BF82" s="103"/>
      <c r="BG82" s="103"/>
      <c r="BH82" s="103"/>
      <c r="CK82" s="103"/>
      <c r="CL82" s="103"/>
      <c r="CM82" s="103"/>
      <c r="CN82" s="103"/>
      <c r="CO82" s="103"/>
      <c r="CP82" s="103"/>
      <c r="CQ82" s="103"/>
      <c r="CR82" s="103"/>
      <c r="CS82" s="103"/>
      <c r="CT82" s="103"/>
      <c r="DH82" s="103"/>
      <c r="DI82" s="103"/>
      <c r="DJ82" s="103"/>
      <c r="DK82" s="103"/>
      <c r="DL82" s="103"/>
      <c r="DM82" s="103"/>
      <c r="DN82" s="103"/>
      <c r="DO82" s="103"/>
      <c r="DP82" s="103"/>
      <c r="DQ82" s="103"/>
    </row>
    <row r="83" spans="1:121" s="90" customFormat="1" x14ac:dyDescent="0.25">
      <c r="A83" s="71"/>
      <c r="B83" s="71"/>
      <c r="C83" s="71"/>
      <c r="D83" s="71"/>
      <c r="E83" s="71"/>
      <c r="F83" s="101"/>
      <c r="G83" s="101"/>
      <c r="H83" s="71"/>
      <c r="I83" s="71"/>
      <c r="J83" s="71"/>
      <c r="K83" s="101"/>
      <c r="L83" s="101"/>
      <c r="M83" s="101"/>
      <c r="N83" s="71"/>
      <c r="O83" s="71"/>
      <c r="P83" s="71"/>
      <c r="Q83" s="71"/>
      <c r="R83" s="101"/>
      <c r="S83" s="101"/>
      <c r="T83" s="71"/>
      <c r="U83" s="101"/>
      <c r="V83" s="101"/>
      <c r="W83" s="102"/>
      <c r="X83" s="102"/>
      <c r="Y83" s="102"/>
      <c r="Z83" s="102"/>
      <c r="AA83" s="102"/>
      <c r="AB83" s="102"/>
      <c r="AC83" s="71"/>
      <c r="AD83" s="101"/>
      <c r="AE83" s="101"/>
      <c r="AF83" s="102"/>
      <c r="AG83" s="102"/>
      <c r="AH83" s="102"/>
      <c r="AI83" s="101"/>
      <c r="AJ83" s="88"/>
      <c r="AK83" s="88"/>
      <c r="AM83" s="71"/>
      <c r="AN83" s="101"/>
      <c r="AO83" s="101"/>
      <c r="AP83" s="101"/>
      <c r="AQ83" s="101"/>
      <c r="AR83" s="103"/>
      <c r="AS83" s="103"/>
      <c r="AT83" s="103"/>
      <c r="AU83" s="103"/>
      <c r="AV83" s="103"/>
      <c r="BA83" s="103"/>
      <c r="BF83" s="103"/>
      <c r="BG83" s="103"/>
      <c r="BH83" s="103"/>
      <c r="CK83" s="103"/>
      <c r="CL83" s="103"/>
      <c r="CM83" s="103"/>
      <c r="CN83" s="103"/>
      <c r="CO83" s="103"/>
      <c r="CP83" s="103"/>
      <c r="CQ83" s="103"/>
      <c r="CR83" s="103"/>
      <c r="CS83" s="103"/>
      <c r="CT83" s="103"/>
      <c r="DH83" s="103"/>
      <c r="DI83" s="103"/>
      <c r="DJ83" s="103"/>
      <c r="DK83" s="103"/>
      <c r="DL83" s="103"/>
      <c r="DM83" s="103"/>
      <c r="DN83" s="103"/>
      <c r="DO83" s="103"/>
      <c r="DP83" s="103"/>
      <c r="DQ83" s="103"/>
    </row>
    <row r="84" spans="1:121" s="90" customFormat="1" x14ac:dyDescent="0.25">
      <c r="A84" s="71"/>
      <c r="B84" s="93"/>
      <c r="C84" s="71"/>
      <c r="D84" s="71"/>
      <c r="E84" s="71"/>
      <c r="F84" s="101"/>
      <c r="G84" s="101"/>
      <c r="H84" s="93"/>
      <c r="I84" s="71"/>
      <c r="J84" s="71"/>
      <c r="K84" s="101"/>
      <c r="L84" s="101"/>
      <c r="M84" s="101"/>
      <c r="N84" s="93"/>
      <c r="O84" s="71"/>
      <c r="P84" s="71"/>
      <c r="Q84" s="71"/>
      <c r="R84" s="101"/>
      <c r="S84" s="101"/>
      <c r="T84" s="71"/>
      <c r="U84" s="101"/>
      <c r="V84" s="101"/>
      <c r="W84" s="102"/>
      <c r="X84" s="102"/>
      <c r="Y84" s="102"/>
      <c r="Z84" s="102"/>
      <c r="AA84" s="102"/>
      <c r="AB84" s="102"/>
      <c r="AC84" s="71"/>
      <c r="AD84" s="101"/>
      <c r="AE84" s="101"/>
      <c r="AF84" s="102"/>
      <c r="AG84" s="102"/>
      <c r="AH84" s="102"/>
      <c r="AI84" s="101"/>
      <c r="AJ84" s="88"/>
      <c r="AK84" s="88"/>
      <c r="AM84" s="71"/>
      <c r="AN84" s="101"/>
      <c r="AO84" s="101"/>
      <c r="AP84" s="101"/>
      <c r="AQ84" s="101"/>
      <c r="AR84" s="103"/>
      <c r="AS84" s="103"/>
      <c r="AT84" s="103"/>
      <c r="AU84" s="103"/>
      <c r="AV84" s="103"/>
      <c r="BA84" s="103"/>
      <c r="BF84" s="103"/>
      <c r="BG84" s="103"/>
      <c r="BH84" s="103"/>
      <c r="CK84" s="103"/>
      <c r="CL84" s="103"/>
      <c r="CM84" s="103"/>
      <c r="CN84" s="103"/>
      <c r="CO84" s="103"/>
      <c r="CP84" s="103"/>
      <c r="CQ84" s="103"/>
      <c r="CR84" s="103"/>
      <c r="CS84" s="103"/>
      <c r="CT84" s="103"/>
      <c r="DH84" s="103"/>
      <c r="DI84" s="103"/>
      <c r="DJ84" s="103"/>
      <c r="DK84" s="103"/>
      <c r="DL84" s="103"/>
      <c r="DM84" s="103"/>
      <c r="DN84" s="103"/>
      <c r="DO84" s="103"/>
      <c r="DP84" s="103"/>
      <c r="DQ84" s="103"/>
    </row>
    <row r="85" spans="1:121" s="90" customFormat="1" x14ac:dyDescent="0.25">
      <c r="A85" s="71"/>
      <c r="B85" s="93"/>
      <c r="C85" s="71"/>
      <c r="D85" s="71"/>
      <c r="E85" s="71"/>
      <c r="F85" s="101"/>
      <c r="G85" s="101"/>
      <c r="H85" s="93"/>
      <c r="I85" s="71"/>
      <c r="J85" s="71"/>
      <c r="K85" s="101"/>
      <c r="L85" s="101"/>
      <c r="M85" s="101"/>
      <c r="N85" s="93"/>
      <c r="O85" s="71"/>
      <c r="P85" s="71"/>
      <c r="Q85" s="71"/>
      <c r="R85" s="101"/>
      <c r="S85" s="101"/>
      <c r="T85" s="71"/>
      <c r="U85" s="101"/>
      <c r="V85" s="101"/>
      <c r="W85" s="102"/>
      <c r="X85" s="102"/>
      <c r="Y85" s="102"/>
      <c r="Z85" s="102"/>
      <c r="AA85" s="102"/>
      <c r="AB85" s="102"/>
      <c r="AC85" s="71"/>
      <c r="AD85" s="101"/>
      <c r="AE85" s="101"/>
      <c r="AF85" s="102"/>
      <c r="AG85" s="102"/>
      <c r="AH85" s="102"/>
      <c r="AI85" s="101"/>
      <c r="AJ85" s="88"/>
      <c r="AK85" s="88"/>
      <c r="AM85" s="71"/>
      <c r="AN85" s="101"/>
      <c r="AO85" s="101"/>
      <c r="AP85" s="101"/>
      <c r="AQ85" s="101"/>
      <c r="AR85" s="103"/>
      <c r="AS85" s="103"/>
      <c r="AT85" s="103"/>
      <c r="AU85" s="103"/>
      <c r="AV85" s="103"/>
      <c r="BA85" s="103"/>
      <c r="BF85" s="103"/>
      <c r="BG85" s="103"/>
      <c r="BH85" s="103"/>
      <c r="CK85" s="103"/>
      <c r="CL85" s="103"/>
      <c r="CM85" s="103"/>
      <c r="CN85" s="103"/>
      <c r="CO85" s="103"/>
      <c r="CP85" s="103"/>
      <c r="CQ85" s="103"/>
      <c r="CR85" s="103"/>
      <c r="CS85" s="103"/>
      <c r="CT85" s="103"/>
      <c r="DH85" s="103"/>
      <c r="DI85" s="103"/>
      <c r="DJ85" s="103"/>
      <c r="DK85" s="103"/>
      <c r="DL85" s="103"/>
      <c r="DM85" s="103"/>
      <c r="DN85" s="103"/>
      <c r="DO85" s="103"/>
      <c r="DP85" s="103"/>
      <c r="DQ85" s="103"/>
    </row>
    <row r="86" spans="1:121" s="90" customFormat="1" x14ac:dyDescent="0.25">
      <c r="A86" s="71"/>
      <c r="B86" s="93"/>
      <c r="C86" s="71"/>
      <c r="D86" s="71"/>
      <c r="E86" s="71"/>
      <c r="F86" s="101"/>
      <c r="G86" s="101"/>
      <c r="H86" s="93"/>
      <c r="I86" s="71"/>
      <c r="J86" s="71"/>
      <c r="K86" s="101"/>
      <c r="L86" s="101"/>
      <c r="M86" s="101"/>
      <c r="N86" s="93"/>
      <c r="O86" s="71"/>
      <c r="P86" s="71"/>
      <c r="Q86" s="71"/>
      <c r="R86" s="101"/>
      <c r="S86" s="101"/>
      <c r="T86" s="71"/>
      <c r="U86" s="101"/>
      <c r="V86" s="101"/>
      <c r="W86" s="102"/>
      <c r="X86" s="102"/>
      <c r="Y86" s="102"/>
      <c r="Z86" s="102"/>
      <c r="AA86" s="102"/>
      <c r="AB86" s="102"/>
      <c r="AC86" s="71"/>
      <c r="AD86" s="101"/>
      <c r="AE86" s="101"/>
      <c r="AF86" s="102"/>
      <c r="AG86" s="102"/>
      <c r="AH86" s="102"/>
      <c r="AI86" s="101"/>
      <c r="AJ86" s="88"/>
      <c r="AK86" s="88"/>
      <c r="AM86" s="71"/>
      <c r="AN86" s="101"/>
      <c r="AO86" s="101"/>
      <c r="AP86" s="101"/>
      <c r="AQ86" s="101"/>
      <c r="AR86" s="103"/>
      <c r="AS86" s="103"/>
      <c r="AT86" s="103"/>
      <c r="AU86" s="103"/>
      <c r="AV86" s="103"/>
      <c r="BA86" s="103"/>
      <c r="BF86" s="103"/>
      <c r="BG86" s="103"/>
      <c r="BH86" s="103"/>
      <c r="CK86" s="103"/>
      <c r="CL86" s="103"/>
      <c r="CM86" s="103"/>
      <c r="CN86" s="103"/>
      <c r="CO86" s="103"/>
      <c r="CP86" s="103"/>
      <c r="CQ86" s="103"/>
      <c r="CR86" s="103"/>
      <c r="CS86" s="103"/>
      <c r="CT86" s="103"/>
      <c r="DH86" s="103"/>
      <c r="DI86" s="103"/>
      <c r="DJ86" s="103"/>
      <c r="DK86" s="103"/>
      <c r="DL86" s="103"/>
      <c r="DM86" s="103"/>
      <c r="DN86" s="103"/>
      <c r="DO86" s="103"/>
      <c r="DP86" s="103"/>
      <c r="DQ86" s="103"/>
    </row>
    <row r="87" spans="1:121" s="90" customFormat="1" x14ac:dyDescent="0.25">
      <c r="A87" s="71"/>
      <c r="B87" s="93"/>
      <c r="C87" s="71"/>
      <c r="D87" s="71"/>
      <c r="E87" s="71"/>
      <c r="F87" s="101"/>
      <c r="G87" s="101"/>
      <c r="H87" s="93"/>
      <c r="I87" s="71"/>
      <c r="J87" s="71"/>
      <c r="K87" s="101"/>
      <c r="L87" s="101"/>
      <c r="M87" s="101"/>
      <c r="N87" s="93"/>
      <c r="O87" s="71"/>
      <c r="P87" s="71"/>
      <c r="Q87" s="71"/>
      <c r="R87" s="101"/>
      <c r="S87" s="101"/>
      <c r="T87" s="71"/>
      <c r="U87" s="101"/>
      <c r="V87" s="101"/>
      <c r="W87" s="102"/>
      <c r="X87" s="102"/>
      <c r="Y87" s="102"/>
      <c r="Z87" s="102"/>
      <c r="AA87" s="102"/>
      <c r="AB87" s="102"/>
      <c r="AC87" s="71"/>
      <c r="AD87" s="101"/>
      <c r="AE87" s="101"/>
      <c r="AF87" s="102"/>
      <c r="AG87" s="102"/>
      <c r="AH87" s="102"/>
      <c r="AI87" s="101"/>
      <c r="AJ87" s="88"/>
      <c r="AK87" s="88"/>
      <c r="AM87" s="71"/>
      <c r="AN87" s="101"/>
      <c r="AO87" s="101"/>
      <c r="AP87" s="101"/>
      <c r="AQ87" s="101"/>
      <c r="AR87" s="103"/>
      <c r="AS87" s="103"/>
      <c r="AT87" s="103"/>
      <c r="AU87" s="103"/>
      <c r="AV87" s="103"/>
      <c r="BA87" s="103"/>
      <c r="BF87" s="103"/>
      <c r="BG87" s="103"/>
      <c r="BH87" s="103"/>
      <c r="CK87" s="103"/>
      <c r="CL87" s="103"/>
      <c r="CM87" s="103"/>
      <c r="CN87" s="103"/>
      <c r="CO87" s="103"/>
      <c r="CP87" s="103"/>
      <c r="CQ87" s="103"/>
      <c r="CR87" s="103"/>
      <c r="CS87" s="103"/>
      <c r="CT87" s="103"/>
      <c r="DH87" s="103"/>
      <c r="DI87" s="103"/>
      <c r="DJ87" s="103"/>
      <c r="DK87" s="103"/>
      <c r="DL87" s="103"/>
      <c r="DM87" s="103"/>
      <c r="DN87" s="103"/>
      <c r="DO87" s="103"/>
      <c r="DP87" s="103"/>
      <c r="DQ87" s="103"/>
    </row>
    <row r="88" spans="1:121" s="90" customFormat="1" x14ac:dyDescent="0.25">
      <c r="A88" s="71"/>
      <c r="B88" s="93"/>
      <c r="C88" s="71"/>
      <c r="D88" s="71"/>
      <c r="E88" s="71"/>
      <c r="F88" s="101"/>
      <c r="G88" s="101"/>
      <c r="H88" s="93"/>
      <c r="I88" s="71"/>
      <c r="J88" s="71"/>
      <c r="K88" s="101"/>
      <c r="L88" s="101"/>
      <c r="M88" s="101"/>
      <c r="N88" s="93"/>
      <c r="O88" s="71"/>
      <c r="P88" s="71"/>
      <c r="Q88" s="71"/>
      <c r="R88" s="101"/>
      <c r="S88" s="101"/>
      <c r="T88" s="71"/>
      <c r="U88" s="101"/>
      <c r="V88" s="101"/>
      <c r="W88" s="102"/>
      <c r="X88" s="102"/>
      <c r="Y88" s="102"/>
      <c r="Z88" s="102"/>
      <c r="AA88" s="102"/>
      <c r="AB88" s="102"/>
      <c r="AC88" s="71"/>
      <c r="AD88" s="101"/>
      <c r="AE88" s="101"/>
      <c r="AF88" s="102"/>
      <c r="AG88" s="102"/>
      <c r="AH88" s="102"/>
      <c r="AI88" s="101"/>
      <c r="AJ88" s="88"/>
      <c r="AK88" s="88"/>
      <c r="AM88" s="71"/>
      <c r="AN88" s="101"/>
      <c r="AO88" s="101"/>
      <c r="AP88" s="101"/>
      <c r="AQ88" s="101"/>
      <c r="AR88" s="103"/>
      <c r="AS88" s="103"/>
      <c r="AT88" s="103"/>
      <c r="AU88" s="103"/>
      <c r="AV88" s="103"/>
      <c r="BA88" s="103"/>
      <c r="BF88" s="103"/>
      <c r="BG88" s="103"/>
      <c r="BH88" s="103"/>
      <c r="CK88" s="103"/>
      <c r="CL88" s="103"/>
      <c r="CM88" s="103"/>
      <c r="CN88" s="103"/>
      <c r="CO88" s="103"/>
      <c r="CP88" s="103"/>
      <c r="CQ88" s="103"/>
      <c r="CR88" s="103"/>
      <c r="CS88" s="103"/>
      <c r="CT88" s="103"/>
      <c r="DH88" s="103"/>
      <c r="DI88" s="103"/>
      <c r="DJ88" s="103"/>
      <c r="DK88" s="103"/>
      <c r="DL88" s="103"/>
      <c r="DM88" s="103"/>
      <c r="DN88" s="103"/>
      <c r="DO88" s="103"/>
      <c r="DP88" s="103"/>
      <c r="DQ88" s="103"/>
    </row>
    <row r="89" spans="1:121" s="90" customFormat="1" x14ac:dyDescent="0.25">
      <c r="A89" s="71"/>
      <c r="B89" s="93"/>
      <c r="C89" s="71"/>
      <c r="D89" s="71"/>
      <c r="E89" s="71"/>
      <c r="F89" s="101"/>
      <c r="G89" s="101"/>
      <c r="H89" s="93"/>
      <c r="I89" s="71"/>
      <c r="J89" s="71"/>
      <c r="K89" s="101"/>
      <c r="L89" s="101"/>
      <c r="M89" s="101"/>
      <c r="N89" s="93"/>
      <c r="O89" s="71"/>
      <c r="P89" s="71"/>
      <c r="Q89" s="71"/>
      <c r="R89" s="101"/>
      <c r="S89" s="101"/>
      <c r="T89" s="71"/>
      <c r="U89" s="101"/>
      <c r="V89" s="101"/>
      <c r="W89" s="102"/>
      <c r="X89" s="102"/>
      <c r="Y89" s="102"/>
      <c r="Z89" s="102"/>
      <c r="AA89" s="102"/>
      <c r="AB89" s="102"/>
      <c r="AC89" s="71"/>
      <c r="AD89" s="101"/>
      <c r="AE89" s="101"/>
      <c r="AF89" s="102"/>
      <c r="AG89" s="102"/>
      <c r="AH89" s="102"/>
      <c r="AI89" s="101"/>
      <c r="AJ89" s="88"/>
      <c r="AK89" s="88"/>
      <c r="AM89" s="71"/>
      <c r="AN89" s="101"/>
      <c r="AO89" s="101"/>
      <c r="AP89" s="101"/>
      <c r="AQ89" s="101"/>
      <c r="AR89" s="103"/>
      <c r="AS89" s="103"/>
      <c r="AT89" s="103"/>
      <c r="AU89" s="103"/>
      <c r="AV89" s="103"/>
      <c r="BA89" s="103"/>
      <c r="BF89" s="103"/>
      <c r="BG89" s="103"/>
      <c r="BH89" s="103"/>
      <c r="CK89" s="103"/>
      <c r="CL89" s="103"/>
      <c r="CM89" s="103"/>
      <c r="CN89" s="103"/>
      <c r="CO89" s="103"/>
      <c r="CP89" s="103"/>
      <c r="CQ89" s="103"/>
      <c r="CR89" s="103"/>
      <c r="CS89" s="103"/>
      <c r="CT89" s="103"/>
      <c r="DH89" s="103"/>
      <c r="DI89" s="103"/>
      <c r="DJ89" s="103"/>
      <c r="DK89" s="103"/>
      <c r="DL89" s="103"/>
      <c r="DM89" s="103"/>
      <c r="DN89" s="103"/>
      <c r="DO89" s="103"/>
      <c r="DP89" s="103"/>
      <c r="DQ89" s="103"/>
    </row>
    <row r="90" spans="1:121" s="90" customFormat="1" x14ac:dyDescent="0.25">
      <c r="A90" s="71"/>
      <c r="B90" s="71"/>
      <c r="C90" s="71"/>
      <c r="D90" s="71"/>
      <c r="E90" s="71"/>
      <c r="F90" s="101"/>
      <c r="G90" s="101"/>
      <c r="H90" s="71"/>
      <c r="I90" s="71"/>
      <c r="J90" s="71"/>
      <c r="K90" s="101"/>
      <c r="L90" s="101"/>
      <c r="M90" s="101"/>
      <c r="N90" s="71"/>
      <c r="O90" s="71"/>
      <c r="P90" s="71"/>
      <c r="Q90" s="71"/>
      <c r="R90" s="101"/>
      <c r="S90" s="101"/>
      <c r="T90" s="71"/>
      <c r="U90" s="101"/>
      <c r="V90" s="101"/>
      <c r="W90" s="102"/>
      <c r="X90" s="102"/>
      <c r="Y90" s="102"/>
      <c r="Z90" s="102"/>
      <c r="AA90" s="102"/>
      <c r="AB90" s="102"/>
      <c r="AC90" s="71"/>
      <c r="AD90" s="101"/>
      <c r="AE90" s="101"/>
      <c r="AF90" s="102"/>
      <c r="AG90" s="102"/>
      <c r="AH90" s="102"/>
      <c r="AI90" s="101"/>
      <c r="AJ90" s="88"/>
      <c r="AK90" s="88"/>
      <c r="AM90" s="71"/>
      <c r="AN90" s="101"/>
      <c r="AO90" s="101"/>
      <c r="AP90" s="101"/>
      <c r="AQ90" s="101"/>
      <c r="AR90" s="103"/>
      <c r="AS90" s="103"/>
      <c r="AT90" s="103"/>
      <c r="AU90" s="103"/>
      <c r="AV90" s="103"/>
      <c r="BA90" s="103"/>
      <c r="BF90" s="103"/>
      <c r="BG90" s="103"/>
      <c r="BH90" s="103"/>
      <c r="CK90" s="103"/>
      <c r="CL90" s="103"/>
      <c r="CM90" s="103"/>
      <c r="CN90" s="103"/>
      <c r="CO90" s="103"/>
      <c r="CP90" s="103"/>
      <c r="CQ90" s="103"/>
      <c r="CR90" s="103"/>
      <c r="CS90" s="103"/>
      <c r="CT90" s="103"/>
      <c r="DH90" s="103"/>
      <c r="DI90" s="103"/>
      <c r="DJ90" s="103"/>
      <c r="DK90" s="103"/>
      <c r="DL90" s="103"/>
      <c r="DM90" s="103"/>
      <c r="DN90" s="103"/>
      <c r="DO90" s="103"/>
      <c r="DP90" s="103"/>
      <c r="DQ90" s="103"/>
    </row>
    <row r="91" spans="1:121" s="90" customFormat="1" x14ac:dyDescent="0.25">
      <c r="A91" s="71"/>
      <c r="B91" s="71"/>
      <c r="C91" s="71"/>
      <c r="D91" s="71"/>
      <c r="E91" s="71"/>
      <c r="F91" s="101"/>
      <c r="G91" s="101"/>
      <c r="H91" s="71"/>
      <c r="I91" s="71"/>
      <c r="J91" s="71"/>
      <c r="K91" s="101"/>
      <c r="L91" s="101"/>
      <c r="M91" s="101"/>
      <c r="N91" s="71"/>
      <c r="O91" s="71"/>
      <c r="P91" s="71"/>
      <c r="Q91" s="71"/>
      <c r="R91" s="101"/>
      <c r="S91" s="101"/>
      <c r="T91" s="71"/>
      <c r="U91" s="101"/>
      <c r="V91" s="101"/>
      <c r="W91" s="102"/>
      <c r="X91" s="102"/>
      <c r="Y91" s="102"/>
      <c r="Z91" s="102"/>
      <c r="AA91" s="102"/>
      <c r="AB91" s="102"/>
      <c r="AC91" s="71"/>
      <c r="AD91" s="101"/>
      <c r="AE91" s="101"/>
      <c r="AF91" s="102"/>
      <c r="AG91" s="102"/>
      <c r="AH91" s="102"/>
      <c r="AI91" s="101"/>
      <c r="AJ91" s="88"/>
      <c r="AK91" s="88"/>
      <c r="AM91" s="71"/>
      <c r="AN91" s="101"/>
      <c r="AO91" s="101"/>
      <c r="AP91" s="101"/>
      <c r="AQ91" s="101"/>
      <c r="AR91" s="103"/>
      <c r="AS91" s="103"/>
      <c r="AT91" s="103"/>
      <c r="AU91" s="103"/>
      <c r="AV91" s="103"/>
      <c r="BA91" s="103"/>
      <c r="BF91" s="103"/>
      <c r="BG91" s="103"/>
      <c r="BH91" s="103"/>
      <c r="CK91" s="103"/>
      <c r="CL91" s="103"/>
      <c r="CM91" s="103"/>
      <c r="CN91" s="103"/>
      <c r="CO91" s="103"/>
      <c r="CP91" s="103"/>
      <c r="CQ91" s="103"/>
      <c r="CR91" s="103"/>
      <c r="CS91" s="103"/>
      <c r="CT91" s="103"/>
      <c r="DH91" s="103"/>
      <c r="DI91" s="103"/>
      <c r="DJ91" s="103"/>
      <c r="DK91" s="103"/>
      <c r="DL91" s="103"/>
      <c r="DM91" s="103"/>
      <c r="DN91" s="103"/>
      <c r="DO91" s="103"/>
      <c r="DP91" s="103"/>
      <c r="DQ91" s="103"/>
    </row>
    <row r="92" spans="1:121" s="90" customFormat="1" x14ac:dyDescent="0.25">
      <c r="A92" s="71"/>
      <c r="B92" s="93"/>
      <c r="C92" s="71"/>
      <c r="D92" s="71"/>
      <c r="E92" s="71"/>
      <c r="F92" s="101"/>
      <c r="G92" s="101"/>
      <c r="H92" s="93"/>
      <c r="I92" s="71"/>
      <c r="J92" s="71"/>
      <c r="K92" s="101"/>
      <c r="L92" s="101"/>
      <c r="M92" s="101"/>
      <c r="N92" s="93"/>
      <c r="O92" s="71"/>
      <c r="P92" s="71"/>
      <c r="Q92" s="71"/>
      <c r="R92" s="101"/>
      <c r="S92" s="101"/>
      <c r="T92" s="71"/>
      <c r="U92" s="101"/>
      <c r="V92" s="101"/>
      <c r="W92" s="102"/>
      <c r="X92" s="102"/>
      <c r="Y92" s="102"/>
      <c r="Z92" s="102"/>
      <c r="AA92" s="102"/>
      <c r="AB92" s="102"/>
      <c r="AC92" s="71"/>
      <c r="AD92" s="101"/>
      <c r="AE92" s="101"/>
      <c r="AF92" s="102"/>
      <c r="AG92" s="102"/>
      <c r="AH92" s="102"/>
      <c r="AI92" s="101"/>
      <c r="AJ92" s="88"/>
      <c r="AK92" s="88"/>
      <c r="AM92" s="71"/>
      <c r="AN92" s="101"/>
      <c r="AO92" s="101"/>
      <c r="AP92" s="101"/>
      <c r="AQ92" s="101"/>
      <c r="AR92" s="103"/>
      <c r="AS92" s="103"/>
      <c r="AT92" s="103"/>
      <c r="AU92" s="103"/>
      <c r="AV92" s="103"/>
      <c r="BA92" s="103"/>
      <c r="BF92" s="103"/>
      <c r="BG92" s="103"/>
      <c r="BH92" s="103"/>
      <c r="CK92" s="103"/>
      <c r="CL92" s="103"/>
      <c r="CM92" s="103"/>
      <c r="CN92" s="103"/>
      <c r="CO92" s="103"/>
      <c r="CP92" s="103"/>
      <c r="CQ92" s="103"/>
      <c r="CR92" s="103"/>
      <c r="CS92" s="103"/>
      <c r="CT92" s="103"/>
      <c r="DH92" s="103"/>
      <c r="DI92" s="103"/>
      <c r="DJ92" s="103"/>
      <c r="DK92" s="103"/>
      <c r="DL92" s="103"/>
      <c r="DM92" s="103"/>
      <c r="DN92" s="103"/>
      <c r="DO92" s="103"/>
      <c r="DP92" s="103"/>
      <c r="DQ92" s="103"/>
    </row>
    <row r="93" spans="1:121" s="90" customFormat="1" x14ac:dyDescent="0.25">
      <c r="A93" s="71"/>
      <c r="B93" s="93"/>
      <c r="C93" s="71"/>
      <c r="D93" s="71"/>
      <c r="E93" s="71"/>
      <c r="F93" s="101"/>
      <c r="G93" s="101"/>
      <c r="H93" s="93"/>
      <c r="I93" s="71"/>
      <c r="J93" s="71"/>
      <c r="K93" s="101"/>
      <c r="L93" s="101"/>
      <c r="M93" s="101"/>
      <c r="N93" s="93"/>
      <c r="O93" s="71"/>
      <c r="P93" s="71"/>
      <c r="Q93" s="71"/>
      <c r="R93" s="101"/>
      <c r="S93" s="101"/>
      <c r="T93" s="71"/>
      <c r="U93" s="101"/>
      <c r="V93" s="101"/>
      <c r="W93" s="102"/>
      <c r="X93" s="102"/>
      <c r="Y93" s="102"/>
      <c r="Z93" s="102"/>
      <c r="AA93" s="102"/>
      <c r="AB93" s="102"/>
      <c r="AC93" s="71"/>
      <c r="AD93" s="101"/>
      <c r="AE93" s="101"/>
      <c r="AF93" s="102"/>
      <c r="AG93" s="102"/>
      <c r="AH93" s="102"/>
      <c r="AI93" s="101"/>
      <c r="AJ93" s="88"/>
      <c r="AK93" s="88"/>
      <c r="AM93" s="71"/>
      <c r="AN93" s="101"/>
      <c r="AO93" s="101"/>
      <c r="AP93" s="101"/>
      <c r="AQ93" s="101"/>
      <c r="AR93" s="103"/>
      <c r="AS93" s="103"/>
      <c r="AT93" s="103"/>
      <c r="AU93" s="103"/>
      <c r="AV93" s="103"/>
      <c r="BA93" s="103"/>
      <c r="BF93" s="103"/>
      <c r="BG93" s="103"/>
      <c r="BH93" s="103"/>
      <c r="CK93" s="103"/>
      <c r="CL93" s="103"/>
      <c r="CM93" s="103"/>
      <c r="CN93" s="103"/>
      <c r="CO93" s="103"/>
      <c r="CP93" s="103"/>
      <c r="CQ93" s="103"/>
      <c r="CR93" s="103"/>
      <c r="CS93" s="103"/>
      <c r="CT93" s="103"/>
      <c r="DH93" s="103"/>
      <c r="DI93" s="103"/>
      <c r="DJ93" s="103"/>
      <c r="DK93" s="103"/>
      <c r="DL93" s="103"/>
      <c r="DM93" s="103"/>
      <c r="DN93" s="103"/>
      <c r="DO93" s="103"/>
      <c r="DP93" s="103"/>
      <c r="DQ93" s="103"/>
    </row>
    <row r="94" spans="1:121" s="90" customFormat="1" x14ac:dyDescent="0.25">
      <c r="A94" s="71"/>
      <c r="B94" s="93"/>
      <c r="C94" s="71"/>
      <c r="D94" s="71"/>
      <c r="E94" s="71"/>
      <c r="F94" s="101"/>
      <c r="G94" s="101"/>
      <c r="H94" s="93"/>
      <c r="I94" s="71"/>
      <c r="J94" s="71"/>
      <c r="K94" s="101"/>
      <c r="L94" s="101"/>
      <c r="M94" s="101"/>
      <c r="N94" s="93"/>
      <c r="O94" s="71"/>
      <c r="P94" s="71"/>
      <c r="Q94" s="71"/>
      <c r="R94" s="101"/>
      <c r="S94" s="101"/>
      <c r="T94" s="71"/>
      <c r="U94" s="101"/>
      <c r="V94" s="101"/>
      <c r="W94" s="102"/>
      <c r="X94" s="102"/>
      <c r="Y94" s="102"/>
      <c r="Z94" s="102"/>
      <c r="AA94" s="102"/>
      <c r="AB94" s="102"/>
      <c r="AC94" s="71"/>
      <c r="AD94" s="101"/>
      <c r="AE94" s="101"/>
      <c r="AF94" s="102"/>
      <c r="AG94" s="102"/>
      <c r="AH94" s="102"/>
      <c r="AI94" s="101"/>
      <c r="AJ94" s="88"/>
      <c r="AK94" s="88"/>
      <c r="AM94" s="71"/>
      <c r="AN94" s="101"/>
      <c r="AO94" s="101"/>
      <c r="AP94" s="101"/>
      <c r="AQ94" s="101"/>
      <c r="AR94" s="103"/>
      <c r="AS94" s="103"/>
      <c r="AT94" s="103"/>
      <c r="AU94" s="103"/>
      <c r="AV94" s="103"/>
      <c r="BA94" s="103"/>
      <c r="BF94" s="103"/>
      <c r="BG94" s="103"/>
      <c r="BH94" s="103"/>
      <c r="CK94" s="103"/>
      <c r="CL94" s="103"/>
      <c r="CM94" s="103"/>
      <c r="CN94" s="103"/>
      <c r="CO94" s="103"/>
      <c r="CP94" s="103"/>
      <c r="CQ94" s="103"/>
      <c r="CR94" s="103"/>
      <c r="CS94" s="103"/>
      <c r="CT94" s="103"/>
      <c r="DH94" s="103"/>
      <c r="DI94" s="103"/>
      <c r="DJ94" s="103"/>
      <c r="DK94" s="103"/>
      <c r="DL94" s="103"/>
      <c r="DM94" s="103"/>
      <c r="DN94" s="103"/>
      <c r="DO94" s="103"/>
      <c r="DP94" s="103"/>
      <c r="DQ94" s="103"/>
    </row>
    <row r="95" spans="1:121" s="90" customFormat="1" x14ac:dyDescent="0.25">
      <c r="A95" s="71"/>
      <c r="B95" s="93"/>
      <c r="C95" s="71"/>
      <c r="D95" s="71"/>
      <c r="E95" s="71"/>
      <c r="F95" s="101"/>
      <c r="G95" s="101"/>
      <c r="H95" s="93"/>
      <c r="I95" s="71"/>
      <c r="J95" s="71"/>
      <c r="K95" s="101"/>
      <c r="L95" s="101"/>
      <c r="M95" s="101"/>
      <c r="N95" s="93"/>
      <c r="O95" s="71"/>
      <c r="P95" s="71"/>
      <c r="Q95" s="71"/>
      <c r="R95" s="101"/>
      <c r="S95" s="101"/>
      <c r="T95" s="71"/>
      <c r="U95" s="101"/>
      <c r="V95" s="101"/>
      <c r="W95" s="102"/>
      <c r="X95" s="102"/>
      <c r="Y95" s="102"/>
      <c r="Z95" s="102"/>
      <c r="AA95" s="102"/>
      <c r="AB95" s="102"/>
      <c r="AC95" s="71"/>
      <c r="AD95" s="101"/>
      <c r="AE95" s="101"/>
      <c r="AF95" s="102"/>
      <c r="AG95" s="102"/>
      <c r="AH95" s="102"/>
      <c r="AI95" s="101"/>
      <c r="AJ95" s="88"/>
      <c r="AK95" s="88"/>
      <c r="AM95" s="71"/>
      <c r="AN95" s="101"/>
      <c r="AO95" s="101"/>
      <c r="AP95" s="101"/>
      <c r="AQ95" s="101"/>
      <c r="AR95" s="103"/>
      <c r="AS95" s="103"/>
      <c r="AT95" s="103"/>
      <c r="AU95" s="103"/>
      <c r="AV95" s="103"/>
      <c r="BA95" s="103"/>
      <c r="BF95" s="103"/>
      <c r="BG95" s="103"/>
      <c r="BH95" s="103"/>
      <c r="CK95" s="103"/>
      <c r="CL95" s="103"/>
      <c r="CM95" s="103"/>
      <c r="CN95" s="103"/>
      <c r="CO95" s="103"/>
      <c r="CP95" s="103"/>
      <c r="CQ95" s="103"/>
      <c r="CR95" s="103"/>
      <c r="CS95" s="103"/>
      <c r="CT95" s="103"/>
      <c r="DH95" s="103"/>
      <c r="DI95" s="103"/>
      <c r="DJ95" s="103"/>
      <c r="DK95" s="103"/>
      <c r="DL95" s="103"/>
      <c r="DM95" s="103"/>
      <c r="DN95" s="103"/>
      <c r="DO95" s="103"/>
      <c r="DP95" s="103"/>
      <c r="DQ95" s="103"/>
    </row>
    <row r="96" spans="1:121" s="90" customFormat="1" x14ac:dyDescent="0.25">
      <c r="A96" s="71"/>
      <c r="B96" s="93"/>
      <c r="C96" s="71"/>
      <c r="D96" s="71"/>
      <c r="E96" s="71"/>
      <c r="F96" s="101"/>
      <c r="G96" s="101"/>
      <c r="H96" s="93"/>
      <c r="I96" s="71"/>
      <c r="J96" s="71"/>
      <c r="K96" s="101"/>
      <c r="L96" s="101"/>
      <c r="M96" s="101"/>
      <c r="N96" s="93"/>
      <c r="O96" s="71"/>
      <c r="P96" s="71"/>
      <c r="Q96" s="71"/>
      <c r="R96" s="101"/>
      <c r="S96" s="101"/>
      <c r="T96" s="71"/>
      <c r="U96" s="101"/>
      <c r="V96" s="101"/>
      <c r="W96" s="102"/>
      <c r="X96" s="102"/>
      <c r="Y96" s="102"/>
      <c r="Z96" s="102"/>
      <c r="AA96" s="102"/>
      <c r="AB96" s="102"/>
      <c r="AC96" s="71"/>
      <c r="AD96" s="101"/>
      <c r="AE96" s="101"/>
      <c r="AF96" s="102"/>
      <c r="AG96" s="102"/>
      <c r="AH96" s="102"/>
      <c r="AI96" s="101"/>
      <c r="AJ96" s="88"/>
      <c r="AK96" s="88"/>
      <c r="AM96" s="71"/>
      <c r="AN96" s="101"/>
      <c r="AO96" s="101"/>
      <c r="AP96" s="101"/>
      <c r="AQ96" s="101"/>
      <c r="AR96" s="103"/>
      <c r="AS96" s="103"/>
      <c r="AT96" s="103"/>
      <c r="AU96" s="103"/>
      <c r="AV96" s="103"/>
      <c r="BA96" s="103"/>
      <c r="BF96" s="103"/>
      <c r="BG96" s="103"/>
      <c r="BH96" s="103"/>
      <c r="CK96" s="103"/>
      <c r="CL96" s="103"/>
      <c r="CM96" s="103"/>
      <c r="CN96" s="103"/>
      <c r="CO96" s="103"/>
      <c r="CP96" s="103"/>
      <c r="CQ96" s="103"/>
      <c r="CR96" s="103"/>
      <c r="CS96" s="103"/>
      <c r="CT96" s="103"/>
      <c r="DH96" s="103"/>
      <c r="DI96" s="103"/>
      <c r="DJ96" s="103"/>
      <c r="DK96" s="103"/>
      <c r="DL96" s="103"/>
      <c r="DM96" s="103"/>
      <c r="DN96" s="103"/>
      <c r="DO96" s="103"/>
      <c r="DP96" s="103"/>
      <c r="DQ96" s="103"/>
    </row>
    <row r="97" spans="1:121" s="90" customFormat="1" x14ac:dyDescent="0.25">
      <c r="A97" s="71"/>
      <c r="B97" s="93"/>
      <c r="C97" s="71"/>
      <c r="D97" s="71"/>
      <c r="E97" s="71"/>
      <c r="F97" s="101"/>
      <c r="G97" s="101"/>
      <c r="H97" s="93"/>
      <c r="I97" s="71"/>
      <c r="J97" s="71"/>
      <c r="K97" s="101"/>
      <c r="L97" s="101"/>
      <c r="M97" s="101"/>
      <c r="N97" s="93"/>
      <c r="O97" s="71"/>
      <c r="P97" s="71"/>
      <c r="Q97" s="71"/>
      <c r="R97" s="101"/>
      <c r="S97" s="101"/>
      <c r="T97" s="71"/>
      <c r="U97" s="101"/>
      <c r="V97" s="101"/>
      <c r="W97" s="102"/>
      <c r="X97" s="102"/>
      <c r="Y97" s="102"/>
      <c r="Z97" s="102"/>
      <c r="AA97" s="102"/>
      <c r="AB97" s="102"/>
      <c r="AC97" s="71"/>
      <c r="AD97" s="101"/>
      <c r="AE97" s="101"/>
      <c r="AF97" s="102"/>
      <c r="AG97" s="102"/>
      <c r="AH97" s="102"/>
      <c r="AI97" s="101"/>
      <c r="AJ97" s="88"/>
      <c r="AK97" s="88"/>
      <c r="AM97" s="71"/>
      <c r="AN97" s="101"/>
      <c r="AO97" s="101"/>
      <c r="AP97" s="101"/>
      <c r="AQ97" s="101"/>
      <c r="AR97" s="103"/>
      <c r="AS97" s="103"/>
      <c r="AT97" s="103"/>
      <c r="AU97" s="103"/>
      <c r="AV97" s="103"/>
      <c r="BA97" s="103"/>
      <c r="BF97" s="103"/>
      <c r="BG97" s="103"/>
      <c r="BH97" s="103"/>
      <c r="CK97" s="103"/>
      <c r="CL97" s="103"/>
      <c r="CM97" s="103"/>
      <c r="CN97" s="103"/>
      <c r="CO97" s="103"/>
      <c r="CP97" s="103"/>
      <c r="CQ97" s="103"/>
      <c r="CR97" s="103"/>
      <c r="CS97" s="103"/>
      <c r="CT97" s="103"/>
      <c r="DH97" s="103"/>
      <c r="DI97" s="103"/>
      <c r="DJ97" s="103"/>
      <c r="DK97" s="103"/>
      <c r="DL97" s="103"/>
      <c r="DM97" s="103"/>
      <c r="DN97" s="103"/>
      <c r="DO97" s="103"/>
      <c r="DP97" s="103"/>
      <c r="DQ97" s="103"/>
    </row>
    <row r="98" spans="1:121" s="90" customFormat="1" x14ac:dyDescent="0.25">
      <c r="A98" s="71"/>
      <c r="B98" s="71"/>
      <c r="C98" s="71"/>
      <c r="D98" s="71"/>
      <c r="E98" s="71"/>
      <c r="F98" s="101"/>
      <c r="G98" s="101"/>
      <c r="H98" s="71"/>
      <c r="I98" s="71"/>
      <c r="J98" s="71"/>
      <c r="K98" s="101"/>
      <c r="L98" s="101"/>
      <c r="M98" s="101"/>
      <c r="N98" s="71"/>
      <c r="O98" s="71"/>
      <c r="P98" s="71"/>
      <c r="Q98" s="71"/>
      <c r="R98" s="101"/>
      <c r="S98" s="101"/>
      <c r="T98" s="71"/>
      <c r="U98" s="101"/>
      <c r="V98" s="101"/>
      <c r="W98" s="102"/>
      <c r="X98" s="102"/>
      <c r="Y98" s="102"/>
      <c r="Z98" s="102"/>
      <c r="AA98" s="102"/>
      <c r="AB98" s="102"/>
      <c r="AC98" s="71"/>
      <c r="AD98" s="101"/>
      <c r="AE98" s="101"/>
      <c r="AF98" s="102"/>
      <c r="AG98" s="102"/>
      <c r="AH98" s="102"/>
      <c r="AI98" s="101"/>
      <c r="AJ98" s="88"/>
      <c r="AK98" s="88"/>
      <c r="AM98" s="71"/>
      <c r="AN98" s="101"/>
      <c r="AO98" s="101"/>
      <c r="AP98" s="101"/>
      <c r="AQ98" s="101"/>
      <c r="AR98" s="103"/>
      <c r="AS98" s="103"/>
      <c r="AT98" s="103"/>
      <c r="AU98" s="103"/>
      <c r="AV98" s="103"/>
      <c r="BA98" s="103"/>
      <c r="BF98" s="103"/>
      <c r="BG98" s="103"/>
      <c r="BH98" s="103"/>
      <c r="CK98" s="103"/>
      <c r="CL98" s="103"/>
      <c r="CM98" s="103"/>
      <c r="CN98" s="103"/>
      <c r="CO98" s="103"/>
      <c r="CP98" s="103"/>
      <c r="CQ98" s="103"/>
      <c r="CR98" s="103"/>
      <c r="CS98" s="103"/>
      <c r="CT98" s="103"/>
      <c r="DH98" s="103"/>
      <c r="DI98" s="103"/>
      <c r="DJ98" s="103"/>
      <c r="DK98" s="103"/>
      <c r="DL98" s="103"/>
      <c r="DM98" s="103"/>
      <c r="DN98" s="103"/>
      <c r="DO98" s="103"/>
      <c r="DP98" s="103"/>
      <c r="DQ98" s="103"/>
    </row>
    <row r="99" spans="1:121" s="90" customFormat="1" x14ac:dyDescent="0.25">
      <c r="A99" s="71"/>
      <c r="B99" s="71"/>
      <c r="C99" s="71"/>
      <c r="D99" s="71"/>
      <c r="E99" s="71"/>
      <c r="F99" s="101"/>
      <c r="G99" s="101"/>
      <c r="H99" s="71"/>
      <c r="I99" s="71"/>
      <c r="J99" s="71"/>
      <c r="K99" s="101"/>
      <c r="L99" s="101"/>
      <c r="M99" s="101"/>
      <c r="N99" s="71"/>
      <c r="O99" s="71"/>
      <c r="P99" s="71"/>
      <c r="Q99" s="71"/>
      <c r="R99" s="101"/>
      <c r="S99" s="101"/>
      <c r="T99" s="71"/>
      <c r="U99" s="101"/>
      <c r="V99" s="101"/>
      <c r="W99" s="102"/>
      <c r="X99" s="102"/>
      <c r="Y99" s="102"/>
      <c r="Z99" s="102"/>
      <c r="AA99" s="102"/>
      <c r="AB99" s="102"/>
      <c r="AC99" s="71"/>
      <c r="AD99" s="101"/>
      <c r="AE99" s="101"/>
      <c r="AF99" s="102"/>
      <c r="AG99" s="102"/>
      <c r="AH99" s="102"/>
      <c r="AI99" s="101"/>
      <c r="AJ99" s="88"/>
      <c r="AK99" s="88"/>
      <c r="AM99" s="71"/>
      <c r="AN99" s="101"/>
      <c r="AO99" s="101"/>
      <c r="AP99" s="101"/>
      <c r="AQ99" s="101"/>
      <c r="AR99" s="103"/>
      <c r="AS99" s="103"/>
      <c r="AT99" s="103"/>
      <c r="AU99" s="103"/>
      <c r="AV99" s="103"/>
      <c r="BA99" s="103"/>
      <c r="BF99" s="103"/>
      <c r="BG99" s="103"/>
      <c r="BH99" s="103"/>
      <c r="CK99" s="103"/>
      <c r="CL99" s="103"/>
      <c r="CM99" s="103"/>
      <c r="CN99" s="103"/>
      <c r="CO99" s="103"/>
      <c r="CP99" s="103"/>
      <c r="CQ99" s="103"/>
      <c r="CR99" s="103"/>
      <c r="CS99" s="103"/>
      <c r="CT99" s="103"/>
      <c r="DH99" s="103"/>
      <c r="DI99" s="103"/>
      <c r="DJ99" s="103"/>
      <c r="DK99" s="103"/>
      <c r="DL99" s="103"/>
      <c r="DM99" s="103"/>
      <c r="DN99" s="103"/>
      <c r="DO99" s="103"/>
      <c r="DP99" s="103"/>
      <c r="DQ99" s="103"/>
    </row>
    <row r="100" spans="1:121" s="90" customFormat="1" x14ac:dyDescent="0.25">
      <c r="A100" s="71"/>
      <c r="B100" s="71"/>
      <c r="C100" s="71"/>
      <c r="D100" s="71"/>
      <c r="E100" s="71"/>
      <c r="F100" s="101"/>
      <c r="G100" s="101"/>
      <c r="H100" s="71"/>
      <c r="I100" s="71"/>
      <c r="J100" s="71"/>
      <c r="K100" s="101"/>
      <c r="L100" s="101"/>
      <c r="M100" s="101"/>
      <c r="N100" s="71"/>
      <c r="O100" s="71"/>
      <c r="P100" s="71"/>
      <c r="Q100" s="71"/>
      <c r="R100" s="101"/>
      <c r="S100" s="101"/>
      <c r="T100" s="71"/>
      <c r="U100" s="101"/>
      <c r="V100" s="101"/>
      <c r="W100" s="102"/>
      <c r="X100" s="102"/>
      <c r="Y100" s="102"/>
      <c r="Z100" s="102"/>
      <c r="AA100" s="102"/>
      <c r="AB100" s="102"/>
      <c r="AC100" s="71"/>
      <c r="AD100" s="101"/>
      <c r="AE100" s="101"/>
      <c r="AF100" s="102"/>
      <c r="AG100" s="102"/>
      <c r="AH100" s="102"/>
      <c r="AI100" s="101"/>
      <c r="AJ100" s="88"/>
      <c r="AK100" s="88"/>
      <c r="AM100" s="71"/>
      <c r="AN100" s="101"/>
      <c r="AO100" s="101"/>
      <c r="AP100" s="101"/>
      <c r="AQ100" s="101"/>
      <c r="AR100" s="103"/>
      <c r="AS100" s="103"/>
      <c r="AT100" s="103"/>
      <c r="AU100" s="103"/>
      <c r="AV100" s="103"/>
      <c r="BA100" s="103"/>
      <c r="BF100" s="103"/>
      <c r="BG100" s="103"/>
      <c r="BH100" s="103"/>
      <c r="CK100" s="103"/>
      <c r="CL100" s="103"/>
      <c r="CM100" s="103"/>
      <c r="CN100" s="103"/>
      <c r="CO100" s="103"/>
      <c r="CP100" s="103"/>
      <c r="CQ100" s="103"/>
      <c r="CR100" s="103"/>
      <c r="CS100" s="103"/>
      <c r="CT100" s="103"/>
      <c r="DH100" s="103"/>
      <c r="DI100" s="103"/>
      <c r="DJ100" s="103"/>
      <c r="DK100" s="103"/>
      <c r="DL100" s="103"/>
      <c r="DM100" s="103"/>
      <c r="DN100" s="103"/>
      <c r="DO100" s="103"/>
      <c r="DP100" s="103"/>
      <c r="DQ100" s="103"/>
    </row>
    <row r="101" spans="1:121" s="90" customFormat="1" x14ac:dyDescent="0.25">
      <c r="A101" s="71"/>
      <c r="B101" s="71"/>
      <c r="C101" s="71"/>
      <c r="D101" s="71"/>
      <c r="E101" s="71"/>
      <c r="F101" s="101"/>
      <c r="G101" s="101"/>
      <c r="H101" s="71"/>
      <c r="I101" s="71"/>
      <c r="J101" s="71"/>
      <c r="K101" s="101"/>
      <c r="L101" s="101"/>
      <c r="M101" s="101"/>
      <c r="N101" s="71"/>
      <c r="O101" s="71"/>
      <c r="P101" s="71"/>
      <c r="Q101" s="71"/>
      <c r="R101" s="101"/>
      <c r="S101" s="101"/>
      <c r="T101" s="71"/>
      <c r="U101" s="101"/>
      <c r="V101" s="101"/>
      <c r="W101" s="102"/>
      <c r="X101" s="102"/>
      <c r="Y101" s="102"/>
      <c r="Z101" s="102"/>
      <c r="AA101" s="102"/>
      <c r="AB101" s="102"/>
      <c r="AC101" s="71"/>
      <c r="AD101" s="101"/>
      <c r="AE101" s="101"/>
      <c r="AF101" s="102"/>
      <c r="AG101" s="102"/>
      <c r="AH101" s="102"/>
      <c r="AI101" s="101"/>
      <c r="AJ101" s="88"/>
      <c r="AK101" s="88"/>
      <c r="AM101" s="71"/>
      <c r="AN101" s="101"/>
      <c r="AO101" s="101"/>
      <c r="AP101" s="101"/>
      <c r="AQ101" s="101"/>
      <c r="AR101" s="103"/>
      <c r="AS101" s="103"/>
      <c r="AT101" s="103"/>
      <c r="AU101" s="103"/>
      <c r="AV101" s="103"/>
      <c r="BA101" s="103"/>
      <c r="BF101" s="103"/>
      <c r="BG101" s="103"/>
      <c r="BH101" s="103"/>
      <c r="CK101" s="103"/>
      <c r="CL101" s="103"/>
      <c r="CM101" s="103"/>
      <c r="CN101" s="103"/>
      <c r="CO101" s="103"/>
      <c r="CP101" s="103"/>
      <c r="CQ101" s="103"/>
      <c r="CR101" s="103"/>
      <c r="CS101" s="103"/>
      <c r="CT101" s="103"/>
      <c r="DH101" s="103"/>
      <c r="DI101" s="103"/>
      <c r="DJ101" s="103"/>
      <c r="DK101" s="103"/>
      <c r="DL101" s="103"/>
      <c r="DM101" s="103"/>
      <c r="DN101" s="103"/>
      <c r="DO101" s="103"/>
      <c r="DP101" s="103"/>
      <c r="DQ101" s="103"/>
    </row>
    <row r="102" spans="1:121" s="90" customFormat="1" x14ac:dyDescent="0.25">
      <c r="A102" s="71"/>
      <c r="B102" s="71"/>
      <c r="C102" s="71"/>
      <c r="D102" s="71"/>
      <c r="E102" s="71"/>
      <c r="F102" s="101"/>
      <c r="G102" s="101"/>
      <c r="H102" s="71"/>
      <c r="I102" s="71"/>
      <c r="J102" s="71"/>
      <c r="K102" s="101"/>
      <c r="L102" s="101"/>
      <c r="M102" s="101"/>
      <c r="N102" s="71"/>
      <c r="O102" s="71"/>
      <c r="P102" s="71"/>
      <c r="Q102" s="71"/>
      <c r="R102" s="101"/>
      <c r="S102" s="101"/>
      <c r="T102" s="71"/>
      <c r="U102" s="101"/>
      <c r="V102" s="101"/>
      <c r="W102" s="102"/>
      <c r="X102" s="102"/>
      <c r="Y102" s="102"/>
      <c r="Z102" s="102"/>
      <c r="AA102" s="102"/>
      <c r="AB102" s="102"/>
      <c r="AC102" s="71"/>
      <c r="AD102" s="101"/>
      <c r="AE102" s="101"/>
      <c r="AF102" s="102"/>
      <c r="AG102" s="102"/>
      <c r="AH102" s="102"/>
      <c r="AI102" s="101"/>
      <c r="AJ102" s="88"/>
      <c r="AK102" s="88"/>
      <c r="AM102" s="71"/>
      <c r="AN102" s="101"/>
      <c r="AO102" s="101"/>
      <c r="AP102" s="101"/>
      <c r="AQ102" s="101"/>
      <c r="AR102" s="103"/>
      <c r="AS102" s="103"/>
      <c r="AT102" s="103"/>
      <c r="AU102" s="103"/>
      <c r="AV102" s="103"/>
      <c r="BA102" s="103"/>
      <c r="BF102" s="103"/>
      <c r="BG102" s="103"/>
      <c r="BH102" s="103"/>
      <c r="CK102" s="103"/>
      <c r="CL102" s="103"/>
      <c r="CM102" s="103"/>
      <c r="CN102" s="103"/>
      <c r="CO102" s="103"/>
      <c r="CP102" s="103"/>
      <c r="CQ102" s="103"/>
      <c r="CR102" s="103"/>
      <c r="CS102" s="103"/>
      <c r="CT102" s="103"/>
      <c r="DH102" s="103"/>
      <c r="DI102" s="103"/>
      <c r="DJ102" s="103"/>
      <c r="DK102" s="103"/>
      <c r="DL102" s="103"/>
      <c r="DM102" s="103"/>
      <c r="DN102" s="103"/>
      <c r="DO102" s="103"/>
      <c r="DP102" s="103"/>
      <c r="DQ102" s="103"/>
    </row>
    <row r="103" spans="1:121" s="90" customFormat="1" x14ac:dyDescent="0.25">
      <c r="A103" s="71"/>
      <c r="B103" s="71"/>
      <c r="C103" s="71"/>
      <c r="D103" s="71"/>
      <c r="E103" s="71"/>
      <c r="F103" s="101"/>
      <c r="G103" s="101"/>
      <c r="H103" s="71"/>
      <c r="I103" s="71"/>
      <c r="J103" s="71"/>
      <c r="K103" s="101"/>
      <c r="L103" s="101"/>
      <c r="M103" s="101"/>
      <c r="N103" s="71"/>
      <c r="O103" s="71"/>
      <c r="P103" s="71"/>
      <c r="Q103" s="71"/>
      <c r="R103" s="101"/>
      <c r="S103" s="101"/>
      <c r="T103" s="71"/>
      <c r="U103" s="101"/>
      <c r="V103" s="101"/>
      <c r="W103" s="102"/>
      <c r="X103" s="102"/>
      <c r="Y103" s="102"/>
      <c r="Z103" s="102"/>
      <c r="AA103" s="102"/>
      <c r="AB103" s="102"/>
      <c r="AC103" s="71"/>
      <c r="AD103" s="101"/>
      <c r="AE103" s="101"/>
      <c r="AF103" s="102"/>
      <c r="AG103" s="102"/>
      <c r="AH103" s="102"/>
      <c r="AI103" s="101"/>
      <c r="AJ103" s="88"/>
      <c r="AK103" s="88"/>
      <c r="AM103" s="71"/>
      <c r="AN103" s="101"/>
      <c r="AO103" s="101"/>
      <c r="AP103" s="101"/>
      <c r="AQ103" s="101"/>
      <c r="AR103" s="103"/>
      <c r="AS103" s="103"/>
      <c r="AT103" s="103"/>
      <c r="AU103" s="103"/>
      <c r="AV103" s="103"/>
      <c r="BA103" s="103"/>
      <c r="BF103" s="103"/>
      <c r="BG103" s="103"/>
      <c r="BH103" s="103"/>
      <c r="CK103" s="103"/>
      <c r="CL103" s="103"/>
      <c r="CM103" s="103"/>
      <c r="CN103" s="103"/>
      <c r="CO103" s="103"/>
      <c r="CP103" s="103"/>
      <c r="CQ103" s="103"/>
      <c r="CR103" s="103"/>
      <c r="CS103" s="103"/>
      <c r="CT103" s="103"/>
      <c r="DH103" s="103"/>
      <c r="DI103" s="103"/>
      <c r="DJ103" s="103"/>
      <c r="DK103" s="103"/>
      <c r="DL103" s="103"/>
      <c r="DM103" s="103"/>
      <c r="DN103" s="103"/>
      <c r="DO103" s="103"/>
      <c r="DP103" s="103"/>
      <c r="DQ103" s="103"/>
    </row>
    <row r="104" spans="1:121" s="90" customFormat="1" x14ac:dyDescent="0.25">
      <c r="A104" s="71"/>
      <c r="B104" s="71"/>
      <c r="C104" s="71"/>
      <c r="D104" s="71"/>
      <c r="E104" s="71"/>
      <c r="F104" s="101"/>
      <c r="G104" s="101"/>
      <c r="H104" s="71"/>
      <c r="I104" s="71"/>
      <c r="J104" s="71"/>
      <c r="K104" s="101"/>
      <c r="L104" s="101"/>
      <c r="M104" s="101"/>
      <c r="N104" s="71"/>
      <c r="O104" s="71"/>
      <c r="P104" s="71"/>
      <c r="Q104" s="71"/>
      <c r="R104" s="101"/>
      <c r="S104" s="101"/>
      <c r="T104" s="71"/>
      <c r="U104" s="101"/>
      <c r="V104" s="101"/>
      <c r="W104" s="102"/>
      <c r="X104" s="102"/>
      <c r="Y104" s="102"/>
      <c r="Z104" s="102"/>
      <c r="AA104" s="102"/>
      <c r="AB104" s="102"/>
      <c r="AC104" s="71"/>
      <c r="AD104" s="101"/>
      <c r="AE104" s="101"/>
      <c r="AF104" s="102"/>
      <c r="AG104" s="102"/>
      <c r="AH104" s="102"/>
      <c r="AI104" s="101"/>
      <c r="AJ104" s="88"/>
      <c r="AK104" s="88"/>
      <c r="AM104" s="71"/>
      <c r="AN104" s="101"/>
      <c r="AO104" s="101"/>
      <c r="AP104" s="101"/>
      <c r="AQ104" s="101"/>
      <c r="AR104" s="103"/>
      <c r="AS104" s="103"/>
      <c r="AT104" s="103"/>
      <c r="AU104" s="103"/>
      <c r="AV104" s="103"/>
      <c r="BA104" s="103"/>
      <c r="BF104" s="103"/>
      <c r="BG104" s="103"/>
      <c r="BH104" s="103"/>
      <c r="CK104" s="103"/>
      <c r="CL104" s="103"/>
      <c r="CM104" s="103"/>
      <c r="CN104" s="103"/>
      <c r="CO104" s="103"/>
      <c r="CP104" s="103"/>
      <c r="CQ104" s="103"/>
      <c r="CR104" s="103"/>
      <c r="CS104" s="103"/>
      <c r="CT104" s="103"/>
      <c r="DH104" s="103"/>
      <c r="DI104" s="103"/>
      <c r="DJ104" s="103"/>
      <c r="DK104" s="103"/>
      <c r="DL104" s="103"/>
      <c r="DM104" s="103"/>
      <c r="DN104" s="103"/>
      <c r="DO104" s="103"/>
      <c r="DP104" s="103"/>
      <c r="DQ104" s="103"/>
    </row>
    <row r="105" spans="1:121" s="90" customFormat="1" x14ac:dyDescent="0.25">
      <c r="A105" s="71"/>
      <c r="B105" s="71"/>
      <c r="C105" s="71"/>
      <c r="D105" s="71"/>
      <c r="E105" s="71"/>
      <c r="F105" s="101"/>
      <c r="G105" s="101"/>
      <c r="H105" s="71"/>
      <c r="I105" s="71"/>
      <c r="J105" s="71"/>
      <c r="K105" s="101"/>
      <c r="L105" s="101"/>
      <c r="M105" s="101"/>
      <c r="N105" s="71"/>
      <c r="O105" s="71"/>
      <c r="P105" s="71"/>
      <c r="Q105" s="71"/>
      <c r="R105" s="101"/>
      <c r="S105" s="101"/>
      <c r="T105" s="71"/>
      <c r="U105" s="101"/>
      <c r="V105" s="101"/>
      <c r="W105" s="102"/>
      <c r="X105" s="102"/>
      <c r="Y105" s="102"/>
      <c r="Z105" s="102"/>
      <c r="AA105" s="102"/>
      <c r="AB105" s="102"/>
      <c r="AC105" s="71"/>
      <c r="AD105" s="101"/>
      <c r="AE105" s="101"/>
      <c r="AF105" s="102"/>
      <c r="AG105" s="102"/>
      <c r="AH105" s="102"/>
      <c r="AI105" s="101"/>
      <c r="AJ105" s="88"/>
      <c r="AK105" s="88"/>
      <c r="AM105" s="71"/>
      <c r="AN105" s="101"/>
      <c r="AO105" s="101"/>
      <c r="AP105" s="101"/>
      <c r="AQ105" s="101"/>
      <c r="AR105" s="103"/>
      <c r="AS105" s="103"/>
      <c r="AT105" s="103"/>
      <c r="AU105" s="103"/>
      <c r="AV105" s="103"/>
      <c r="BA105" s="103"/>
      <c r="BF105" s="103"/>
      <c r="BG105" s="103"/>
      <c r="BH105" s="103"/>
      <c r="CK105" s="103"/>
      <c r="CL105" s="103"/>
      <c r="CM105" s="103"/>
      <c r="CN105" s="103"/>
      <c r="CO105" s="103"/>
      <c r="CP105" s="103"/>
      <c r="CQ105" s="103"/>
      <c r="CR105" s="103"/>
      <c r="CS105" s="103"/>
      <c r="CT105" s="103"/>
      <c r="DH105" s="103"/>
      <c r="DI105" s="103"/>
      <c r="DJ105" s="103"/>
      <c r="DK105" s="103"/>
      <c r="DL105" s="103"/>
      <c r="DM105" s="103"/>
      <c r="DN105" s="103"/>
      <c r="DO105" s="103"/>
      <c r="DP105" s="103"/>
      <c r="DQ105" s="103"/>
    </row>
    <row r="106" spans="1:121" s="90" customFormat="1" x14ac:dyDescent="0.25">
      <c r="A106" s="71"/>
      <c r="B106" s="71"/>
      <c r="C106" s="71"/>
      <c r="D106" s="71"/>
      <c r="E106" s="71"/>
      <c r="F106" s="101"/>
      <c r="G106" s="101"/>
      <c r="H106" s="71"/>
      <c r="I106" s="71"/>
      <c r="J106" s="71"/>
      <c r="K106" s="101"/>
      <c r="L106" s="101"/>
      <c r="M106" s="101"/>
      <c r="N106" s="71"/>
      <c r="O106" s="71"/>
      <c r="P106" s="71"/>
      <c r="Q106" s="71"/>
      <c r="R106" s="101"/>
      <c r="S106" s="101"/>
      <c r="T106" s="71"/>
      <c r="U106" s="101"/>
      <c r="V106" s="101"/>
      <c r="W106" s="102"/>
      <c r="X106" s="102"/>
      <c r="Y106" s="102"/>
      <c r="Z106" s="102"/>
      <c r="AA106" s="102"/>
      <c r="AB106" s="102"/>
      <c r="AC106" s="71"/>
      <c r="AD106" s="101"/>
      <c r="AE106" s="101"/>
      <c r="AF106" s="102"/>
      <c r="AG106" s="102"/>
      <c r="AH106" s="102"/>
      <c r="AI106" s="101"/>
      <c r="AJ106" s="88"/>
      <c r="AK106" s="88"/>
      <c r="AM106" s="71"/>
      <c r="AN106" s="101"/>
      <c r="AO106" s="101"/>
      <c r="AP106" s="101"/>
      <c r="AQ106" s="101"/>
      <c r="AR106" s="103"/>
      <c r="AS106" s="103"/>
      <c r="AT106" s="103"/>
      <c r="AU106" s="103"/>
      <c r="AV106" s="103"/>
      <c r="BA106" s="103"/>
      <c r="BF106" s="103"/>
      <c r="BG106" s="103"/>
      <c r="BH106" s="103"/>
      <c r="CK106" s="103"/>
      <c r="CL106" s="103"/>
      <c r="CM106" s="103"/>
      <c r="CN106" s="103"/>
      <c r="CO106" s="103"/>
      <c r="CP106" s="103"/>
      <c r="CQ106" s="103"/>
      <c r="CR106" s="103"/>
      <c r="CS106" s="103"/>
      <c r="CT106" s="103"/>
      <c r="DH106" s="103"/>
      <c r="DI106" s="103"/>
      <c r="DJ106" s="103"/>
      <c r="DK106" s="103"/>
      <c r="DL106" s="103"/>
      <c r="DM106" s="103"/>
      <c r="DN106" s="103"/>
      <c r="DO106" s="103"/>
      <c r="DP106" s="103"/>
      <c r="DQ106" s="103"/>
    </row>
    <row r="107" spans="1:121" s="90" customFormat="1" x14ac:dyDescent="0.25">
      <c r="A107" s="71"/>
      <c r="B107" s="71"/>
      <c r="C107" s="71"/>
      <c r="D107" s="71"/>
      <c r="E107" s="71"/>
      <c r="F107" s="101"/>
      <c r="G107" s="101"/>
      <c r="H107" s="71"/>
      <c r="I107" s="71"/>
      <c r="J107" s="71"/>
      <c r="K107" s="101"/>
      <c r="L107" s="101"/>
      <c r="M107" s="101"/>
      <c r="N107" s="71"/>
      <c r="O107" s="71"/>
      <c r="P107" s="71"/>
      <c r="Q107" s="71"/>
      <c r="R107" s="101"/>
      <c r="S107" s="101"/>
      <c r="T107" s="71"/>
      <c r="U107" s="101"/>
      <c r="V107" s="101"/>
      <c r="W107" s="102"/>
      <c r="X107" s="102"/>
      <c r="Y107" s="102"/>
      <c r="Z107" s="102"/>
      <c r="AA107" s="102"/>
      <c r="AB107" s="102"/>
      <c r="AC107" s="71"/>
      <c r="AD107" s="101"/>
      <c r="AE107" s="101"/>
      <c r="AF107" s="102"/>
      <c r="AG107" s="102"/>
      <c r="AH107" s="102"/>
      <c r="AI107" s="101"/>
      <c r="AJ107" s="88"/>
      <c r="AK107" s="88"/>
      <c r="AM107" s="71"/>
      <c r="AN107" s="101"/>
      <c r="AO107" s="101"/>
      <c r="AP107" s="101"/>
      <c r="AQ107" s="101"/>
      <c r="AR107" s="103"/>
      <c r="AS107" s="103"/>
      <c r="AT107" s="103"/>
      <c r="AU107" s="103"/>
      <c r="AV107" s="103"/>
      <c r="BA107" s="103"/>
      <c r="BF107" s="103"/>
      <c r="BG107" s="103"/>
      <c r="BH107" s="103"/>
      <c r="CK107" s="103"/>
      <c r="CL107" s="103"/>
      <c r="CM107" s="103"/>
      <c r="CN107" s="103"/>
      <c r="CO107" s="103"/>
      <c r="CP107" s="103"/>
      <c r="CQ107" s="103"/>
      <c r="CR107" s="103"/>
      <c r="CS107" s="103"/>
      <c r="CT107" s="103"/>
      <c r="DH107" s="103"/>
      <c r="DI107" s="103"/>
      <c r="DJ107" s="103"/>
      <c r="DK107" s="103"/>
      <c r="DL107" s="103"/>
      <c r="DM107" s="103"/>
      <c r="DN107" s="103"/>
      <c r="DO107" s="103"/>
      <c r="DP107" s="103"/>
      <c r="DQ107" s="103"/>
    </row>
    <row r="108" spans="1:121" s="90" customFormat="1" x14ac:dyDescent="0.25">
      <c r="A108" s="71"/>
      <c r="B108" s="71"/>
      <c r="C108" s="71"/>
      <c r="D108" s="71"/>
      <c r="E108" s="71"/>
      <c r="F108" s="101"/>
      <c r="G108" s="101"/>
      <c r="H108" s="71"/>
      <c r="I108" s="71"/>
      <c r="J108" s="71"/>
      <c r="K108" s="101"/>
      <c r="L108" s="101"/>
      <c r="M108" s="101"/>
      <c r="N108" s="71"/>
      <c r="O108" s="71"/>
      <c r="P108" s="71"/>
      <c r="Q108" s="71"/>
      <c r="R108" s="101"/>
      <c r="S108" s="101"/>
      <c r="T108" s="71"/>
      <c r="U108" s="101"/>
      <c r="V108" s="101"/>
      <c r="W108" s="102"/>
      <c r="X108" s="102"/>
      <c r="Y108" s="102"/>
      <c r="Z108" s="102"/>
      <c r="AA108" s="102"/>
      <c r="AB108" s="102"/>
      <c r="AC108" s="71"/>
      <c r="AD108" s="101"/>
      <c r="AE108" s="101"/>
      <c r="AF108" s="102"/>
      <c r="AG108" s="102"/>
      <c r="AH108" s="102"/>
      <c r="AI108" s="101"/>
      <c r="AJ108" s="88"/>
      <c r="AK108" s="88"/>
      <c r="AM108" s="71"/>
      <c r="AN108" s="101"/>
      <c r="AO108" s="101"/>
      <c r="AP108" s="101"/>
      <c r="AQ108" s="101"/>
      <c r="AR108" s="103"/>
      <c r="AS108" s="103"/>
      <c r="AT108" s="103"/>
      <c r="AU108" s="103"/>
      <c r="AV108" s="103"/>
      <c r="BA108" s="103"/>
      <c r="BF108" s="103"/>
      <c r="BG108" s="103"/>
      <c r="BH108" s="103"/>
      <c r="CK108" s="103"/>
      <c r="CL108" s="103"/>
      <c r="CM108" s="103"/>
      <c r="CN108" s="103"/>
      <c r="CO108" s="103"/>
      <c r="CP108" s="103"/>
      <c r="CQ108" s="103"/>
      <c r="CR108" s="103"/>
      <c r="CS108" s="103"/>
      <c r="CT108" s="103"/>
      <c r="DH108" s="103"/>
      <c r="DI108" s="103"/>
      <c r="DJ108" s="103"/>
      <c r="DK108" s="103"/>
      <c r="DL108" s="103"/>
      <c r="DM108" s="103"/>
      <c r="DN108" s="103"/>
      <c r="DO108" s="103"/>
      <c r="DP108" s="103"/>
      <c r="DQ108" s="103"/>
    </row>
    <row r="109" spans="1:121" s="90" customFormat="1" x14ac:dyDescent="0.25">
      <c r="A109" s="71"/>
      <c r="B109" s="71"/>
      <c r="C109" s="71"/>
      <c r="D109" s="71"/>
      <c r="E109" s="71"/>
      <c r="F109" s="101"/>
      <c r="G109" s="101"/>
      <c r="H109" s="71"/>
      <c r="I109" s="71"/>
      <c r="J109" s="71"/>
      <c r="K109" s="101"/>
      <c r="L109" s="101"/>
      <c r="M109" s="101"/>
      <c r="N109" s="71"/>
      <c r="O109" s="71"/>
      <c r="P109" s="71"/>
      <c r="Q109" s="71"/>
      <c r="R109" s="101"/>
      <c r="S109" s="101"/>
      <c r="T109" s="71"/>
      <c r="U109" s="101"/>
      <c r="V109" s="101"/>
      <c r="W109" s="102"/>
      <c r="X109" s="102"/>
      <c r="Y109" s="102"/>
      <c r="Z109" s="102"/>
      <c r="AA109" s="102"/>
      <c r="AB109" s="102"/>
      <c r="AC109" s="71"/>
      <c r="AD109" s="101"/>
      <c r="AE109" s="101"/>
      <c r="AF109" s="102"/>
      <c r="AG109" s="102"/>
      <c r="AH109" s="102"/>
      <c r="AI109" s="101"/>
      <c r="AJ109" s="88"/>
      <c r="AK109" s="88"/>
      <c r="AM109" s="71"/>
      <c r="AN109" s="101"/>
      <c r="AO109" s="101"/>
      <c r="AP109" s="101"/>
      <c r="AQ109" s="101"/>
      <c r="AR109" s="103"/>
      <c r="AS109" s="103"/>
      <c r="AT109" s="103"/>
      <c r="AU109" s="103"/>
      <c r="AV109" s="103"/>
      <c r="BA109" s="103"/>
      <c r="BF109" s="103"/>
      <c r="BG109" s="103"/>
      <c r="BH109" s="103"/>
      <c r="CK109" s="103"/>
      <c r="CL109" s="103"/>
      <c r="CM109" s="103"/>
      <c r="CN109" s="103"/>
      <c r="CO109" s="103"/>
      <c r="CP109" s="103"/>
      <c r="CQ109" s="103"/>
      <c r="CR109" s="103"/>
      <c r="CS109" s="103"/>
      <c r="CT109" s="103"/>
      <c r="DH109" s="103"/>
      <c r="DI109" s="103"/>
      <c r="DJ109" s="103"/>
      <c r="DK109" s="103"/>
      <c r="DL109" s="103"/>
      <c r="DM109" s="103"/>
      <c r="DN109" s="103"/>
      <c r="DO109" s="103"/>
      <c r="DP109" s="103"/>
      <c r="DQ109" s="103"/>
    </row>
    <row r="110" spans="1:121" s="90" customFormat="1" x14ac:dyDescent="0.25">
      <c r="A110" s="71"/>
      <c r="B110" s="71"/>
      <c r="C110" s="71"/>
      <c r="D110" s="71"/>
      <c r="E110" s="71"/>
      <c r="F110" s="101"/>
      <c r="G110" s="101"/>
      <c r="H110" s="71"/>
      <c r="I110" s="71"/>
      <c r="J110" s="71"/>
      <c r="K110" s="101"/>
      <c r="L110" s="101"/>
      <c r="M110" s="101"/>
      <c r="N110" s="71"/>
      <c r="O110" s="71"/>
      <c r="P110" s="71"/>
      <c r="Q110" s="71"/>
      <c r="R110" s="101"/>
      <c r="S110" s="101"/>
      <c r="T110" s="71"/>
      <c r="U110" s="101"/>
      <c r="V110" s="101"/>
      <c r="W110" s="102"/>
      <c r="X110" s="102"/>
      <c r="Y110" s="102"/>
      <c r="Z110" s="102"/>
      <c r="AA110" s="102"/>
      <c r="AB110" s="102"/>
      <c r="AC110" s="71"/>
      <c r="AD110" s="101"/>
      <c r="AE110" s="101"/>
      <c r="AF110" s="102"/>
      <c r="AG110" s="102"/>
      <c r="AH110" s="102"/>
      <c r="AI110" s="101"/>
      <c r="AJ110" s="88"/>
      <c r="AK110" s="88"/>
      <c r="AM110" s="71"/>
      <c r="AN110" s="101"/>
      <c r="AO110" s="101"/>
      <c r="AP110" s="101"/>
      <c r="AQ110" s="101"/>
      <c r="AR110" s="103"/>
      <c r="AS110" s="103"/>
      <c r="AT110" s="103"/>
      <c r="AU110" s="103"/>
      <c r="AV110" s="103"/>
      <c r="BA110" s="103"/>
      <c r="BF110" s="103"/>
      <c r="BG110" s="103"/>
      <c r="BH110" s="103"/>
      <c r="CK110" s="103"/>
      <c r="CL110" s="103"/>
      <c r="CM110" s="103"/>
      <c r="CN110" s="103"/>
      <c r="CO110" s="103"/>
      <c r="CP110" s="103"/>
      <c r="CQ110" s="103"/>
      <c r="CR110" s="103"/>
      <c r="CS110" s="103"/>
      <c r="CT110" s="103"/>
      <c r="DH110" s="103"/>
      <c r="DI110" s="103"/>
      <c r="DJ110" s="103"/>
      <c r="DK110" s="103"/>
      <c r="DL110" s="103"/>
      <c r="DM110" s="103"/>
      <c r="DN110" s="103"/>
      <c r="DO110" s="103"/>
      <c r="DP110" s="103"/>
      <c r="DQ110" s="103"/>
    </row>
    <row r="111" spans="1:121" s="90" customFormat="1" x14ac:dyDescent="0.25">
      <c r="A111" s="71"/>
      <c r="B111" s="71"/>
      <c r="C111" s="71"/>
      <c r="D111" s="71"/>
      <c r="E111" s="71"/>
      <c r="F111" s="101"/>
      <c r="G111" s="101"/>
      <c r="H111" s="71"/>
      <c r="I111" s="71"/>
      <c r="J111" s="71"/>
      <c r="K111" s="101"/>
      <c r="L111" s="101"/>
      <c r="M111" s="101"/>
      <c r="N111" s="71"/>
      <c r="O111" s="71"/>
      <c r="P111" s="71"/>
      <c r="Q111" s="71"/>
      <c r="R111" s="101"/>
      <c r="S111" s="101"/>
      <c r="T111" s="71"/>
      <c r="U111" s="101"/>
      <c r="V111" s="101"/>
      <c r="W111" s="102"/>
      <c r="X111" s="102"/>
      <c r="Y111" s="102"/>
      <c r="Z111" s="102"/>
      <c r="AA111" s="102"/>
      <c r="AB111" s="102"/>
      <c r="AC111" s="71"/>
      <c r="AD111" s="101"/>
      <c r="AE111" s="101"/>
      <c r="AF111" s="102"/>
      <c r="AG111" s="102"/>
      <c r="AH111" s="102"/>
      <c r="AI111" s="101"/>
      <c r="AJ111" s="88"/>
      <c r="AK111" s="88"/>
      <c r="AM111" s="71"/>
      <c r="AN111" s="101"/>
      <c r="AO111" s="101"/>
      <c r="AP111" s="101"/>
      <c r="AQ111" s="101"/>
      <c r="AR111" s="103"/>
      <c r="AS111" s="103"/>
      <c r="AT111" s="103"/>
      <c r="AU111" s="103"/>
      <c r="AV111" s="103"/>
      <c r="BA111" s="103"/>
      <c r="BF111" s="103"/>
      <c r="BG111" s="103"/>
      <c r="BH111" s="103"/>
      <c r="CK111" s="103"/>
      <c r="CL111" s="103"/>
      <c r="CM111" s="103"/>
      <c r="CN111" s="103"/>
      <c r="CO111" s="103"/>
      <c r="CP111" s="103"/>
      <c r="CQ111" s="103"/>
      <c r="CR111" s="103"/>
      <c r="CS111" s="103"/>
      <c r="CT111" s="103"/>
      <c r="DH111" s="103"/>
      <c r="DI111" s="103"/>
      <c r="DJ111" s="103"/>
      <c r="DK111" s="103"/>
      <c r="DL111" s="103"/>
      <c r="DM111" s="103"/>
      <c r="DN111" s="103"/>
      <c r="DO111" s="103"/>
      <c r="DP111" s="103"/>
      <c r="DQ111" s="103"/>
    </row>
    <row r="112" spans="1:121" s="90" customFormat="1" x14ac:dyDescent="0.25">
      <c r="A112" s="71"/>
      <c r="B112" s="71"/>
      <c r="C112" s="71"/>
      <c r="D112" s="71"/>
      <c r="E112" s="71"/>
      <c r="F112" s="101"/>
      <c r="G112" s="101"/>
      <c r="H112" s="71"/>
      <c r="I112" s="71"/>
      <c r="J112" s="71"/>
      <c r="K112" s="101"/>
      <c r="L112" s="101"/>
      <c r="M112" s="101"/>
      <c r="N112" s="71"/>
      <c r="O112" s="71"/>
      <c r="P112" s="71"/>
      <c r="Q112" s="71"/>
      <c r="R112" s="101"/>
      <c r="S112" s="101"/>
      <c r="T112" s="71"/>
      <c r="U112" s="101"/>
      <c r="V112" s="101"/>
      <c r="W112" s="102"/>
      <c r="X112" s="102"/>
      <c r="Y112" s="102"/>
      <c r="Z112" s="102"/>
      <c r="AA112" s="102"/>
      <c r="AB112" s="102"/>
      <c r="AC112" s="71"/>
      <c r="AD112" s="101"/>
      <c r="AE112" s="101"/>
      <c r="AF112" s="102"/>
      <c r="AG112" s="102"/>
      <c r="AH112" s="102"/>
      <c r="AI112" s="101"/>
      <c r="AJ112" s="88"/>
      <c r="AK112" s="88"/>
      <c r="AM112" s="71"/>
      <c r="AN112" s="101"/>
      <c r="AO112" s="101"/>
      <c r="AP112" s="101"/>
      <c r="AQ112" s="101"/>
      <c r="AR112" s="103"/>
      <c r="AS112" s="103"/>
      <c r="AT112" s="103"/>
      <c r="AU112" s="103"/>
      <c r="AV112" s="103"/>
      <c r="BA112" s="103"/>
      <c r="BF112" s="103"/>
      <c r="BG112" s="103"/>
      <c r="BH112" s="103"/>
      <c r="CK112" s="103"/>
      <c r="CL112" s="103"/>
      <c r="CM112" s="103"/>
      <c r="CN112" s="103"/>
      <c r="CO112" s="103"/>
      <c r="CP112" s="103"/>
      <c r="CQ112" s="103"/>
      <c r="CR112" s="103"/>
      <c r="CS112" s="103"/>
      <c r="CT112" s="103"/>
      <c r="DH112" s="103"/>
      <c r="DI112" s="103"/>
      <c r="DJ112" s="103"/>
      <c r="DK112" s="103"/>
      <c r="DL112" s="103"/>
      <c r="DM112" s="103"/>
      <c r="DN112" s="103"/>
      <c r="DO112" s="103"/>
      <c r="DP112" s="103"/>
      <c r="DQ112" s="103"/>
    </row>
    <row r="113" spans="1:121" s="90" customFormat="1" x14ac:dyDescent="0.25">
      <c r="A113" s="71"/>
      <c r="B113" s="71"/>
      <c r="C113" s="71"/>
      <c r="D113" s="71"/>
      <c r="E113" s="71"/>
      <c r="F113" s="101"/>
      <c r="G113" s="101"/>
      <c r="H113" s="71"/>
      <c r="I113" s="71"/>
      <c r="J113" s="71"/>
      <c r="K113" s="101"/>
      <c r="L113" s="101"/>
      <c r="M113" s="101"/>
      <c r="N113" s="71"/>
      <c r="O113" s="71"/>
      <c r="P113" s="71"/>
      <c r="Q113" s="71"/>
      <c r="R113" s="101"/>
      <c r="S113" s="101"/>
      <c r="T113" s="71"/>
      <c r="U113" s="101"/>
      <c r="V113" s="101"/>
      <c r="W113" s="102"/>
      <c r="X113" s="102"/>
      <c r="Y113" s="102"/>
      <c r="Z113" s="102"/>
      <c r="AA113" s="102"/>
      <c r="AB113" s="102"/>
      <c r="AC113" s="71"/>
      <c r="AD113" s="101"/>
      <c r="AE113" s="101"/>
      <c r="AF113" s="102"/>
      <c r="AG113" s="102"/>
      <c r="AH113" s="102"/>
      <c r="AI113" s="101"/>
      <c r="AJ113" s="88"/>
      <c r="AK113" s="88"/>
      <c r="AM113" s="71"/>
      <c r="AN113" s="101"/>
      <c r="AO113" s="101"/>
      <c r="AP113" s="101"/>
      <c r="AQ113" s="101"/>
      <c r="AR113" s="103"/>
      <c r="AS113" s="103"/>
      <c r="AT113" s="103"/>
      <c r="AU113" s="103"/>
      <c r="AV113" s="103"/>
      <c r="BA113" s="103"/>
      <c r="BF113" s="103"/>
      <c r="BG113" s="103"/>
      <c r="BH113" s="103"/>
      <c r="CK113" s="103"/>
      <c r="CL113" s="103"/>
      <c r="CM113" s="103"/>
      <c r="CN113" s="103"/>
      <c r="CO113" s="103"/>
      <c r="CP113" s="103"/>
      <c r="CQ113" s="103"/>
      <c r="CR113" s="103"/>
      <c r="CS113" s="103"/>
      <c r="CT113" s="103"/>
      <c r="DH113" s="103"/>
      <c r="DI113" s="103"/>
      <c r="DJ113" s="103"/>
      <c r="DK113" s="103"/>
      <c r="DL113" s="103"/>
      <c r="DM113" s="103"/>
      <c r="DN113" s="103"/>
      <c r="DO113" s="103"/>
      <c r="DP113" s="103"/>
      <c r="DQ113" s="103"/>
    </row>
    <row r="114" spans="1:121" s="90" customFormat="1" x14ac:dyDescent="0.25">
      <c r="A114" s="71"/>
      <c r="B114" s="71"/>
      <c r="C114" s="71"/>
      <c r="D114" s="71"/>
      <c r="E114" s="71"/>
      <c r="F114" s="101"/>
      <c r="G114" s="101"/>
      <c r="H114" s="71"/>
      <c r="I114" s="71"/>
      <c r="J114" s="71"/>
      <c r="K114" s="101"/>
      <c r="L114" s="101"/>
      <c r="M114" s="101"/>
      <c r="N114" s="71"/>
      <c r="O114" s="71"/>
      <c r="P114" s="71"/>
      <c r="Q114" s="71"/>
      <c r="R114" s="101"/>
      <c r="S114" s="101"/>
      <c r="T114" s="71"/>
      <c r="U114" s="101"/>
      <c r="V114" s="101"/>
      <c r="W114" s="102"/>
      <c r="X114" s="102"/>
      <c r="Y114" s="102"/>
      <c r="Z114" s="102"/>
      <c r="AA114" s="102"/>
      <c r="AB114" s="102"/>
      <c r="AC114" s="71"/>
      <c r="AD114" s="101"/>
      <c r="AE114" s="101"/>
      <c r="AF114" s="102"/>
      <c r="AG114" s="102"/>
      <c r="AH114" s="102"/>
      <c r="AI114" s="101"/>
      <c r="AJ114" s="88"/>
      <c r="AK114" s="88"/>
      <c r="AM114" s="71"/>
      <c r="AN114" s="101"/>
      <c r="AO114" s="101"/>
      <c r="AP114" s="101"/>
      <c r="AQ114" s="101"/>
      <c r="AR114" s="103"/>
      <c r="AS114" s="103"/>
      <c r="AT114" s="103"/>
      <c r="AU114" s="103"/>
      <c r="AV114" s="103"/>
      <c r="BA114" s="103"/>
      <c r="BF114" s="103"/>
      <c r="BG114" s="103"/>
      <c r="BH114" s="103"/>
      <c r="CK114" s="103"/>
      <c r="CL114" s="103"/>
      <c r="CM114" s="103"/>
      <c r="CN114" s="103"/>
      <c r="CO114" s="103"/>
      <c r="CP114" s="103"/>
      <c r="CQ114" s="103"/>
      <c r="CR114" s="103"/>
      <c r="CS114" s="103"/>
      <c r="CT114" s="103"/>
      <c r="DH114" s="103"/>
      <c r="DI114" s="103"/>
      <c r="DJ114" s="103"/>
      <c r="DK114" s="103"/>
      <c r="DL114" s="103"/>
      <c r="DM114" s="103"/>
      <c r="DN114" s="103"/>
      <c r="DO114" s="103"/>
      <c r="DP114" s="103"/>
      <c r="DQ114" s="103"/>
    </row>
    <row r="115" spans="1:121" s="90" customFormat="1" x14ac:dyDescent="0.25">
      <c r="A115" s="71"/>
      <c r="B115" s="71"/>
      <c r="C115" s="71"/>
      <c r="D115" s="71"/>
      <c r="E115" s="71"/>
      <c r="F115" s="101"/>
      <c r="G115" s="101"/>
      <c r="H115" s="71"/>
      <c r="I115" s="71"/>
      <c r="J115" s="71"/>
      <c r="K115" s="101"/>
      <c r="L115" s="101"/>
      <c r="M115" s="101"/>
      <c r="N115" s="71"/>
      <c r="O115" s="71"/>
      <c r="P115" s="71"/>
      <c r="Q115" s="71"/>
      <c r="R115" s="101"/>
      <c r="S115" s="101"/>
      <c r="T115" s="71"/>
      <c r="U115" s="101"/>
      <c r="V115" s="101"/>
      <c r="W115" s="102"/>
      <c r="X115" s="102"/>
      <c r="Y115" s="102"/>
      <c r="Z115" s="102"/>
      <c r="AA115" s="102"/>
      <c r="AB115" s="102"/>
      <c r="AC115" s="71"/>
      <c r="AD115" s="101"/>
      <c r="AE115" s="101"/>
      <c r="AF115" s="102"/>
      <c r="AG115" s="102"/>
      <c r="AH115" s="102"/>
      <c r="AI115" s="101"/>
      <c r="AJ115" s="88"/>
      <c r="AK115" s="88"/>
      <c r="AM115" s="71"/>
      <c r="AN115" s="101"/>
      <c r="AO115" s="101"/>
      <c r="AP115" s="101"/>
      <c r="AQ115" s="101"/>
      <c r="AR115" s="103"/>
      <c r="AS115" s="103"/>
      <c r="AT115" s="103"/>
      <c r="AU115" s="103"/>
      <c r="AV115" s="103"/>
      <c r="BA115" s="103"/>
      <c r="BF115" s="103"/>
      <c r="BG115" s="103"/>
      <c r="BH115" s="103"/>
      <c r="CK115" s="103"/>
      <c r="CL115" s="103"/>
      <c r="CM115" s="103"/>
      <c r="CN115" s="103"/>
      <c r="CO115" s="103"/>
      <c r="CP115" s="103"/>
      <c r="CQ115" s="103"/>
      <c r="CR115" s="103"/>
      <c r="CS115" s="103"/>
      <c r="CT115" s="103"/>
      <c r="DH115" s="103"/>
      <c r="DI115" s="103"/>
      <c r="DJ115" s="103"/>
      <c r="DK115" s="103"/>
      <c r="DL115" s="103"/>
      <c r="DM115" s="103"/>
      <c r="DN115" s="103"/>
      <c r="DO115" s="103"/>
      <c r="DP115" s="103"/>
      <c r="DQ115" s="103"/>
    </row>
    <row r="116" spans="1:121" s="90" customFormat="1" x14ac:dyDescent="0.25">
      <c r="A116" s="71"/>
      <c r="B116" s="71"/>
      <c r="C116" s="71"/>
      <c r="D116" s="71"/>
      <c r="E116" s="71"/>
      <c r="F116" s="101"/>
      <c r="G116" s="101"/>
      <c r="H116" s="71"/>
      <c r="I116" s="71"/>
      <c r="J116" s="71"/>
      <c r="K116" s="101"/>
      <c r="L116" s="101"/>
      <c r="M116" s="101"/>
      <c r="N116" s="71"/>
      <c r="O116" s="71"/>
      <c r="P116" s="71"/>
      <c r="Q116" s="71"/>
      <c r="R116" s="101"/>
      <c r="S116" s="101"/>
      <c r="T116" s="71"/>
      <c r="U116" s="101"/>
      <c r="V116" s="101"/>
      <c r="W116" s="102"/>
      <c r="X116" s="102"/>
      <c r="Y116" s="102"/>
      <c r="Z116" s="102"/>
      <c r="AA116" s="102"/>
      <c r="AB116" s="102"/>
      <c r="AC116" s="71"/>
      <c r="AD116" s="101"/>
      <c r="AE116" s="101"/>
      <c r="AF116" s="102"/>
      <c r="AG116" s="102"/>
      <c r="AH116" s="102"/>
      <c r="AI116" s="101"/>
      <c r="AJ116" s="88"/>
      <c r="AK116" s="88"/>
      <c r="AM116" s="71"/>
      <c r="AN116" s="101"/>
      <c r="AO116" s="101"/>
      <c r="AP116" s="101"/>
      <c r="AQ116" s="101"/>
      <c r="AR116" s="103"/>
      <c r="AS116" s="103"/>
      <c r="AT116" s="103"/>
      <c r="AU116" s="103"/>
      <c r="AV116" s="103"/>
      <c r="BA116" s="103"/>
      <c r="BF116" s="103"/>
      <c r="BG116" s="103"/>
      <c r="BH116" s="103"/>
      <c r="CK116" s="103"/>
      <c r="CL116" s="103"/>
      <c r="CM116" s="103"/>
      <c r="CN116" s="103"/>
      <c r="CO116" s="103"/>
      <c r="CP116" s="103"/>
      <c r="CQ116" s="103"/>
      <c r="CR116" s="103"/>
      <c r="CS116" s="103"/>
      <c r="CT116" s="103"/>
      <c r="DH116" s="103"/>
      <c r="DI116" s="103"/>
      <c r="DJ116" s="103"/>
      <c r="DK116" s="103"/>
      <c r="DL116" s="103"/>
      <c r="DM116" s="103"/>
      <c r="DN116" s="103"/>
      <c r="DO116" s="103"/>
      <c r="DP116" s="103"/>
      <c r="DQ116" s="103"/>
    </row>
    <row r="117" spans="1:121" s="90" customFormat="1" x14ac:dyDescent="0.25">
      <c r="A117" s="71"/>
      <c r="B117" s="71"/>
      <c r="C117" s="71"/>
      <c r="D117" s="71"/>
      <c r="E117" s="71"/>
      <c r="F117" s="101"/>
      <c r="G117" s="101"/>
      <c r="H117" s="71"/>
      <c r="I117" s="71"/>
      <c r="J117" s="71"/>
      <c r="K117" s="101"/>
      <c r="L117" s="101"/>
      <c r="M117" s="101"/>
      <c r="N117" s="71"/>
      <c r="O117" s="71"/>
      <c r="P117" s="71"/>
      <c r="Q117" s="71"/>
      <c r="R117" s="101"/>
      <c r="S117" s="101"/>
      <c r="T117" s="71"/>
      <c r="U117" s="101"/>
      <c r="V117" s="101"/>
      <c r="W117" s="102"/>
      <c r="X117" s="102"/>
      <c r="Y117" s="102"/>
      <c r="Z117" s="102"/>
      <c r="AA117" s="102"/>
      <c r="AB117" s="102"/>
      <c r="AC117" s="71"/>
      <c r="AD117" s="101"/>
      <c r="AE117" s="101"/>
      <c r="AF117" s="102"/>
      <c r="AG117" s="102"/>
      <c r="AH117" s="102"/>
      <c r="AI117" s="101"/>
      <c r="AJ117" s="88"/>
      <c r="AK117" s="88"/>
      <c r="AM117" s="71"/>
      <c r="AN117" s="101"/>
      <c r="AO117" s="101"/>
      <c r="AP117" s="101"/>
      <c r="AQ117" s="101"/>
      <c r="AR117" s="103"/>
      <c r="AS117" s="103"/>
      <c r="AT117" s="103"/>
      <c r="AU117" s="103"/>
      <c r="AV117" s="103"/>
      <c r="BA117" s="103"/>
      <c r="BF117" s="103"/>
      <c r="BG117" s="103"/>
      <c r="BH117" s="103"/>
      <c r="CK117" s="103"/>
      <c r="CL117" s="103"/>
      <c r="CM117" s="103"/>
      <c r="CN117" s="103"/>
      <c r="CO117" s="103"/>
      <c r="CP117" s="103"/>
      <c r="CQ117" s="103"/>
      <c r="CR117" s="103"/>
      <c r="CS117" s="103"/>
      <c r="CT117" s="103"/>
      <c r="DH117" s="103"/>
      <c r="DI117" s="103"/>
      <c r="DJ117" s="103"/>
      <c r="DK117" s="103"/>
      <c r="DL117" s="103"/>
      <c r="DM117" s="103"/>
      <c r="DN117" s="103"/>
      <c r="DO117" s="103"/>
      <c r="DP117" s="103"/>
      <c r="DQ117" s="103"/>
    </row>
    <row r="118" spans="1:121" s="90" customFormat="1" x14ac:dyDescent="0.25">
      <c r="A118" s="71"/>
      <c r="B118" s="71"/>
      <c r="C118" s="71"/>
      <c r="D118" s="71"/>
      <c r="E118" s="71"/>
      <c r="F118" s="101"/>
      <c r="G118" s="101"/>
      <c r="H118" s="71"/>
      <c r="I118" s="71"/>
      <c r="J118" s="71"/>
      <c r="K118" s="101"/>
      <c r="L118" s="101"/>
      <c r="M118" s="101"/>
      <c r="N118" s="71"/>
      <c r="O118" s="71"/>
      <c r="P118" s="71"/>
      <c r="Q118" s="71"/>
      <c r="R118" s="101"/>
      <c r="S118" s="101"/>
      <c r="T118" s="71"/>
      <c r="U118" s="101"/>
      <c r="V118" s="101"/>
      <c r="W118" s="102"/>
      <c r="X118" s="102"/>
      <c r="Y118" s="102"/>
      <c r="Z118" s="102"/>
      <c r="AA118" s="102"/>
      <c r="AB118" s="102"/>
      <c r="AC118" s="71"/>
      <c r="AD118" s="101"/>
      <c r="AE118" s="101"/>
      <c r="AF118" s="102"/>
      <c r="AG118" s="102"/>
      <c r="AH118" s="102"/>
      <c r="AI118" s="101"/>
      <c r="AJ118" s="88"/>
      <c r="AK118" s="88"/>
      <c r="AM118" s="71"/>
      <c r="AN118" s="101"/>
      <c r="AO118" s="101"/>
      <c r="AP118" s="101"/>
      <c r="AQ118" s="101"/>
      <c r="AR118" s="103"/>
      <c r="AS118" s="103"/>
      <c r="AT118" s="103"/>
      <c r="AU118" s="103"/>
      <c r="AV118" s="103"/>
      <c r="BA118" s="103"/>
      <c r="BF118" s="103"/>
      <c r="BG118" s="103"/>
      <c r="BH118" s="103"/>
      <c r="CK118" s="103"/>
      <c r="CL118" s="103"/>
      <c r="CM118" s="103"/>
      <c r="CN118" s="103"/>
      <c r="CO118" s="103"/>
      <c r="CP118" s="103"/>
      <c r="CQ118" s="103"/>
      <c r="CR118" s="103"/>
      <c r="CS118" s="103"/>
      <c r="CT118" s="103"/>
      <c r="DH118" s="103"/>
      <c r="DI118" s="103"/>
      <c r="DJ118" s="103"/>
      <c r="DK118" s="103"/>
      <c r="DL118" s="103"/>
      <c r="DM118" s="103"/>
      <c r="DN118" s="103"/>
      <c r="DO118" s="103"/>
      <c r="DP118" s="103"/>
      <c r="DQ118" s="103"/>
    </row>
    <row r="119" spans="1:121" s="90" customFormat="1" x14ac:dyDescent="0.25">
      <c r="A119" s="71"/>
      <c r="B119" s="71"/>
      <c r="C119" s="71"/>
      <c r="D119" s="71"/>
      <c r="E119" s="71"/>
      <c r="F119" s="101"/>
      <c r="G119" s="101"/>
      <c r="H119" s="71"/>
      <c r="I119" s="71"/>
      <c r="J119" s="71"/>
      <c r="K119" s="101"/>
      <c r="L119" s="101"/>
      <c r="M119" s="101"/>
      <c r="N119" s="71"/>
      <c r="O119" s="71"/>
      <c r="P119" s="71"/>
      <c r="Q119" s="71"/>
      <c r="R119" s="101"/>
      <c r="S119" s="101"/>
      <c r="T119" s="71"/>
      <c r="U119" s="101"/>
      <c r="V119" s="101"/>
      <c r="W119" s="102"/>
      <c r="X119" s="102"/>
      <c r="Y119" s="102"/>
      <c r="Z119" s="102"/>
      <c r="AA119" s="102"/>
      <c r="AB119" s="102"/>
      <c r="AC119" s="71"/>
      <c r="AD119" s="101"/>
      <c r="AE119" s="101"/>
      <c r="AF119" s="102"/>
      <c r="AG119" s="102"/>
      <c r="AH119" s="102"/>
      <c r="AI119" s="101"/>
      <c r="AJ119" s="88"/>
      <c r="AK119" s="88"/>
      <c r="AM119" s="71"/>
      <c r="AN119" s="101"/>
      <c r="AO119" s="101"/>
      <c r="AP119" s="101"/>
      <c r="AQ119" s="101"/>
      <c r="AR119" s="103"/>
      <c r="AS119" s="103"/>
      <c r="AT119" s="103"/>
      <c r="AU119" s="103"/>
      <c r="AV119" s="103"/>
      <c r="BA119" s="103"/>
      <c r="BF119" s="103"/>
      <c r="BG119" s="103"/>
      <c r="BH119" s="103"/>
      <c r="CK119" s="103"/>
      <c r="CL119" s="103"/>
      <c r="CM119" s="103"/>
      <c r="CN119" s="103"/>
      <c r="CO119" s="103"/>
      <c r="CP119" s="103"/>
      <c r="CQ119" s="103"/>
      <c r="CR119" s="103"/>
      <c r="CS119" s="103"/>
      <c r="CT119" s="103"/>
      <c r="DH119" s="103"/>
      <c r="DI119" s="103"/>
      <c r="DJ119" s="103"/>
      <c r="DK119" s="103"/>
      <c r="DL119" s="103"/>
      <c r="DM119" s="103"/>
      <c r="DN119" s="103"/>
      <c r="DO119" s="103"/>
      <c r="DP119" s="103"/>
      <c r="DQ119" s="103"/>
    </row>
    <row r="120" spans="1:121" s="90" customFormat="1" x14ac:dyDescent="0.25">
      <c r="A120" s="71"/>
      <c r="B120" s="71"/>
      <c r="C120" s="71"/>
      <c r="D120" s="71"/>
      <c r="E120" s="71"/>
      <c r="F120" s="101"/>
      <c r="G120" s="101"/>
      <c r="H120" s="71"/>
      <c r="I120" s="71"/>
      <c r="J120" s="71"/>
      <c r="K120" s="101"/>
      <c r="L120" s="101"/>
      <c r="M120" s="101"/>
      <c r="N120" s="71"/>
      <c r="O120" s="71"/>
      <c r="P120" s="71"/>
      <c r="Q120" s="71"/>
      <c r="R120" s="101"/>
      <c r="S120" s="101"/>
      <c r="T120" s="71"/>
      <c r="U120" s="101"/>
      <c r="V120" s="101"/>
      <c r="W120" s="102"/>
      <c r="X120" s="102"/>
      <c r="Y120" s="102"/>
      <c r="Z120" s="102"/>
      <c r="AA120" s="102"/>
      <c r="AB120" s="102"/>
      <c r="AC120" s="71"/>
      <c r="AD120" s="101"/>
      <c r="AE120" s="101"/>
      <c r="AF120" s="102"/>
      <c r="AG120" s="102"/>
      <c r="AH120" s="102"/>
      <c r="AI120" s="101"/>
      <c r="AJ120" s="88"/>
      <c r="AK120" s="88"/>
      <c r="AM120" s="71"/>
      <c r="AN120" s="101"/>
      <c r="AO120" s="101"/>
      <c r="AP120" s="101"/>
      <c r="AQ120" s="101"/>
      <c r="AR120" s="103"/>
      <c r="AS120" s="103"/>
      <c r="AT120" s="103"/>
      <c r="AU120" s="103"/>
      <c r="AV120" s="103"/>
      <c r="BA120" s="103"/>
      <c r="BF120" s="103"/>
      <c r="BG120" s="103"/>
      <c r="BH120" s="103"/>
      <c r="CK120" s="103"/>
      <c r="CL120" s="103"/>
      <c r="CM120" s="103"/>
      <c r="CN120" s="103"/>
      <c r="CO120" s="103"/>
      <c r="CP120" s="103"/>
      <c r="CQ120" s="103"/>
      <c r="CR120" s="103"/>
      <c r="CS120" s="103"/>
      <c r="CT120" s="103"/>
      <c r="DH120" s="103"/>
      <c r="DI120" s="103"/>
      <c r="DJ120" s="103"/>
      <c r="DK120" s="103"/>
      <c r="DL120" s="103"/>
      <c r="DM120" s="103"/>
      <c r="DN120" s="103"/>
      <c r="DO120" s="103"/>
      <c r="DP120" s="103"/>
      <c r="DQ120" s="103"/>
    </row>
    <row r="121" spans="1:121" s="90" customFormat="1" x14ac:dyDescent="0.25">
      <c r="A121" s="71"/>
      <c r="B121" s="71"/>
      <c r="C121" s="71"/>
      <c r="D121" s="71"/>
      <c r="E121" s="71"/>
      <c r="F121" s="101"/>
      <c r="G121" s="101"/>
      <c r="H121" s="71"/>
      <c r="I121" s="71"/>
      <c r="J121" s="71"/>
      <c r="K121" s="101"/>
      <c r="L121" s="101"/>
      <c r="M121" s="101"/>
      <c r="N121" s="71"/>
      <c r="O121" s="71"/>
      <c r="P121" s="71"/>
      <c r="Q121" s="71"/>
      <c r="R121" s="101"/>
      <c r="S121" s="101"/>
      <c r="T121" s="71"/>
      <c r="U121" s="101"/>
      <c r="V121" s="101"/>
      <c r="W121" s="102"/>
      <c r="X121" s="102"/>
      <c r="Y121" s="102"/>
      <c r="Z121" s="102"/>
      <c r="AA121" s="102"/>
      <c r="AB121" s="102"/>
      <c r="AC121" s="71"/>
      <c r="AD121" s="101"/>
      <c r="AE121" s="101"/>
      <c r="AF121" s="102"/>
      <c r="AG121" s="102"/>
      <c r="AH121" s="102"/>
      <c r="AI121" s="101"/>
      <c r="AJ121" s="88"/>
      <c r="AK121" s="88"/>
      <c r="AM121" s="71"/>
      <c r="AN121" s="101"/>
      <c r="AO121" s="101"/>
      <c r="AP121" s="101"/>
      <c r="AQ121" s="101"/>
      <c r="AR121" s="103"/>
      <c r="AS121" s="103"/>
      <c r="AT121" s="103"/>
      <c r="AU121" s="103"/>
      <c r="AV121" s="103"/>
      <c r="BA121" s="103"/>
      <c r="BF121" s="103"/>
      <c r="BG121" s="103"/>
      <c r="BH121" s="103"/>
      <c r="CK121" s="103"/>
      <c r="CL121" s="103"/>
      <c r="CM121" s="103"/>
      <c r="CN121" s="103"/>
      <c r="CO121" s="103"/>
      <c r="CP121" s="103"/>
      <c r="CQ121" s="103"/>
      <c r="CR121" s="103"/>
      <c r="CS121" s="103"/>
      <c r="CT121" s="103"/>
      <c r="DH121" s="103"/>
      <c r="DI121" s="103"/>
      <c r="DJ121" s="103"/>
      <c r="DK121" s="103"/>
      <c r="DL121" s="103"/>
      <c r="DM121" s="103"/>
      <c r="DN121" s="103"/>
      <c r="DO121" s="103"/>
      <c r="DP121" s="103"/>
      <c r="DQ121" s="103"/>
    </row>
    <row r="122" spans="1:121" s="90" customFormat="1" x14ac:dyDescent="0.25">
      <c r="A122" s="71"/>
      <c r="B122" s="71"/>
      <c r="C122" s="71"/>
      <c r="D122" s="71"/>
      <c r="E122" s="71"/>
      <c r="F122" s="101"/>
      <c r="G122" s="101"/>
      <c r="H122" s="71"/>
      <c r="I122" s="71"/>
      <c r="J122" s="71"/>
      <c r="K122" s="101"/>
      <c r="L122" s="101"/>
      <c r="M122" s="101"/>
      <c r="N122" s="71"/>
      <c r="O122" s="71"/>
      <c r="P122" s="71"/>
      <c r="Q122" s="71"/>
      <c r="R122" s="101"/>
      <c r="S122" s="101"/>
      <c r="T122" s="71"/>
      <c r="U122" s="101"/>
      <c r="V122" s="101"/>
      <c r="W122" s="102"/>
      <c r="X122" s="102"/>
      <c r="Y122" s="102"/>
      <c r="Z122" s="102"/>
      <c r="AA122" s="102"/>
      <c r="AB122" s="102"/>
      <c r="AC122" s="71"/>
      <c r="AD122" s="101"/>
      <c r="AE122" s="101"/>
      <c r="AF122" s="102"/>
      <c r="AG122" s="102"/>
      <c r="AH122" s="102"/>
      <c r="AI122" s="101"/>
      <c r="AJ122" s="88"/>
      <c r="AK122" s="88"/>
      <c r="AM122" s="71"/>
      <c r="AN122" s="101"/>
      <c r="AO122" s="101"/>
      <c r="AP122" s="101"/>
      <c r="AQ122" s="101"/>
      <c r="AR122" s="103"/>
      <c r="AS122" s="103"/>
      <c r="AT122" s="103"/>
      <c r="AU122" s="103"/>
      <c r="AV122" s="103"/>
      <c r="BA122" s="103"/>
      <c r="BF122" s="103"/>
      <c r="BG122" s="103"/>
      <c r="BH122" s="103"/>
      <c r="CK122" s="103"/>
      <c r="CL122" s="103"/>
      <c r="CM122" s="103"/>
      <c r="CN122" s="103"/>
      <c r="CO122" s="103"/>
      <c r="CP122" s="103"/>
      <c r="CQ122" s="103"/>
      <c r="CR122" s="103"/>
      <c r="CS122" s="103"/>
      <c r="CT122" s="103"/>
      <c r="DH122" s="103"/>
      <c r="DI122" s="103"/>
      <c r="DJ122" s="103"/>
      <c r="DK122" s="103"/>
      <c r="DL122" s="103"/>
      <c r="DM122" s="103"/>
      <c r="DN122" s="103"/>
      <c r="DO122" s="103"/>
      <c r="DP122" s="103"/>
      <c r="DQ122" s="103"/>
    </row>
    <row r="123" spans="1:121" s="90" customFormat="1" x14ac:dyDescent="0.25">
      <c r="A123" s="71"/>
      <c r="B123" s="71"/>
      <c r="C123" s="71"/>
      <c r="D123" s="71"/>
      <c r="E123" s="71"/>
      <c r="F123" s="101"/>
      <c r="G123" s="101"/>
      <c r="H123" s="71"/>
      <c r="I123" s="71"/>
      <c r="J123" s="71"/>
      <c r="K123" s="101"/>
      <c r="L123" s="101"/>
      <c r="M123" s="101"/>
      <c r="N123" s="71"/>
      <c r="O123" s="71"/>
      <c r="P123" s="71"/>
      <c r="Q123" s="71"/>
      <c r="R123" s="101"/>
      <c r="S123" s="101"/>
      <c r="T123" s="71"/>
      <c r="U123" s="101"/>
      <c r="V123" s="101"/>
      <c r="W123" s="102"/>
      <c r="X123" s="102"/>
      <c r="Y123" s="102"/>
      <c r="Z123" s="102"/>
      <c r="AA123" s="102"/>
      <c r="AB123" s="102"/>
      <c r="AC123" s="71"/>
      <c r="AD123" s="101"/>
      <c r="AE123" s="101"/>
      <c r="AF123" s="102"/>
      <c r="AG123" s="102"/>
      <c r="AH123" s="102"/>
      <c r="AI123" s="101"/>
      <c r="AJ123" s="88"/>
      <c r="AK123" s="88"/>
      <c r="AM123" s="71"/>
      <c r="AN123" s="101"/>
      <c r="AO123" s="101"/>
      <c r="AP123" s="101"/>
      <c r="AQ123" s="101"/>
      <c r="AR123" s="103"/>
      <c r="AS123" s="103"/>
      <c r="AT123" s="103"/>
      <c r="AU123" s="103"/>
      <c r="AV123" s="103"/>
      <c r="BA123" s="103"/>
      <c r="BF123" s="103"/>
      <c r="BG123" s="103"/>
      <c r="BH123" s="103"/>
      <c r="CK123" s="103"/>
      <c r="CL123" s="103"/>
      <c r="CM123" s="103"/>
      <c r="CN123" s="103"/>
      <c r="CO123" s="103"/>
      <c r="CP123" s="103"/>
      <c r="CQ123" s="103"/>
      <c r="CR123" s="103"/>
      <c r="CS123" s="103"/>
      <c r="CT123" s="103"/>
      <c r="DH123" s="103"/>
      <c r="DI123" s="103"/>
      <c r="DJ123" s="103"/>
      <c r="DK123" s="103"/>
      <c r="DL123" s="103"/>
      <c r="DM123" s="103"/>
      <c r="DN123" s="103"/>
      <c r="DO123" s="103"/>
      <c r="DP123" s="103"/>
      <c r="DQ123" s="103"/>
    </row>
    <row r="124" spans="1:121" s="90" customFormat="1" x14ac:dyDescent="0.25">
      <c r="A124" s="71"/>
      <c r="B124" s="71"/>
      <c r="C124" s="71"/>
      <c r="D124" s="71"/>
      <c r="E124" s="71"/>
      <c r="F124" s="101"/>
      <c r="G124" s="101"/>
      <c r="H124" s="71"/>
      <c r="I124" s="71"/>
      <c r="J124" s="71"/>
      <c r="K124" s="101"/>
      <c r="L124" s="101"/>
      <c r="M124" s="101"/>
      <c r="N124" s="71"/>
      <c r="O124" s="71"/>
      <c r="P124" s="71"/>
      <c r="Q124" s="71"/>
      <c r="R124" s="101"/>
      <c r="S124" s="101"/>
      <c r="T124" s="71"/>
      <c r="U124" s="101"/>
      <c r="V124" s="101"/>
      <c r="W124" s="102"/>
      <c r="X124" s="102"/>
      <c r="Y124" s="102"/>
      <c r="Z124" s="102"/>
      <c r="AA124" s="102"/>
      <c r="AB124" s="102"/>
      <c r="AC124" s="71"/>
      <c r="AD124" s="101"/>
      <c r="AE124" s="101"/>
      <c r="AF124" s="102"/>
      <c r="AG124" s="102"/>
      <c r="AH124" s="102"/>
      <c r="AI124" s="101"/>
      <c r="AJ124" s="88"/>
      <c r="AK124" s="88"/>
      <c r="AM124" s="71"/>
      <c r="AN124" s="101"/>
      <c r="AO124" s="101"/>
      <c r="AP124" s="101"/>
      <c r="AQ124" s="101"/>
      <c r="AR124" s="103"/>
      <c r="AS124" s="103"/>
      <c r="AT124" s="103"/>
      <c r="AU124" s="103"/>
      <c r="AV124" s="103"/>
      <c r="BA124" s="103"/>
      <c r="BF124" s="103"/>
      <c r="BG124" s="103"/>
      <c r="BH124" s="103"/>
      <c r="CK124" s="103"/>
      <c r="CL124" s="103"/>
      <c r="CM124" s="103"/>
      <c r="CN124" s="103"/>
      <c r="CO124" s="103"/>
      <c r="CP124" s="103"/>
      <c r="CQ124" s="103"/>
      <c r="CR124" s="103"/>
      <c r="CS124" s="103"/>
      <c r="CT124" s="103"/>
      <c r="DH124" s="103"/>
      <c r="DI124" s="103"/>
      <c r="DJ124" s="103"/>
      <c r="DK124" s="103"/>
      <c r="DL124" s="103"/>
      <c r="DM124" s="103"/>
      <c r="DN124" s="103"/>
      <c r="DO124" s="103"/>
      <c r="DP124" s="103"/>
      <c r="DQ124" s="103"/>
    </row>
    <row r="125" spans="1:121" s="90" customFormat="1" x14ac:dyDescent="0.25">
      <c r="A125" s="71"/>
      <c r="B125" s="71"/>
      <c r="C125" s="71"/>
      <c r="D125" s="71"/>
      <c r="E125" s="71"/>
      <c r="F125" s="101"/>
      <c r="G125" s="101"/>
      <c r="H125" s="71"/>
      <c r="I125" s="71"/>
      <c r="J125" s="71"/>
      <c r="K125" s="101"/>
      <c r="L125" s="101"/>
      <c r="M125" s="101"/>
      <c r="N125" s="71"/>
      <c r="O125" s="71"/>
      <c r="P125" s="71"/>
      <c r="Q125" s="71"/>
      <c r="R125" s="101"/>
      <c r="S125" s="101"/>
      <c r="T125" s="71"/>
      <c r="U125" s="101"/>
      <c r="V125" s="101"/>
      <c r="W125" s="102"/>
      <c r="X125" s="102"/>
      <c r="Y125" s="102"/>
      <c r="Z125" s="102"/>
      <c r="AA125" s="102"/>
      <c r="AB125" s="102"/>
      <c r="AC125" s="71"/>
      <c r="AD125" s="101"/>
      <c r="AE125" s="101"/>
      <c r="AF125" s="102"/>
      <c r="AG125" s="102"/>
      <c r="AH125" s="102"/>
      <c r="AI125" s="101"/>
      <c r="AJ125" s="88"/>
      <c r="AK125" s="88"/>
      <c r="AM125" s="71"/>
      <c r="AN125" s="101"/>
      <c r="AO125" s="101"/>
      <c r="AP125" s="101"/>
      <c r="AQ125" s="101"/>
      <c r="AR125" s="103"/>
      <c r="AS125" s="103"/>
      <c r="AT125" s="103"/>
      <c r="AU125" s="103"/>
      <c r="AV125" s="103"/>
      <c r="BA125" s="103"/>
      <c r="BF125" s="103"/>
      <c r="BG125" s="103"/>
      <c r="BH125" s="103"/>
      <c r="CK125" s="103"/>
      <c r="CL125" s="103"/>
      <c r="CM125" s="103"/>
      <c r="CN125" s="103"/>
      <c r="CO125" s="103"/>
      <c r="CP125" s="103"/>
      <c r="CQ125" s="103"/>
      <c r="CR125" s="103"/>
      <c r="CS125" s="103"/>
      <c r="CT125" s="103"/>
      <c r="DH125" s="103"/>
      <c r="DI125" s="103"/>
      <c r="DJ125" s="103"/>
      <c r="DK125" s="103"/>
      <c r="DL125" s="103"/>
      <c r="DM125" s="103"/>
      <c r="DN125" s="103"/>
      <c r="DO125" s="103"/>
      <c r="DP125" s="103"/>
      <c r="DQ125" s="103"/>
    </row>
    <row r="126" spans="1:121" s="90" customFormat="1" x14ac:dyDescent="0.25">
      <c r="A126" s="71"/>
      <c r="B126" s="71"/>
      <c r="C126" s="71"/>
      <c r="D126" s="71"/>
      <c r="E126" s="71"/>
      <c r="F126" s="101"/>
      <c r="G126" s="101"/>
      <c r="H126" s="71"/>
      <c r="I126" s="71"/>
      <c r="J126" s="71"/>
      <c r="K126" s="101"/>
      <c r="L126" s="101"/>
      <c r="M126" s="101"/>
      <c r="N126" s="71"/>
      <c r="O126" s="71"/>
      <c r="P126" s="71"/>
      <c r="Q126" s="71"/>
      <c r="R126" s="101"/>
      <c r="S126" s="101"/>
      <c r="T126" s="71"/>
      <c r="U126" s="101"/>
      <c r="V126" s="101"/>
      <c r="W126" s="102"/>
      <c r="X126" s="102"/>
      <c r="Y126" s="102"/>
      <c r="Z126" s="102"/>
      <c r="AA126" s="102"/>
      <c r="AB126" s="102"/>
      <c r="AC126" s="71"/>
      <c r="AD126" s="101"/>
      <c r="AE126" s="101"/>
      <c r="AF126" s="102"/>
      <c r="AG126" s="102"/>
      <c r="AH126" s="102"/>
      <c r="AI126" s="101"/>
      <c r="AJ126" s="88"/>
      <c r="AK126" s="88"/>
      <c r="AM126" s="71"/>
      <c r="AN126" s="101"/>
      <c r="AO126" s="101"/>
      <c r="AP126" s="101"/>
      <c r="AQ126" s="101"/>
      <c r="AR126" s="103"/>
      <c r="AS126" s="103"/>
      <c r="AT126" s="103"/>
      <c r="AU126" s="103"/>
      <c r="AV126" s="103"/>
      <c r="BA126" s="103"/>
      <c r="BF126" s="103"/>
      <c r="BG126" s="103"/>
      <c r="BH126" s="103"/>
      <c r="CK126" s="103"/>
      <c r="CL126" s="103"/>
      <c r="CM126" s="103"/>
      <c r="CN126" s="103"/>
      <c r="CO126" s="103"/>
      <c r="CP126" s="103"/>
      <c r="CQ126" s="103"/>
      <c r="CR126" s="103"/>
      <c r="CS126" s="103"/>
      <c r="CT126" s="103"/>
      <c r="DH126" s="103"/>
      <c r="DI126" s="103"/>
      <c r="DJ126" s="103"/>
      <c r="DK126" s="103"/>
      <c r="DL126" s="103"/>
      <c r="DM126" s="103"/>
      <c r="DN126" s="103"/>
      <c r="DO126" s="103"/>
      <c r="DP126" s="103"/>
      <c r="DQ126" s="103"/>
    </row>
    <row r="127" spans="1:121" s="90" customFormat="1" x14ac:dyDescent="0.25">
      <c r="A127" s="71"/>
      <c r="B127" s="71"/>
      <c r="C127" s="71"/>
      <c r="D127" s="71"/>
      <c r="E127" s="71"/>
      <c r="F127" s="101"/>
      <c r="G127" s="101"/>
      <c r="H127" s="71"/>
      <c r="I127" s="71"/>
      <c r="J127" s="71"/>
      <c r="K127" s="101"/>
      <c r="L127" s="101"/>
      <c r="M127" s="101"/>
      <c r="N127" s="71"/>
      <c r="O127" s="71"/>
      <c r="P127" s="71"/>
      <c r="Q127" s="71"/>
      <c r="R127" s="101"/>
      <c r="S127" s="101"/>
      <c r="T127" s="71"/>
      <c r="U127" s="101"/>
      <c r="V127" s="101"/>
      <c r="W127" s="102"/>
      <c r="X127" s="102"/>
      <c r="Y127" s="102"/>
      <c r="Z127" s="102"/>
      <c r="AA127" s="102"/>
      <c r="AB127" s="102"/>
      <c r="AC127" s="71"/>
      <c r="AD127" s="101"/>
      <c r="AE127" s="101"/>
      <c r="AF127" s="102"/>
      <c r="AG127" s="102"/>
      <c r="AH127" s="102"/>
      <c r="AI127" s="101"/>
      <c r="AJ127" s="88"/>
      <c r="AK127" s="88"/>
      <c r="AM127" s="71"/>
      <c r="AN127" s="101"/>
      <c r="AO127" s="101"/>
      <c r="AP127" s="101"/>
      <c r="AQ127" s="101"/>
      <c r="AR127" s="103"/>
      <c r="AS127" s="103"/>
      <c r="AT127" s="103"/>
      <c r="AU127" s="103"/>
      <c r="AV127" s="103"/>
      <c r="BA127" s="103"/>
      <c r="BF127" s="103"/>
      <c r="BG127" s="103"/>
      <c r="BH127" s="103"/>
      <c r="CK127" s="103"/>
      <c r="CL127" s="103"/>
      <c r="CM127" s="103"/>
      <c r="CN127" s="103"/>
      <c r="CO127" s="103"/>
      <c r="CP127" s="103"/>
      <c r="CQ127" s="103"/>
      <c r="CR127" s="103"/>
      <c r="CS127" s="103"/>
      <c r="CT127" s="103"/>
      <c r="DH127" s="103"/>
      <c r="DI127" s="103"/>
      <c r="DJ127" s="103"/>
      <c r="DK127" s="103"/>
      <c r="DL127" s="103"/>
      <c r="DM127" s="103"/>
      <c r="DN127" s="103"/>
      <c r="DO127" s="103"/>
      <c r="DP127" s="103"/>
      <c r="DQ127" s="103"/>
    </row>
    <row r="128" spans="1:121" s="90" customFormat="1" x14ac:dyDescent="0.25">
      <c r="A128" s="71"/>
      <c r="B128" s="71"/>
      <c r="C128" s="71"/>
      <c r="D128" s="71"/>
      <c r="E128" s="71"/>
      <c r="F128" s="101"/>
      <c r="G128" s="101"/>
      <c r="H128" s="71"/>
      <c r="I128" s="71"/>
      <c r="J128" s="71"/>
      <c r="K128" s="101"/>
      <c r="L128" s="101"/>
      <c r="M128" s="101"/>
      <c r="N128" s="71"/>
      <c r="O128" s="71"/>
      <c r="P128" s="71"/>
      <c r="Q128" s="71"/>
      <c r="R128" s="101"/>
      <c r="S128" s="101"/>
      <c r="T128" s="71"/>
      <c r="U128" s="101"/>
      <c r="V128" s="101"/>
      <c r="W128" s="102"/>
      <c r="X128" s="102"/>
      <c r="Y128" s="102"/>
      <c r="Z128" s="102"/>
      <c r="AA128" s="102"/>
      <c r="AB128" s="102"/>
      <c r="AC128" s="71"/>
      <c r="AD128" s="101"/>
      <c r="AE128" s="101"/>
      <c r="AF128" s="102"/>
      <c r="AG128" s="102"/>
      <c r="AH128" s="102"/>
      <c r="AI128" s="101"/>
      <c r="AJ128" s="88"/>
      <c r="AK128" s="88"/>
      <c r="AM128" s="71"/>
      <c r="AN128" s="101"/>
      <c r="AO128" s="101"/>
      <c r="AP128" s="101"/>
      <c r="AQ128" s="101"/>
      <c r="AR128" s="103"/>
      <c r="AS128" s="103"/>
      <c r="AT128" s="103"/>
      <c r="AU128" s="103"/>
      <c r="AV128" s="103"/>
      <c r="BA128" s="103"/>
      <c r="BF128" s="103"/>
      <c r="BG128" s="103"/>
      <c r="BH128" s="103"/>
      <c r="CK128" s="103"/>
      <c r="CL128" s="103"/>
      <c r="CM128" s="103"/>
      <c r="CN128" s="103"/>
      <c r="CO128" s="103"/>
      <c r="CP128" s="103"/>
      <c r="CQ128" s="103"/>
      <c r="CR128" s="103"/>
      <c r="CS128" s="103"/>
      <c r="CT128" s="103"/>
      <c r="DH128" s="103"/>
      <c r="DI128" s="103"/>
      <c r="DJ128" s="103"/>
      <c r="DK128" s="103"/>
      <c r="DL128" s="103"/>
      <c r="DM128" s="103"/>
      <c r="DN128" s="103"/>
      <c r="DO128" s="103"/>
      <c r="DP128" s="103"/>
      <c r="DQ128" s="103"/>
    </row>
    <row r="129" spans="1:121" s="90" customFormat="1" x14ac:dyDescent="0.25">
      <c r="A129" s="71"/>
      <c r="B129" s="71"/>
      <c r="C129" s="71"/>
      <c r="D129" s="71"/>
      <c r="E129" s="71"/>
      <c r="F129" s="101"/>
      <c r="G129" s="101"/>
      <c r="H129" s="71"/>
      <c r="I129" s="71"/>
      <c r="J129" s="71"/>
      <c r="K129" s="101"/>
      <c r="L129" s="101"/>
      <c r="M129" s="101"/>
      <c r="N129" s="71"/>
      <c r="O129" s="71"/>
      <c r="P129" s="71"/>
      <c r="Q129" s="71"/>
      <c r="R129" s="101"/>
      <c r="S129" s="101"/>
      <c r="T129" s="71"/>
      <c r="U129" s="101"/>
      <c r="V129" s="101"/>
      <c r="W129" s="102"/>
      <c r="X129" s="102"/>
      <c r="Y129" s="102"/>
      <c r="Z129" s="102"/>
      <c r="AA129" s="102"/>
      <c r="AB129" s="102"/>
      <c r="AC129" s="71"/>
      <c r="AD129" s="101"/>
      <c r="AE129" s="101"/>
      <c r="AF129" s="102"/>
      <c r="AG129" s="102"/>
      <c r="AH129" s="102"/>
      <c r="AI129" s="101"/>
      <c r="AJ129" s="88"/>
      <c r="AK129" s="88"/>
      <c r="AM129" s="71"/>
      <c r="AN129" s="101"/>
      <c r="AO129" s="101"/>
      <c r="AP129" s="101"/>
      <c r="AQ129" s="101"/>
      <c r="AR129" s="103"/>
      <c r="AS129" s="103"/>
      <c r="AT129" s="103"/>
      <c r="AU129" s="103"/>
      <c r="AV129" s="103"/>
      <c r="BA129" s="103"/>
      <c r="BF129" s="103"/>
      <c r="BG129" s="103"/>
      <c r="BH129" s="103"/>
      <c r="CK129" s="103"/>
      <c r="CL129" s="103"/>
      <c r="CM129" s="103"/>
      <c r="CN129" s="103"/>
      <c r="CO129" s="103"/>
      <c r="CP129" s="103"/>
      <c r="CQ129" s="103"/>
      <c r="CR129" s="103"/>
      <c r="CS129" s="103"/>
      <c r="CT129" s="103"/>
      <c r="DH129" s="103"/>
      <c r="DI129" s="103"/>
      <c r="DJ129" s="103"/>
      <c r="DK129" s="103"/>
      <c r="DL129" s="103"/>
      <c r="DM129" s="103"/>
      <c r="DN129" s="103"/>
      <c r="DO129" s="103"/>
      <c r="DP129" s="103"/>
      <c r="DQ129" s="103"/>
    </row>
    <row r="130" spans="1:121" s="90" customFormat="1" x14ac:dyDescent="0.25">
      <c r="A130" s="71"/>
      <c r="B130" s="71"/>
      <c r="C130" s="71"/>
      <c r="D130" s="71"/>
      <c r="E130" s="71"/>
      <c r="F130" s="101"/>
      <c r="G130" s="101"/>
      <c r="H130" s="71"/>
      <c r="I130" s="71"/>
      <c r="J130" s="71"/>
      <c r="K130" s="101"/>
      <c r="L130" s="101"/>
      <c r="M130" s="101"/>
      <c r="N130" s="71"/>
      <c r="O130" s="71"/>
      <c r="P130" s="71"/>
      <c r="Q130" s="71"/>
      <c r="R130" s="101"/>
      <c r="S130" s="101"/>
      <c r="T130" s="71"/>
      <c r="U130" s="101"/>
      <c r="V130" s="101"/>
      <c r="W130" s="102"/>
      <c r="X130" s="102"/>
      <c r="Y130" s="102"/>
      <c r="Z130" s="102"/>
      <c r="AA130" s="102"/>
      <c r="AB130" s="102"/>
      <c r="AC130" s="71"/>
      <c r="AD130" s="101"/>
      <c r="AE130" s="101"/>
      <c r="AF130" s="102"/>
      <c r="AG130" s="102"/>
      <c r="AH130" s="102"/>
      <c r="AI130" s="101"/>
      <c r="AJ130" s="88"/>
      <c r="AK130" s="88"/>
      <c r="AM130" s="71"/>
      <c r="AN130" s="101"/>
      <c r="AO130" s="101"/>
      <c r="AP130" s="101"/>
      <c r="AQ130" s="101"/>
      <c r="AR130" s="103"/>
      <c r="AS130" s="103"/>
      <c r="AT130" s="103"/>
      <c r="AU130" s="103"/>
      <c r="AV130" s="103"/>
      <c r="BA130" s="103"/>
      <c r="BF130" s="103"/>
      <c r="BG130" s="103"/>
      <c r="BH130" s="103"/>
      <c r="CK130" s="103"/>
      <c r="CL130" s="103"/>
      <c r="CM130" s="103"/>
      <c r="CN130" s="103"/>
      <c r="CO130" s="103"/>
      <c r="CP130" s="103"/>
      <c r="CQ130" s="103"/>
      <c r="CR130" s="103"/>
      <c r="CS130" s="103"/>
      <c r="CT130" s="103"/>
      <c r="DH130" s="103"/>
      <c r="DI130" s="103"/>
      <c r="DJ130" s="103"/>
      <c r="DK130" s="103"/>
      <c r="DL130" s="103"/>
      <c r="DM130" s="103"/>
      <c r="DN130" s="103"/>
      <c r="DO130" s="103"/>
      <c r="DP130" s="103"/>
      <c r="DQ130" s="103"/>
    </row>
    <row r="131" spans="1:121" s="90" customFormat="1" x14ac:dyDescent="0.25">
      <c r="A131" s="71"/>
      <c r="B131" s="71"/>
      <c r="C131" s="71"/>
      <c r="D131" s="71"/>
      <c r="E131" s="71"/>
      <c r="F131" s="101"/>
      <c r="G131" s="101"/>
      <c r="H131" s="71"/>
      <c r="I131" s="71"/>
      <c r="J131" s="71"/>
      <c r="K131" s="101"/>
      <c r="L131" s="101"/>
      <c r="M131" s="101"/>
      <c r="N131" s="71"/>
      <c r="O131" s="71"/>
      <c r="P131" s="71"/>
      <c r="Q131" s="71"/>
      <c r="R131" s="101"/>
      <c r="S131" s="101"/>
      <c r="T131" s="71"/>
      <c r="U131" s="101"/>
      <c r="V131" s="101"/>
      <c r="W131" s="102"/>
      <c r="X131" s="102"/>
      <c r="Y131" s="102"/>
      <c r="Z131" s="102"/>
      <c r="AA131" s="102"/>
      <c r="AB131" s="102"/>
      <c r="AC131" s="71"/>
      <c r="AD131" s="101"/>
      <c r="AE131" s="101"/>
      <c r="AF131" s="102"/>
      <c r="AG131" s="102"/>
      <c r="AH131" s="102"/>
      <c r="AI131" s="101"/>
      <c r="AJ131" s="88"/>
      <c r="AK131" s="88"/>
      <c r="AM131" s="71"/>
      <c r="AN131" s="101"/>
      <c r="AO131" s="101"/>
      <c r="AP131" s="101"/>
      <c r="AQ131" s="101"/>
      <c r="AR131" s="103"/>
      <c r="AS131" s="103"/>
      <c r="AT131" s="103"/>
      <c r="AU131" s="103"/>
      <c r="AV131" s="103"/>
      <c r="BA131" s="103"/>
      <c r="BF131" s="103"/>
      <c r="BG131" s="103"/>
      <c r="BH131" s="103"/>
      <c r="CK131" s="103"/>
      <c r="CL131" s="103"/>
      <c r="CM131" s="103"/>
      <c r="CN131" s="103"/>
      <c r="CO131" s="103"/>
      <c r="CP131" s="103"/>
      <c r="CQ131" s="103"/>
      <c r="CR131" s="103"/>
      <c r="CS131" s="103"/>
      <c r="CT131" s="103"/>
      <c r="DH131" s="103"/>
      <c r="DI131" s="103"/>
      <c r="DJ131" s="103"/>
      <c r="DK131" s="103"/>
      <c r="DL131" s="103"/>
      <c r="DM131" s="103"/>
      <c r="DN131" s="103"/>
      <c r="DO131" s="103"/>
      <c r="DP131" s="103"/>
      <c r="DQ131" s="103"/>
    </row>
    <row r="132" spans="1:121" s="90" customFormat="1" x14ac:dyDescent="0.25">
      <c r="A132" s="71"/>
      <c r="B132" s="71"/>
      <c r="C132" s="71"/>
      <c r="D132" s="71"/>
      <c r="E132" s="71"/>
      <c r="F132" s="101"/>
      <c r="G132" s="101"/>
      <c r="H132" s="71"/>
      <c r="I132" s="71"/>
      <c r="J132" s="71"/>
      <c r="K132" s="101"/>
      <c r="L132" s="101"/>
      <c r="M132" s="101"/>
      <c r="N132" s="71"/>
      <c r="O132" s="71"/>
      <c r="P132" s="71"/>
      <c r="Q132" s="71"/>
      <c r="R132" s="101"/>
      <c r="S132" s="101"/>
      <c r="T132" s="71"/>
      <c r="U132" s="101"/>
      <c r="V132" s="101"/>
      <c r="W132" s="102"/>
      <c r="X132" s="102"/>
      <c r="Y132" s="102"/>
      <c r="Z132" s="102"/>
      <c r="AA132" s="102"/>
      <c r="AB132" s="102"/>
      <c r="AC132" s="71"/>
      <c r="AD132" s="101"/>
      <c r="AE132" s="101"/>
      <c r="AF132" s="102"/>
      <c r="AG132" s="102"/>
      <c r="AH132" s="102"/>
      <c r="AI132" s="101"/>
      <c r="AJ132" s="88"/>
      <c r="AK132" s="88"/>
      <c r="AM132" s="71"/>
      <c r="AN132" s="101"/>
      <c r="AO132" s="101"/>
      <c r="AP132" s="101"/>
      <c r="AQ132" s="101"/>
      <c r="AR132" s="103"/>
      <c r="AS132" s="103"/>
      <c r="AT132" s="103"/>
      <c r="AU132" s="103"/>
      <c r="AV132" s="103"/>
      <c r="BA132" s="103"/>
      <c r="BF132" s="103"/>
      <c r="BG132" s="103"/>
      <c r="BH132" s="103"/>
      <c r="CK132" s="103"/>
      <c r="CL132" s="103"/>
      <c r="CM132" s="103"/>
      <c r="CN132" s="103"/>
      <c r="CO132" s="103"/>
      <c r="CP132" s="103"/>
      <c r="CQ132" s="103"/>
      <c r="CR132" s="103"/>
      <c r="CS132" s="103"/>
      <c r="CT132" s="103"/>
      <c r="DH132" s="103"/>
      <c r="DI132" s="103"/>
      <c r="DJ132" s="103"/>
      <c r="DK132" s="103"/>
      <c r="DL132" s="103"/>
      <c r="DM132" s="103"/>
      <c r="DN132" s="103"/>
      <c r="DO132" s="103"/>
      <c r="DP132" s="103"/>
      <c r="DQ132" s="103"/>
    </row>
    <row r="133" spans="1:121" s="90" customFormat="1" x14ac:dyDescent="0.25">
      <c r="A133" s="71"/>
      <c r="B133" s="71"/>
      <c r="C133" s="71"/>
      <c r="D133" s="71"/>
      <c r="E133" s="71"/>
      <c r="F133" s="101"/>
      <c r="G133" s="101"/>
      <c r="H133" s="71"/>
      <c r="I133" s="71"/>
      <c r="J133" s="71"/>
      <c r="K133" s="101"/>
      <c r="L133" s="101"/>
      <c r="M133" s="101"/>
      <c r="N133" s="71"/>
      <c r="O133" s="71"/>
      <c r="P133" s="71"/>
      <c r="Q133" s="71"/>
      <c r="R133" s="101"/>
      <c r="S133" s="101"/>
      <c r="T133" s="71"/>
      <c r="U133" s="101"/>
      <c r="V133" s="101"/>
      <c r="W133" s="102"/>
      <c r="X133" s="102"/>
      <c r="Y133" s="102"/>
      <c r="Z133" s="102"/>
      <c r="AA133" s="102"/>
      <c r="AB133" s="102"/>
      <c r="AC133" s="71"/>
      <c r="AD133" s="101"/>
      <c r="AE133" s="101"/>
      <c r="AF133" s="102"/>
      <c r="AG133" s="102"/>
      <c r="AH133" s="102"/>
      <c r="AI133" s="101"/>
      <c r="AJ133" s="88"/>
      <c r="AK133" s="88"/>
      <c r="AM133" s="71"/>
      <c r="AN133" s="101"/>
      <c r="AO133" s="101"/>
      <c r="AP133" s="101"/>
      <c r="AQ133" s="101"/>
      <c r="AR133" s="103"/>
      <c r="AS133" s="103"/>
      <c r="AT133" s="103"/>
      <c r="AU133" s="103"/>
      <c r="AV133" s="103"/>
      <c r="BA133" s="103"/>
      <c r="BF133" s="103"/>
      <c r="BG133" s="103"/>
      <c r="BH133" s="103"/>
      <c r="CK133" s="103"/>
      <c r="CL133" s="103"/>
      <c r="CM133" s="103"/>
      <c r="CN133" s="103"/>
      <c r="CO133" s="103"/>
      <c r="CP133" s="103"/>
      <c r="CQ133" s="103"/>
      <c r="CR133" s="103"/>
      <c r="CS133" s="103"/>
      <c r="CT133" s="103"/>
      <c r="DH133" s="103"/>
      <c r="DI133" s="103"/>
      <c r="DJ133" s="103"/>
      <c r="DK133" s="103"/>
      <c r="DL133" s="103"/>
      <c r="DM133" s="103"/>
      <c r="DN133" s="103"/>
      <c r="DO133" s="103"/>
      <c r="DP133" s="103"/>
      <c r="DQ133" s="103"/>
    </row>
    <row r="134" spans="1:121" s="90" customFormat="1" x14ac:dyDescent="0.25">
      <c r="A134" s="71"/>
      <c r="B134" s="71"/>
      <c r="C134" s="71"/>
      <c r="D134" s="71"/>
      <c r="E134" s="71"/>
      <c r="F134" s="101"/>
      <c r="G134" s="101"/>
      <c r="H134" s="71"/>
      <c r="I134" s="71"/>
      <c r="J134" s="71"/>
      <c r="K134" s="101"/>
      <c r="L134" s="101"/>
      <c r="M134" s="101"/>
      <c r="N134" s="71"/>
      <c r="O134" s="71"/>
      <c r="P134" s="71"/>
      <c r="Q134" s="71"/>
      <c r="R134" s="101"/>
      <c r="S134" s="101"/>
      <c r="T134" s="71"/>
      <c r="U134" s="101"/>
      <c r="V134" s="101"/>
      <c r="W134" s="102"/>
      <c r="X134" s="102"/>
      <c r="Y134" s="102"/>
      <c r="Z134" s="102"/>
      <c r="AA134" s="102"/>
      <c r="AB134" s="102"/>
      <c r="AC134" s="71"/>
      <c r="AD134" s="101"/>
      <c r="AE134" s="101"/>
      <c r="AF134" s="102"/>
      <c r="AG134" s="102"/>
      <c r="AH134" s="102"/>
      <c r="AI134" s="101"/>
      <c r="AJ134" s="88"/>
      <c r="AK134" s="88"/>
      <c r="AM134" s="71"/>
      <c r="AN134" s="101"/>
      <c r="AO134" s="101"/>
      <c r="AP134" s="101"/>
      <c r="AQ134" s="101"/>
      <c r="AR134" s="103"/>
      <c r="AS134" s="103"/>
      <c r="AT134" s="103"/>
      <c r="AU134" s="103"/>
      <c r="AV134" s="103"/>
      <c r="BA134" s="103"/>
      <c r="BF134" s="103"/>
      <c r="BG134" s="103"/>
      <c r="BH134" s="103"/>
      <c r="CK134" s="103"/>
      <c r="CL134" s="103"/>
      <c r="CM134" s="103"/>
      <c r="CN134" s="103"/>
      <c r="CO134" s="103"/>
      <c r="CP134" s="103"/>
      <c r="CQ134" s="103"/>
      <c r="CR134" s="103"/>
      <c r="CS134" s="103"/>
      <c r="CT134" s="103"/>
      <c r="DH134" s="103"/>
      <c r="DI134" s="103"/>
      <c r="DJ134" s="103"/>
      <c r="DK134" s="103"/>
      <c r="DL134" s="103"/>
      <c r="DM134" s="103"/>
      <c r="DN134" s="103"/>
      <c r="DO134" s="103"/>
      <c r="DP134" s="103"/>
      <c r="DQ134" s="103"/>
    </row>
    <row r="135" spans="1:121" s="90" customFormat="1" x14ac:dyDescent="0.25">
      <c r="A135" s="71"/>
      <c r="B135" s="71"/>
      <c r="C135" s="71"/>
      <c r="D135" s="71"/>
      <c r="E135" s="71"/>
      <c r="F135" s="101"/>
      <c r="G135" s="101"/>
      <c r="H135" s="71"/>
      <c r="I135" s="71"/>
      <c r="J135" s="71"/>
      <c r="K135" s="101"/>
      <c r="L135" s="101"/>
      <c r="M135" s="101"/>
      <c r="N135" s="71"/>
      <c r="O135" s="71"/>
      <c r="P135" s="71"/>
      <c r="Q135" s="71"/>
      <c r="R135" s="101"/>
      <c r="S135" s="101"/>
      <c r="T135" s="71"/>
      <c r="U135" s="101"/>
      <c r="V135" s="101"/>
      <c r="W135" s="102"/>
      <c r="X135" s="102"/>
      <c r="Y135" s="102"/>
      <c r="Z135" s="102"/>
      <c r="AA135" s="102"/>
      <c r="AB135" s="102"/>
      <c r="AC135" s="71"/>
      <c r="AD135" s="101"/>
      <c r="AE135" s="101"/>
      <c r="AF135" s="102"/>
      <c r="AG135" s="102"/>
      <c r="AH135" s="102"/>
      <c r="AI135" s="101"/>
      <c r="AJ135" s="88"/>
      <c r="AK135" s="88"/>
      <c r="AM135" s="71"/>
      <c r="AN135" s="101"/>
      <c r="AO135" s="101"/>
      <c r="AP135" s="101"/>
      <c r="AQ135" s="101"/>
      <c r="AR135" s="103"/>
      <c r="AS135" s="103"/>
      <c r="AT135" s="103"/>
      <c r="AU135" s="103"/>
      <c r="AV135" s="103"/>
      <c r="BA135" s="103"/>
      <c r="BF135" s="103"/>
      <c r="BG135" s="103"/>
      <c r="BH135" s="103"/>
      <c r="CK135" s="103"/>
      <c r="CL135" s="103"/>
      <c r="CM135" s="103"/>
      <c r="CN135" s="103"/>
      <c r="CO135" s="103"/>
      <c r="CP135" s="103"/>
      <c r="CQ135" s="103"/>
      <c r="CR135" s="103"/>
      <c r="CS135" s="103"/>
      <c r="CT135" s="103"/>
      <c r="DH135" s="103"/>
      <c r="DI135" s="103"/>
      <c r="DJ135" s="103"/>
      <c r="DK135" s="103"/>
      <c r="DL135" s="103"/>
      <c r="DM135" s="103"/>
      <c r="DN135" s="103"/>
      <c r="DO135" s="103"/>
      <c r="DP135" s="103"/>
      <c r="DQ135" s="103"/>
    </row>
    <row r="136" spans="1:121" s="90" customFormat="1" x14ac:dyDescent="0.25">
      <c r="A136" s="71"/>
      <c r="B136" s="71"/>
      <c r="C136" s="71"/>
      <c r="D136" s="71"/>
      <c r="E136" s="71"/>
      <c r="F136" s="101"/>
      <c r="G136" s="101"/>
      <c r="H136" s="71"/>
      <c r="I136" s="71"/>
      <c r="J136" s="71"/>
      <c r="K136" s="101"/>
      <c r="L136" s="101"/>
      <c r="M136" s="101"/>
      <c r="N136" s="71"/>
      <c r="O136" s="71"/>
      <c r="P136" s="71"/>
      <c r="Q136" s="71"/>
      <c r="R136" s="101"/>
      <c r="S136" s="101"/>
      <c r="T136" s="71"/>
      <c r="U136" s="101"/>
      <c r="V136" s="101"/>
      <c r="W136" s="102"/>
      <c r="X136" s="102"/>
      <c r="Y136" s="102"/>
      <c r="Z136" s="102"/>
      <c r="AA136" s="102"/>
      <c r="AB136" s="102"/>
      <c r="AC136" s="71"/>
      <c r="AD136" s="101"/>
      <c r="AE136" s="101"/>
      <c r="AF136" s="102"/>
      <c r="AG136" s="102"/>
      <c r="AH136" s="102"/>
      <c r="AI136" s="101"/>
      <c r="AJ136" s="88"/>
      <c r="AK136" s="88"/>
      <c r="AM136" s="71"/>
      <c r="AN136" s="101"/>
      <c r="AO136" s="101"/>
      <c r="AP136" s="101"/>
      <c r="AQ136" s="101"/>
      <c r="AR136" s="103"/>
      <c r="AS136" s="103"/>
      <c r="AT136" s="103"/>
      <c r="AU136" s="103"/>
      <c r="AV136" s="103"/>
      <c r="BA136" s="103"/>
      <c r="BF136" s="103"/>
      <c r="BG136" s="103"/>
      <c r="BH136" s="103"/>
      <c r="CK136" s="103"/>
      <c r="CL136" s="103"/>
      <c r="CM136" s="103"/>
      <c r="CN136" s="103"/>
      <c r="CO136" s="103"/>
      <c r="CP136" s="103"/>
      <c r="CQ136" s="103"/>
      <c r="CR136" s="103"/>
      <c r="CS136" s="103"/>
      <c r="CT136" s="103"/>
      <c r="DH136" s="103"/>
      <c r="DI136" s="103"/>
      <c r="DJ136" s="103"/>
      <c r="DK136" s="103"/>
      <c r="DL136" s="103"/>
      <c r="DM136" s="103"/>
      <c r="DN136" s="103"/>
      <c r="DO136" s="103"/>
      <c r="DP136" s="103"/>
      <c r="DQ136" s="103"/>
    </row>
    <row r="137" spans="1:121" s="90" customFormat="1" x14ac:dyDescent="0.25">
      <c r="A137" s="71"/>
      <c r="B137" s="71"/>
      <c r="C137" s="71"/>
      <c r="D137" s="71"/>
      <c r="E137" s="71"/>
      <c r="F137" s="101"/>
      <c r="G137" s="101"/>
      <c r="H137" s="71"/>
      <c r="I137" s="71"/>
      <c r="J137" s="71"/>
      <c r="K137" s="101"/>
      <c r="L137" s="101"/>
      <c r="M137" s="101"/>
      <c r="N137" s="71"/>
      <c r="O137" s="71"/>
      <c r="P137" s="71"/>
      <c r="Q137" s="71"/>
      <c r="R137" s="101"/>
      <c r="S137" s="101"/>
      <c r="T137" s="71"/>
      <c r="U137" s="101"/>
      <c r="V137" s="101"/>
      <c r="W137" s="102"/>
      <c r="X137" s="102"/>
      <c r="Y137" s="102"/>
      <c r="Z137" s="102"/>
      <c r="AA137" s="102"/>
      <c r="AB137" s="102"/>
      <c r="AC137" s="71"/>
      <c r="AD137" s="101"/>
      <c r="AE137" s="101"/>
      <c r="AF137" s="102"/>
      <c r="AG137" s="102"/>
      <c r="AH137" s="102"/>
      <c r="AI137" s="101"/>
      <c r="AJ137" s="88"/>
      <c r="AK137" s="88"/>
      <c r="AM137" s="71"/>
      <c r="AN137" s="101"/>
      <c r="AO137" s="101"/>
      <c r="AP137" s="101"/>
      <c r="AQ137" s="101"/>
      <c r="AR137" s="103"/>
      <c r="AS137" s="103"/>
      <c r="AT137" s="103"/>
      <c r="AU137" s="103"/>
      <c r="AV137" s="103"/>
      <c r="BA137" s="103"/>
      <c r="BF137" s="103"/>
      <c r="BG137" s="103"/>
      <c r="BH137" s="103"/>
      <c r="CK137" s="103"/>
      <c r="CL137" s="103"/>
      <c r="CM137" s="103"/>
      <c r="CN137" s="103"/>
      <c r="CO137" s="103"/>
      <c r="CP137" s="103"/>
      <c r="CQ137" s="103"/>
      <c r="CR137" s="103"/>
      <c r="CS137" s="103"/>
      <c r="CT137" s="103"/>
      <c r="DH137" s="103"/>
      <c r="DI137" s="103"/>
      <c r="DJ137" s="103"/>
      <c r="DK137" s="103"/>
      <c r="DL137" s="103"/>
      <c r="DM137" s="103"/>
      <c r="DN137" s="103"/>
      <c r="DO137" s="103"/>
      <c r="DP137" s="103"/>
      <c r="DQ137" s="103"/>
    </row>
    <row r="138" spans="1:121" s="90" customFormat="1" x14ac:dyDescent="0.25">
      <c r="A138" s="71"/>
      <c r="B138" s="71"/>
      <c r="C138" s="71"/>
      <c r="D138" s="71"/>
      <c r="E138" s="71"/>
      <c r="F138" s="101"/>
      <c r="G138" s="101"/>
      <c r="H138" s="71"/>
      <c r="I138" s="71"/>
      <c r="J138" s="71"/>
      <c r="K138" s="101"/>
      <c r="L138" s="101"/>
      <c r="M138" s="101"/>
      <c r="N138" s="71"/>
      <c r="O138" s="71"/>
      <c r="P138" s="71"/>
      <c r="Q138" s="71"/>
      <c r="R138" s="101"/>
      <c r="S138" s="101"/>
      <c r="T138" s="71"/>
      <c r="U138" s="101"/>
      <c r="V138" s="101"/>
      <c r="W138" s="102"/>
      <c r="X138" s="102"/>
      <c r="Y138" s="102"/>
      <c r="Z138" s="102"/>
      <c r="AA138" s="102"/>
      <c r="AB138" s="102"/>
      <c r="AC138" s="71"/>
      <c r="AD138" s="101"/>
      <c r="AE138" s="101"/>
      <c r="AF138" s="102"/>
      <c r="AG138" s="102"/>
      <c r="AH138" s="102"/>
      <c r="AI138" s="101"/>
      <c r="AJ138" s="88"/>
      <c r="AK138" s="88"/>
      <c r="AM138" s="71"/>
      <c r="AN138" s="101"/>
      <c r="AO138" s="101"/>
      <c r="AP138" s="101"/>
      <c r="AQ138" s="101"/>
      <c r="AR138" s="103"/>
      <c r="AS138" s="103"/>
      <c r="AT138" s="103"/>
      <c r="AU138" s="103"/>
      <c r="AV138" s="103"/>
      <c r="BA138" s="103"/>
      <c r="BF138" s="103"/>
      <c r="BG138" s="103"/>
      <c r="BH138" s="103"/>
      <c r="CK138" s="103"/>
      <c r="CL138" s="103"/>
      <c r="CM138" s="103"/>
      <c r="CN138" s="103"/>
      <c r="CO138" s="103"/>
      <c r="CP138" s="103"/>
      <c r="CQ138" s="103"/>
      <c r="CR138" s="103"/>
      <c r="CS138" s="103"/>
      <c r="CT138" s="103"/>
      <c r="DH138" s="103"/>
      <c r="DI138" s="103"/>
      <c r="DJ138" s="103"/>
      <c r="DK138" s="103"/>
      <c r="DL138" s="103"/>
      <c r="DM138" s="103"/>
      <c r="DN138" s="103"/>
      <c r="DO138" s="103"/>
      <c r="DP138" s="103"/>
      <c r="DQ138" s="103"/>
    </row>
    <row r="139" spans="1:121" s="90" customFormat="1" x14ac:dyDescent="0.25">
      <c r="A139" s="71"/>
      <c r="B139" s="71"/>
      <c r="C139" s="71"/>
      <c r="D139" s="71"/>
      <c r="E139" s="71"/>
      <c r="F139" s="101"/>
      <c r="G139" s="101"/>
      <c r="H139" s="71"/>
      <c r="I139" s="71"/>
      <c r="J139" s="71"/>
      <c r="K139" s="101"/>
      <c r="L139" s="101"/>
      <c r="M139" s="101"/>
      <c r="N139" s="71"/>
      <c r="O139" s="71"/>
      <c r="P139" s="71"/>
      <c r="Q139" s="71"/>
      <c r="R139" s="101"/>
      <c r="S139" s="101"/>
      <c r="T139" s="71"/>
      <c r="U139" s="101"/>
      <c r="V139" s="101"/>
      <c r="W139" s="102"/>
      <c r="X139" s="102"/>
      <c r="Y139" s="102"/>
      <c r="Z139" s="102"/>
      <c r="AA139" s="102"/>
      <c r="AB139" s="102"/>
      <c r="AC139" s="71"/>
      <c r="AD139" s="101"/>
      <c r="AE139" s="101"/>
      <c r="AF139" s="102"/>
      <c r="AG139" s="102"/>
      <c r="AH139" s="102"/>
      <c r="AI139" s="101"/>
      <c r="AJ139" s="88"/>
      <c r="AK139" s="88"/>
      <c r="AM139" s="71"/>
      <c r="AN139" s="101"/>
      <c r="AO139" s="101"/>
      <c r="AP139" s="101"/>
      <c r="AQ139" s="101"/>
      <c r="AR139" s="103"/>
      <c r="AS139" s="103"/>
      <c r="AT139" s="103"/>
      <c r="AU139" s="103"/>
      <c r="AV139" s="103"/>
      <c r="BA139" s="103"/>
      <c r="BF139" s="103"/>
      <c r="BG139" s="103"/>
      <c r="BH139" s="103"/>
      <c r="CK139" s="103"/>
      <c r="CL139" s="103"/>
      <c r="CM139" s="103"/>
      <c r="CN139" s="103"/>
      <c r="CO139" s="103"/>
      <c r="CP139" s="103"/>
      <c r="CQ139" s="103"/>
      <c r="CR139" s="103"/>
      <c r="CS139" s="103"/>
      <c r="CT139" s="103"/>
      <c r="DH139" s="103"/>
      <c r="DI139" s="103"/>
      <c r="DJ139" s="103"/>
      <c r="DK139" s="103"/>
      <c r="DL139" s="103"/>
      <c r="DM139" s="103"/>
      <c r="DN139" s="103"/>
      <c r="DO139" s="103"/>
      <c r="DP139" s="103"/>
      <c r="DQ139" s="103"/>
    </row>
    <row r="140" spans="1:121" s="90" customFormat="1" x14ac:dyDescent="0.25">
      <c r="A140" s="71"/>
      <c r="B140" s="71"/>
      <c r="C140" s="71"/>
      <c r="D140" s="71"/>
      <c r="E140" s="71"/>
      <c r="F140" s="101"/>
      <c r="G140" s="101"/>
      <c r="H140" s="71"/>
      <c r="I140" s="71"/>
      <c r="J140" s="71"/>
      <c r="K140" s="101"/>
      <c r="L140" s="101"/>
      <c r="M140" s="101"/>
      <c r="N140" s="71"/>
      <c r="O140" s="71"/>
      <c r="P140" s="71"/>
      <c r="Q140" s="71"/>
      <c r="R140" s="101"/>
      <c r="S140" s="101"/>
      <c r="T140" s="71"/>
      <c r="U140" s="101"/>
      <c r="V140" s="101"/>
      <c r="W140" s="102"/>
      <c r="X140" s="102"/>
      <c r="Y140" s="102"/>
      <c r="Z140" s="102"/>
      <c r="AA140" s="102"/>
      <c r="AB140" s="102"/>
      <c r="AC140" s="71"/>
      <c r="AD140" s="101"/>
      <c r="AE140" s="101"/>
      <c r="AF140" s="102"/>
      <c r="AG140" s="102"/>
      <c r="AH140" s="102"/>
      <c r="AI140" s="101"/>
      <c r="AJ140" s="88"/>
      <c r="AK140" s="88"/>
      <c r="AM140" s="71"/>
      <c r="AN140" s="101"/>
      <c r="AO140" s="101"/>
      <c r="AP140" s="101"/>
      <c r="AQ140" s="101"/>
      <c r="AR140" s="103"/>
      <c r="AS140" s="103"/>
      <c r="AT140" s="103"/>
      <c r="AU140" s="103"/>
      <c r="AV140" s="103"/>
      <c r="BA140" s="103"/>
      <c r="BF140" s="103"/>
      <c r="BG140" s="103"/>
      <c r="BH140" s="103"/>
      <c r="CK140" s="103"/>
      <c r="CL140" s="103"/>
      <c r="CM140" s="103"/>
      <c r="CN140" s="103"/>
      <c r="CO140" s="103"/>
      <c r="CP140" s="103"/>
      <c r="CQ140" s="103"/>
      <c r="CR140" s="103"/>
      <c r="CS140" s="103"/>
      <c r="CT140" s="103"/>
      <c r="DH140" s="103"/>
      <c r="DI140" s="103"/>
      <c r="DJ140" s="103"/>
      <c r="DK140" s="103"/>
      <c r="DL140" s="103"/>
      <c r="DM140" s="103"/>
      <c r="DN140" s="103"/>
      <c r="DO140" s="103"/>
      <c r="DP140" s="103"/>
      <c r="DQ140" s="103"/>
    </row>
    <row r="141" spans="1:121" s="90" customFormat="1" x14ac:dyDescent="0.25">
      <c r="A141" s="71"/>
      <c r="B141" s="71"/>
      <c r="C141" s="71"/>
      <c r="D141" s="71"/>
      <c r="E141" s="71"/>
      <c r="F141" s="101"/>
      <c r="G141" s="101"/>
      <c r="H141" s="71"/>
      <c r="I141" s="71"/>
      <c r="J141" s="71"/>
      <c r="K141" s="101"/>
      <c r="L141" s="101"/>
      <c r="M141" s="101"/>
      <c r="N141" s="71"/>
      <c r="O141" s="71"/>
      <c r="P141" s="71"/>
      <c r="Q141" s="71"/>
      <c r="R141" s="101"/>
      <c r="S141" s="101"/>
      <c r="T141" s="71"/>
      <c r="U141" s="101"/>
      <c r="V141" s="101"/>
      <c r="W141" s="102"/>
      <c r="X141" s="102"/>
      <c r="Y141" s="102"/>
      <c r="Z141" s="102"/>
      <c r="AA141" s="102"/>
      <c r="AB141" s="102"/>
      <c r="AC141" s="71"/>
      <c r="AD141" s="101"/>
      <c r="AE141" s="101"/>
      <c r="AF141" s="102"/>
      <c r="AG141" s="102"/>
      <c r="AH141" s="102"/>
      <c r="AI141" s="101"/>
      <c r="AJ141" s="88"/>
      <c r="AK141" s="88"/>
      <c r="AM141" s="71"/>
      <c r="AN141" s="101"/>
      <c r="AO141" s="101"/>
      <c r="AP141" s="101"/>
      <c r="AQ141" s="101"/>
      <c r="AR141" s="103"/>
      <c r="AS141" s="103"/>
      <c r="AT141" s="103"/>
      <c r="AU141" s="103"/>
      <c r="AV141" s="103"/>
      <c r="BA141" s="103"/>
      <c r="BF141" s="103"/>
      <c r="BG141" s="103"/>
      <c r="BH141" s="103"/>
      <c r="CK141" s="103"/>
      <c r="CL141" s="103"/>
      <c r="CM141" s="103"/>
      <c r="CN141" s="103"/>
      <c r="CO141" s="103"/>
      <c r="CP141" s="103"/>
      <c r="CQ141" s="103"/>
      <c r="CR141" s="103"/>
      <c r="CS141" s="103"/>
      <c r="CT141" s="103"/>
      <c r="DH141" s="103"/>
      <c r="DI141" s="103"/>
      <c r="DJ141" s="103"/>
      <c r="DK141" s="103"/>
      <c r="DL141" s="103"/>
      <c r="DM141" s="103"/>
      <c r="DN141" s="103"/>
      <c r="DO141" s="103"/>
      <c r="DP141" s="103"/>
      <c r="DQ141" s="103"/>
    </row>
    <row r="142" spans="1:121" s="90" customFormat="1" x14ac:dyDescent="0.25">
      <c r="A142" s="71"/>
      <c r="B142" s="71"/>
      <c r="C142" s="71"/>
      <c r="D142" s="71"/>
      <c r="E142" s="71"/>
      <c r="F142" s="101"/>
      <c r="G142" s="101"/>
      <c r="H142" s="71"/>
      <c r="I142" s="71"/>
      <c r="J142" s="71"/>
      <c r="K142" s="101"/>
      <c r="L142" s="101"/>
      <c r="M142" s="101"/>
      <c r="N142" s="71"/>
      <c r="O142" s="71"/>
      <c r="P142" s="71"/>
      <c r="Q142" s="71"/>
      <c r="R142" s="101"/>
      <c r="S142" s="101"/>
      <c r="T142" s="71"/>
      <c r="U142" s="101"/>
      <c r="V142" s="101"/>
      <c r="W142" s="102"/>
      <c r="X142" s="102"/>
      <c r="Y142" s="102"/>
      <c r="Z142" s="102"/>
      <c r="AA142" s="102"/>
      <c r="AB142" s="102"/>
      <c r="AC142" s="71"/>
      <c r="AD142" s="101"/>
      <c r="AE142" s="101"/>
      <c r="AF142" s="102"/>
      <c r="AG142" s="102"/>
      <c r="AH142" s="102"/>
      <c r="AI142" s="101"/>
      <c r="AJ142" s="88"/>
      <c r="AK142" s="88"/>
      <c r="AM142" s="71"/>
      <c r="AN142" s="101"/>
      <c r="AO142" s="101"/>
      <c r="AP142" s="101"/>
      <c r="AQ142" s="101"/>
      <c r="AR142" s="103"/>
      <c r="AS142" s="103"/>
      <c r="AT142" s="103"/>
      <c r="AU142" s="103"/>
      <c r="AV142" s="103"/>
      <c r="BA142" s="103"/>
      <c r="BF142" s="103"/>
      <c r="BG142" s="103"/>
      <c r="BH142" s="103"/>
      <c r="CK142" s="103"/>
      <c r="CL142" s="103"/>
      <c r="CM142" s="103"/>
      <c r="CN142" s="103"/>
      <c r="CO142" s="103"/>
      <c r="CP142" s="103"/>
      <c r="CQ142" s="103"/>
      <c r="CR142" s="103"/>
      <c r="CS142" s="103"/>
      <c r="CT142" s="103"/>
      <c r="DH142" s="103"/>
      <c r="DI142" s="103"/>
      <c r="DJ142" s="103"/>
      <c r="DK142" s="103"/>
      <c r="DL142" s="103"/>
      <c r="DM142" s="103"/>
      <c r="DN142" s="103"/>
      <c r="DO142" s="103"/>
      <c r="DP142" s="103"/>
      <c r="DQ142" s="103"/>
    </row>
    <row r="143" spans="1:121" s="90" customFormat="1" x14ac:dyDescent="0.25">
      <c r="A143" s="71"/>
      <c r="B143" s="71"/>
      <c r="C143" s="71"/>
      <c r="D143" s="71"/>
      <c r="E143" s="71"/>
      <c r="F143" s="101"/>
      <c r="G143" s="101"/>
      <c r="H143" s="71"/>
      <c r="I143" s="71"/>
      <c r="J143" s="71"/>
      <c r="K143" s="101"/>
      <c r="L143" s="101"/>
      <c r="M143" s="101"/>
      <c r="N143" s="71"/>
      <c r="O143" s="71"/>
      <c r="P143" s="71"/>
      <c r="Q143" s="71"/>
      <c r="R143" s="101"/>
      <c r="S143" s="101"/>
      <c r="T143" s="71"/>
      <c r="U143" s="101"/>
      <c r="V143" s="101"/>
      <c r="W143" s="102"/>
      <c r="X143" s="102"/>
      <c r="Y143" s="102"/>
      <c r="Z143" s="102"/>
      <c r="AA143" s="102"/>
      <c r="AB143" s="102"/>
      <c r="AC143" s="71"/>
      <c r="AD143" s="101"/>
      <c r="AE143" s="101"/>
      <c r="AF143" s="102"/>
      <c r="AG143" s="102"/>
      <c r="AH143" s="102"/>
      <c r="AI143" s="101"/>
      <c r="AJ143" s="88"/>
      <c r="AK143" s="88"/>
      <c r="AM143" s="71"/>
      <c r="AN143" s="101"/>
      <c r="AO143" s="101"/>
      <c r="AP143" s="101"/>
      <c r="AQ143" s="101"/>
      <c r="AR143" s="103"/>
      <c r="AS143" s="103"/>
      <c r="AT143" s="103"/>
      <c r="AU143" s="103"/>
      <c r="AV143" s="103"/>
      <c r="BA143" s="103"/>
      <c r="BF143" s="103"/>
      <c r="BG143" s="103"/>
      <c r="BH143" s="103"/>
      <c r="CK143" s="103"/>
      <c r="CL143" s="103"/>
      <c r="CM143" s="103"/>
      <c r="CN143" s="103"/>
      <c r="CO143" s="103"/>
      <c r="CP143" s="103"/>
      <c r="CQ143" s="103"/>
      <c r="CR143" s="103"/>
      <c r="CS143" s="103"/>
      <c r="CT143" s="103"/>
      <c r="DH143" s="103"/>
      <c r="DI143" s="103"/>
      <c r="DJ143" s="103"/>
      <c r="DK143" s="103"/>
      <c r="DL143" s="103"/>
      <c r="DM143" s="103"/>
      <c r="DN143" s="103"/>
      <c r="DO143" s="103"/>
      <c r="DP143" s="103"/>
      <c r="DQ143" s="103"/>
    </row>
    <row r="144" spans="1:121" s="90" customFormat="1" x14ac:dyDescent="0.25">
      <c r="A144" s="71"/>
      <c r="B144" s="71"/>
      <c r="C144" s="71"/>
      <c r="D144" s="71"/>
      <c r="E144" s="71"/>
      <c r="F144" s="101"/>
      <c r="G144" s="101"/>
      <c r="H144" s="71"/>
      <c r="I144" s="71"/>
      <c r="J144" s="71"/>
      <c r="K144" s="101"/>
      <c r="L144" s="101"/>
      <c r="M144" s="101"/>
      <c r="N144" s="71"/>
      <c r="O144" s="71"/>
      <c r="P144" s="71"/>
      <c r="Q144" s="71"/>
      <c r="R144" s="101"/>
      <c r="S144" s="101"/>
      <c r="T144" s="71"/>
      <c r="U144" s="101"/>
      <c r="V144" s="101"/>
      <c r="W144" s="102"/>
      <c r="X144" s="102"/>
      <c r="Y144" s="102"/>
      <c r="Z144" s="102"/>
      <c r="AA144" s="102"/>
      <c r="AB144" s="102"/>
      <c r="AC144" s="71"/>
      <c r="AD144" s="101"/>
      <c r="AE144" s="101"/>
      <c r="AF144" s="102"/>
      <c r="AG144" s="102"/>
      <c r="AH144" s="102"/>
      <c r="AI144" s="101"/>
      <c r="AJ144" s="88"/>
      <c r="AK144" s="88"/>
      <c r="AM144" s="71"/>
      <c r="AN144" s="101"/>
      <c r="AO144" s="101"/>
      <c r="AP144" s="101"/>
      <c r="AQ144" s="101"/>
      <c r="AR144" s="103"/>
      <c r="AS144" s="103"/>
      <c r="AT144" s="103"/>
      <c r="AU144" s="103"/>
      <c r="AV144" s="103"/>
      <c r="BA144" s="103"/>
      <c r="BF144" s="103"/>
      <c r="BG144" s="103"/>
      <c r="BH144" s="103"/>
      <c r="CK144" s="103"/>
      <c r="CL144" s="103"/>
      <c r="CM144" s="103"/>
      <c r="CN144" s="103"/>
      <c r="CO144" s="103"/>
      <c r="CP144" s="103"/>
      <c r="CQ144" s="103"/>
      <c r="CR144" s="103"/>
      <c r="CS144" s="103"/>
      <c r="CT144" s="103"/>
      <c r="DH144" s="103"/>
      <c r="DI144" s="103"/>
      <c r="DJ144" s="103"/>
      <c r="DK144" s="103"/>
      <c r="DL144" s="103"/>
      <c r="DM144" s="103"/>
      <c r="DN144" s="103"/>
      <c r="DO144" s="103"/>
      <c r="DP144" s="103"/>
      <c r="DQ144" s="103"/>
    </row>
    <row r="145" spans="1:121" s="90" customFormat="1" x14ac:dyDescent="0.25">
      <c r="A145" s="71"/>
      <c r="B145" s="71"/>
      <c r="C145" s="71"/>
      <c r="D145" s="71"/>
      <c r="E145" s="71"/>
      <c r="F145" s="101"/>
      <c r="G145" s="101"/>
      <c r="H145" s="71"/>
      <c r="I145" s="71"/>
      <c r="J145" s="71"/>
      <c r="K145" s="101"/>
      <c r="L145" s="101"/>
      <c r="M145" s="101"/>
      <c r="N145" s="71"/>
      <c r="O145" s="71"/>
      <c r="P145" s="71"/>
      <c r="Q145" s="71"/>
      <c r="R145" s="101"/>
      <c r="S145" s="101"/>
      <c r="T145" s="71"/>
      <c r="U145" s="101"/>
      <c r="V145" s="101"/>
      <c r="W145" s="102"/>
      <c r="X145" s="102"/>
      <c r="Y145" s="102"/>
      <c r="Z145" s="102"/>
      <c r="AA145" s="102"/>
      <c r="AB145" s="102"/>
      <c r="AC145" s="71"/>
      <c r="AD145" s="101"/>
      <c r="AE145" s="101"/>
      <c r="AF145" s="102"/>
      <c r="AG145" s="102"/>
      <c r="AH145" s="102"/>
      <c r="AI145" s="101"/>
      <c r="AJ145" s="88"/>
      <c r="AK145" s="88"/>
      <c r="AM145" s="71"/>
      <c r="AN145" s="101"/>
      <c r="AO145" s="101"/>
      <c r="AP145" s="101"/>
      <c r="AQ145" s="101"/>
      <c r="AR145" s="103"/>
      <c r="AS145" s="103"/>
      <c r="AT145" s="103"/>
      <c r="AU145" s="103"/>
      <c r="AV145" s="103"/>
      <c r="BA145" s="103"/>
      <c r="BF145" s="103"/>
      <c r="BG145" s="103"/>
      <c r="BH145" s="103"/>
      <c r="CK145" s="103"/>
      <c r="CL145" s="103"/>
      <c r="CM145" s="103"/>
      <c r="CN145" s="103"/>
      <c r="CO145" s="103"/>
      <c r="CP145" s="103"/>
      <c r="CQ145" s="103"/>
      <c r="CR145" s="103"/>
      <c r="CS145" s="103"/>
      <c r="CT145" s="103"/>
      <c r="DH145" s="103"/>
      <c r="DI145" s="103"/>
      <c r="DJ145" s="103"/>
      <c r="DK145" s="103"/>
      <c r="DL145" s="103"/>
      <c r="DM145" s="103"/>
      <c r="DN145" s="103"/>
      <c r="DO145" s="103"/>
      <c r="DP145" s="103"/>
      <c r="DQ145" s="103"/>
    </row>
    <row r="146" spans="1:121" s="90" customFormat="1" x14ac:dyDescent="0.25">
      <c r="A146" s="71"/>
      <c r="B146" s="71"/>
      <c r="C146" s="71"/>
      <c r="D146" s="71"/>
      <c r="E146" s="71"/>
      <c r="F146" s="101"/>
      <c r="G146" s="101"/>
      <c r="H146" s="71"/>
      <c r="I146" s="71"/>
      <c r="J146" s="71"/>
      <c r="K146" s="101"/>
      <c r="L146" s="101"/>
      <c r="M146" s="101"/>
      <c r="N146" s="71"/>
      <c r="O146" s="71"/>
      <c r="P146" s="71"/>
      <c r="Q146" s="71"/>
      <c r="R146" s="101"/>
      <c r="S146" s="101"/>
      <c r="T146" s="71"/>
      <c r="U146" s="101"/>
      <c r="V146" s="101"/>
      <c r="W146" s="102"/>
      <c r="X146" s="102"/>
      <c r="Y146" s="102"/>
      <c r="Z146" s="102"/>
      <c r="AA146" s="102"/>
      <c r="AB146" s="102"/>
      <c r="AC146" s="71"/>
      <c r="AD146" s="101"/>
      <c r="AE146" s="101"/>
      <c r="AF146" s="102"/>
      <c r="AG146" s="102"/>
      <c r="AH146" s="102"/>
      <c r="AI146" s="101"/>
      <c r="AJ146" s="88"/>
      <c r="AK146" s="88"/>
      <c r="AM146" s="71"/>
      <c r="AN146" s="101"/>
      <c r="AO146" s="101"/>
      <c r="AP146" s="101"/>
      <c r="AQ146" s="101"/>
      <c r="AR146" s="103"/>
      <c r="AS146" s="103"/>
      <c r="AT146" s="103"/>
      <c r="AU146" s="103"/>
      <c r="AV146" s="103"/>
      <c r="BA146" s="103"/>
      <c r="BF146" s="103"/>
      <c r="BG146" s="103"/>
      <c r="BH146" s="103"/>
      <c r="CK146" s="103"/>
      <c r="CL146" s="103"/>
      <c r="CM146" s="103"/>
      <c r="CN146" s="103"/>
      <c r="CO146" s="103"/>
      <c r="CP146" s="103"/>
      <c r="CQ146" s="103"/>
      <c r="CR146" s="103"/>
      <c r="CS146" s="103"/>
      <c r="CT146" s="103"/>
      <c r="DH146" s="103"/>
      <c r="DI146" s="103"/>
      <c r="DJ146" s="103"/>
      <c r="DK146" s="103"/>
      <c r="DL146" s="103"/>
      <c r="DM146" s="103"/>
      <c r="DN146" s="103"/>
      <c r="DO146" s="103"/>
      <c r="DP146" s="103"/>
      <c r="DQ146" s="103"/>
    </row>
    <row r="147" spans="1:121" s="90" customFormat="1" x14ac:dyDescent="0.25">
      <c r="A147" s="71"/>
      <c r="B147" s="71"/>
      <c r="C147" s="71"/>
      <c r="D147" s="71"/>
      <c r="E147" s="71"/>
      <c r="F147" s="101"/>
      <c r="G147" s="101"/>
      <c r="H147" s="71"/>
      <c r="I147" s="71"/>
      <c r="J147" s="71"/>
      <c r="K147" s="101"/>
      <c r="L147" s="101"/>
      <c r="M147" s="101"/>
      <c r="N147" s="71"/>
      <c r="O147" s="71"/>
      <c r="P147" s="71"/>
      <c r="Q147" s="71"/>
      <c r="R147" s="101"/>
      <c r="S147" s="101"/>
      <c r="T147" s="71"/>
      <c r="U147" s="101"/>
      <c r="V147" s="101"/>
      <c r="W147" s="102"/>
      <c r="X147" s="102"/>
      <c r="Y147" s="102"/>
      <c r="Z147" s="102"/>
      <c r="AA147" s="102"/>
      <c r="AB147" s="102"/>
      <c r="AC147" s="71"/>
      <c r="AD147" s="101"/>
      <c r="AE147" s="101"/>
      <c r="AF147" s="102"/>
      <c r="AG147" s="102"/>
      <c r="AH147" s="102"/>
      <c r="AI147" s="101"/>
      <c r="AJ147" s="88"/>
      <c r="AK147" s="88"/>
      <c r="AM147" s="71"/>
      <c r="AN147" s="101"/>
      <c r="AO147" s="101"/>
      <c r="AP147" s="101"/>
      <c r="AQ147" s="101"/>
      <c r="AR147" s="103"/>
      <c r="AS147" s="103"/>
      <c r="AT147" s="103"/>
      <c r="AU147" s="103"/>
      <c r="AV147" s="103"/>
      <c r="BA147" s="103"/>
      <c r="BF147" s="103"/>
      <c r="BG147" s="103"/>
      <c r="BH147" s="103"/>
      <c r="CK147" s="103"/>
      <c r="CL147" s="103"/>
      <c r="CM147" s="103"/>
      <c r="CN147" s="103"/>
      <c r="CO147" s="103"/>
      <c r="CP147" s="103"/>
      <c r="CQ147" s="103"/>
      <c r="CR147" s="103"/>
      <c r="CS147" s="103"/>
      <c r="CT147" s="103"/>
      <c r="DH147" s="103"/>
      <c r="DI147" s="103"/>
      <c r="DJ147" s="103"/>
      <c r="DK147" s="103"/>
      <c r="DL147" s="103"/>
      <c r="DM147" s="103"/>
      <c r="DN147" s="103"/>
      <c r="DO147" s="103"/>
      <c r="DP147" s="103"/>
      <c r="DQ147" s="103"/>
    </row>
    <row r="148" spans="1:121" s="90" customFormat="1" x14ac:dyDescent="0.25">
      <c r="A148" s="71"/>
      <c r="B148" s="71"/>
      <c r="C148" s="71"/>
      <c r="D148" s="71"/>
      <c r="E148" s="71"/>
      <c r="F148" s="101"/>
      <c r="G148" s="101"/>
      <c r="H148" s="71"/>
      <c r="I148" s="71"/>
      <c r="J148" s="71"/>
      <c r="K148" s="101"/>
      <c r="L148" s="101"/>
      <c r="M148" s="101"/>
      <c r="N148" s="71"/>
      <c r="O148" s="71"/>
      <c r="P148" s="71"/>
      <c r="Q148" s="71"/>
      <c r="R148" s="101"/>
      <c r="S148" s="101"/>
      <c r="T148" s="71"/>
      <c r="U148" s="101"/>
      <c r="V148" s="101"/>
      <c r="W148" s="102"/>
      <c r="X148" s="102"/>
      <c r="Y148" s="102"/>
      <c r="Z148" s="102"/>
      <c r="AA148" s="102"/>
      <c r="AB148" s="102"/>
      <c r="AC148" s="71"/>
      <c r="AD148" s="101"/>
      <c r="AE148" s="101"/>
      <c r="AF148" s="102"/>
      <c r="AG148" s="102"/>
      <c r="AH148" s="102"/>
      <c r="AI148" s="101"/>
      <c r="AJ148" s="88"/>
      <c r="AK148" s="88"/>
      <c r="AM148" s="71"/>
      <c r="AN148" s="101"/>
      <c r="AO148" s="101"/>
      <c r="AP148" s="101"/>
      <c r="AQ148" s="101"/>
      <c r="AR148" s="103"/>
      <c r="AS148" s="103"/>
      <c r="AT148" s="103"/>
      <c r="AU148" s="103"/>
      <c r="AV148" s="103"/>
      <c r="BA148" s="103"/>
      <c r="BF148" s="103"/>
      <c r="BG148" s="103"/>
      <c r="BH148" s="103"/>
      <c r="CK148" s="103"/>
      <c r="CL148" s="103"/>
      <c r="CM148" s="103"/>
      <c r="CN148" s="103"/>
      <c r="CO148" s="103"/>
      <c r="CP148" s="103"/>
      <c r="CQ148" s="103"/>
      <c r="CR148" s="103"/>
      <c r="CS148" s="103"/>
      <c r="CT148" s="103"/>
      <c r="DH148" s="103"/>
      <c r="DI148" s="103"/>
      <c r="DJ148" s="103"/>
      <c r="DK148" s="103"/>
      <c r="DL148" s="103"/>
      <c r="DM148" s="103"/>
      <c r="DN148" s="103"/>
      <c r="DO148" s="103"/>
      <c r="DP148" s="103"/>
      <c r="DQ148" s="103"/>
    </row>
    <row r="149" spans="1:121" s="90" customFormat="1" x14ac:dyDescent="0.25">
      <c r="A149" s="71"/>
      <c r="B149" s="71"/>
      <c r="C149" s="71"/>
      <c r="D149" s="71"/>
      <c r="E149" s="71"/>
      <c r="F149" s="101"/>
      <c r="G149" s="101"/>
      <c r="H149" s="71"/>
      <c r="I149" s="71"/>
      <c r="J149" s="71"/>
      <c r="K149" s="101"/>
      <c r="L149" s="101"/>
      <c r="M149" s="101"/>
      <c r="N149" s="71"/>
      <c r="O149" s="71"/>
      <c r="P149" s="71"/>
      <c r="Q149" s="71"/>
      <c r="R149" s="101"/>
      <c r="S149" s="101"/>
      <c r="T149" s="71"/>
      <c r="U149" s="101"/>
      <c r="V149" s="101"/>
      <c r="W149" s="102"/>
      <c r="X149" s="102"/>
      <c r="Y149" s="102"/>
      <c r="Z149" s="102"/>
      <c r="AA149" s="102"/>
      <c r="AB149" s="102"/>
      <c r="AC149" s="71"/>
      <c r="AD149" s="101"/>
      <c r="AE149" s="101"/>
      <c r="AF149" s="102"/>
      <c r="AG149" s="102"/>
      <c r="AH149" s="102"/>
      <c r="AI149" s="101"/>
      <c r="AJ149" s="88"/>
      <c r="AK149" s="88"/>
      <c r="AM149" s="71"/>
      <c r="AN149" s="101"/>
      <c r="AO149" s="101"/>
      <c r="AP149" s="101"/>
      <c r="AQ149" s="101"/>
      <c r="AR149" s="103"/>
      <c r="AS149" s="103"/>
      <c r="AT149" s="103"/>
      <c r="AU149" s="103"/>
      <c r="AV149" s="103"/>
      <c r="BA149" s="103"/>
      <c r="BF149" s="103"/>
      <c r="BG149" s="103"/>
      <c r="BH149" s="103"/>
      <c r="CK149" s="103"/>
      <c r="CL149" s="103"/>
      <c r="CM149" s="103"/>
      <c r="CN149" s="103"/>
      <c r="CO149" s="103"/>
      <c r="CP149" s="103"/>
      <c r="CQ149" s="103"/>
      <c r="CR149" s="103"/>
      <c r="CS149" s="103"/>
      <c r="CT149" s="103"/>
      <c r="DH149" s="103"/>
      <c r="DI149" s="103"/>
      <c r="DJ149" s="103"/>
      <c r="DK149" s="103"/>
      <c r="DL149" s="103"/>
      <c r="DM149" s="103"/>
      <c r="DN149" s="103"/>
      <c r="DO149" s="103"/>
      <c r="DP149" s="103"/>
      <c r="DQ149" s="103"/>
    </row>
    <row r="150" spans="1:121" s="90" customFormat="1" x14ac:dyDescent="0.25">
      <c r="A150" s="71"/>
      <c r="B150" s="71"/>
      <c r="C150" s="71"/>
      <c r="D150" s="71"/>
      <c r="E150" s="71"/>
      <c r="F150" s="101"/>
      <c r="G150" s="101"/>
      <c r="H150" s="71"/>
      <c r="I150" s="71"/>
      <c r="J150" s="71"/>
      <c r="K150" s="101"/>
      <c r="L150" s="101"/>
      <c r="M150" s="101"/>
      <c r="N150" s="71"/>
      <c r="O150" s="71"/>
      <c r="P150" s="71"/>
      <c r="Q150" s="71"/>
      <c r="R150" s="101"/>
      <c r="S150" s="101"/>
      <c r="T150" s="71"/>
      <c r="U150" s="101"/>
      <c r="V150" s="101"/>
      <c r="W150" s="102"/>
      <c r="X150" s="102"/>
      <c r="Y150" s="102"/>
      <c r="Z150" s="102"/>
      <c r="AA150" s="102"/>
      <c r="AB150" s="102"/>
      <c r="AC150" s="71"/>
      <c r="AD150" s="101"/>
      <c r="AE150" s="101"/>
      <c r="AF150" s="102"/>
      <c r="AG150" s="102"/>
      <c r="AH150" s="102"/>
      <c r="AI150" s="101"/>
      <c r="AJ150" s="88"/>
      <c r="AK150" s="88"/>
      <c r="AM150" s="71"/>
      <c r="AN150" s="101"/>
      <c r="AO150" s="101"/>
      <c r="AP150" s="101"/>
      <c r="AQ150" s="101"/>
      <c r="AR150" s="103"/>
      <c r="AS150" s="103"/>
      <c r="AT150" s="103"/>
      <c r="AU150" s="103"/>
      <c r="AV150" s="103"/>
      <c r="BA150" s="103"/>
      <c r="BF150" s="103"/>
      <c r="BG150" s="103"/>
      <c r="BH150" s="103"/>
      <c r="CK150" s="103"/>
      <c r="CL150" s="103"/>
      <c r="CM150" s="103"/>
      <c r="CN150" s="103"/>
      <c r="CO150" s="103"/>
      <c r="CP150" s="103"/>
      <c r="CQ150" s="103"/>
      <c r="CR150" s="103"/>
      <c r="CS150" s="103"/>
      <c r="CT150" s="103"/>
      <c r="DH150" s="103"/>
      <c r="DI150" s="103"/>
      <c r="DJ150" s="103"/>
      <c r="DK150" s="103"/>
      <c r="DL150" s="103"/>
      <c r="DM150" s="103"/>
      <c r="DN150" s="103"/>
      <c r="DO150" s="103"/>
      <c r="DP150" s="103"/>
      <c r="DQ150" s="103"/>
    </row>
    <row r="151" spans="1:121" s="90" customFormat="1" x14ac:dyDescent="0.25">
      <c r="A151" s="71"/>
      <c r="B151" s="71"/>
      <c r="C151" s="71"/>
      <c r="D151" s="71"/>
      <c r="E151" s="71"/>
      <c r="F151" s="101"/>
      <c r="G151" s="101"/>
      <c r="H151" s="71"/>
      <c r="I151" s="71"/>
      <c r="J151" s="71"/>
      <c r="K151" s="101"/>
      <c r="L151" s="101"/>
      <c r="M151" s="101"/>
      <c r="N151" s="71"/>
      <c r="O151" s="71"/>
      <c r="P151" s="71"/>
      <c r="Q151" s="71"/>
      <c r="R151" s="101"/>
      <c r="S151" s="101"/>
      <c r="T151" s="71"/>
      <c r="U151" s="101"/>
      <c r="V151" s="101"/>
      <c r="W151" s="102"/>
      <c r="X151" s="102"/>
      <c r="Y151" s="102"/>
      <c r="Z151" s="102"/>
      <c r="AA151" s="102"/>
      <c r="AB151" s="102"/>
      <c r="AC151" s="71"/>
      <c r="AD151" s="101"/>
      <c r="AE151" s="101"/>
      <c r="AF151" s="102"/>
      <c r="AG151" s="102"/>
      <c r="AH151" s="102"/>
      <c r="AI151" s="101"/>
      <c r="AJ151" s="88"/>
      <c r="AK151" s="88"/>
      <c r="AM151" s="71"/>
      <c r="AN151" s="101"/>
      <c r="AO151" s="101"/>
      <c r="AP151" s="101"/>
      <c r="AQ151" s="101"/>
      <c r="AR151" s="103"/>
      <c r="AS151" s="103"/>
      <c r="AT151" s="103"/>
      <c r="AU151" s="103"/>
      <c r="AV151" s="103"/>
      <c r="BA151" s="103"/>
      <c r="BF151" s="103"/>
      <c r="BG151" s="103"/>
      <c r="BH151" s="103"/>
      <c r="CK151" s="103"/>
      <c r="CL151" s="103"/>
      <c r="CM151" s="103"/>
      <c r="CN151" s="103"/>
      <c r="CO151" s="103"/>
      <c r="CP151" s="103"/>
      <c r="CQ151" s="103"/>
      <c r="CR151" s="103"/>
      <c r="CS151" s="103"/>
      <c r="CT151" s="103"/>
      <c r="DH151" s="103"/>
      <c r="DI151" s="103"/>
      <c r="DJ151" s="103"/>
      <c r="DK151" s="103"/>
      <c r="DL151" s="103"/>
      <c r="DM151" s="103"/>
      <c r="DN151" s="103"/>
      <c r="DO151" s="103"/>
      <c r="DP151" s="103"/>
      <c r="DQ151" s="103"/>
    </row>
    <row r="152" spans="1:121" s="90" customFormat="1" x14ac:dyDescent="0.25">
      <c r="A152" s="71"/>
      <c r="B152" s="71"/>
      <c r="C152" s="71"/>
      <c r="D152" s="71"/>
      <c r="E152" s="71"/>
      <c r="F152" s="101"/>
      <c r="G152" s="101"/>
      <c r="H152" s="71"/>
      <c r="I152" s="71"/>
      <c r="J152" s="71"/>
      <c r="K152" s="101"/>
      <c r="L152" s="101"/>
      <c r="M152" s="101"/>
      <c r="N152" s="71"/>
      <c r="O152" s="71"/>
      <c r="P152" s="71"/>
      <c r="Q152" s="71"/>
      <c r="R152" s="101"/>
      <c r="S152" s="101"/>
      <c r="T152" s="71"/>
      <c r="U152" s="101"/>
      <c r="V152" s="101"/>
      <c r="W152" s="102"/>
      <c r="X152" s="102"/>
      <c r="Y152" s="102"/>
      <c r="Z152" s="102"/>
      <c r="AA152" s="102"/>
      <c r="AB152" s="102"/>
      <c r="AC152" s="71"/>
      <c r="AD152" s="101"/>
      <c r="AE152" s="101"/>
      <c r="AF152" s="102"/>
      <c r="AG152" s="102"/>
      <c r="AH152" s="102"/>
      <c r="AI152" s="101"/>
      <c r="AJ152" s="88"/>
      <c r="AK152" s="88"/>
      <c r="AM152" s="71"/>
      <c r="AN152" s="101"/>
      <c r="AO152" s="101"/>
      <c r="AP152" s="101"/>
      <c r="AQ152" s="101"/>
      <c r="AR152" s="103"/>
      <c r="AS152" s="103"/>
      <c r="AT152" s="103"/>
      <c r="AU152" s="103"/>
      <c r="AV152" s="103"/>
      <c r="BA152" s="103"/>
      <c r="BF152" s="103"/>
      <c r="BG152" s="103"/>
      <c r="BH152" s="103"/>
      <c r="CK152" s="103"/>
      <c r="CL152" s="103"/>
      <c r="CM152" s="103"/>
      <c r="CN152" s="103"/>
      <c r="CO152" s="103"/>
      <c r="CP152" s="103"/>
      <c r="CQ152" s="103"/>
      <c r="CR152" s="103"/>
      <c r="CS152" s="103"/>
      <c r="CT152" s="103"/>
      <c r="DH152" s="103"/>
      <c r="DI152" s="103"/>
      <c r="DJ152" s="103"/>
      <c r="DK152" s="103"/>
      <c r="DL152" s="103"/>
      <c r="DM152" s="103"/>
      <c r="DN152" s="103"/>
      <c r="DO152" s="103"/>
      <c r="DP152" s="103"/>
      <c r="DQ152" s="103"/>
    </row>
    <row r="153" spans="1:121" s="90" customFormat="1" x14ac:dyDescent="0.25">
      <c r="A153" s="71"/>
      <c r="B153" s="71"/>
      <c r="C153" s="71"/>
      <c r="D153" s="71"/>
      <c r="E153" s="71"/>
      <c r="F153" s="101"/>
      <c r="G153" s="101"/>
      <c r="H153" s="71"/>
      <c r="I153" s="71"/>
      <c r="J153" s="71"/>
      <c r="K153" s="101"/>
      <c r="L153" s="101"/>
      <c r="M153" s="101"/>
      <c r="N153" s="71"/>
      <c r="O153" s="71"/>
      <c r="P153" s="71"/>
      <c r="Q153" s="71"/>
      <c r="R153" s="101"/>
      <c r="S153" s="101"/>
      <c r="T153" s="71"/>
      <c r="U153" s="101"/>
      <c r="V153" s="101"/>
      <c r="W153" s="102"/>
      <c r="X153" s="102"/>
      <c r="Y153" s="102"/>
      <c r="Z153" s="102"/>
      <c r="AA153" s="102"/>
      <c r="AB153" s="102"/>
      <c r="AC153" s="71"/>
      <c r="AD153" s="101"/>
      <c r="AE153" s="101"/>
      <c r="AF153" s="102"/>
      <c r="AG153" s="102"/>
      <c r="AH153" s="102"/>
      <c r="AI153" s="101"/>
      <c r="AJ153" s="88"/>
      <c r="AK153" s="88"/>
      <c r="AM153" s="71"/>
      <c r="AN153" s="101"/>
      <c r="AO153" s="101"/>
      <c r="AP153" s="101"/>
      <c r="AQ153" s="101"/>
      <c r="AR153" s="103"/>
      <c r="AS153" s="103"/>
      <c r="AT153" s="103"/>
      <c r="AU153" s="103"/>
      <c r="AV153" s="103"/>
      <c r="BA153" s="103"/>
      <c r="BF153" s="103"/>
      <c r="BG153" s="103"/>
      <c r="BH153" s="103"/>
      <c r="CK153" s="103"/>
      <c r="CL153" s="103"/>
      <c r="CM153" s="103"/>
      <c r="CN153" s="103"/>
      <c r="CO153" s="103"/>
      <c r="CP153" s="103"/>
      <c r="CQ153" s="103"/>
      <c r="CR153" s="103"/>
      <c r="CS153" s="103"/>
      <c r="CT153" s="103"/>
      <c r="DH153" s="103"/>
      <c r="DI153" s="103"/>
      <c r="DJ153" s="103"/>
      <c r="DK153" s="103"/>
      <c r="DL153" s="103"/>
      <c r="DM153" s="103"/>
      <c r="DN153" s="103"/>
      <c r="DO153" s="103"/>
      <c r="DP153" s="103"/>
      <c r="DQ153" s="103"/>
    </row>
    <row r="154" spans="1:121" s="90" customFormat="1" x14ac:dyDescent="0.25">
      <c r="A154" s="71"/>
      <c r="B154" s="71"/>
      <c r="C154" s="71"/>
      <c r="D154" s="71"/>
      <c r="E154" s="71"/>
      <c r="F154" s="101"/>
      <c r="G154" s="101"/>
      <c r="H154" s="71"/>
      <c r="I154" s="71"/>
      <c r="J154" s="71"/>
      <c r="K154" s="101"/>
      <c r="L154" s="101"/>
      <c r="M154" s="101"/>
      <c r="N154" s="71"/>
      <c r="O154" s="71"/>
      <c r="P154" s="71"/>
      <c r="Q154" s="71"/>
      <c r="R154" s="101"/>
      <c r="S154" s="101"/>
      <c r="T154" s="71"/>
      <c r="U154" s="101"/>
      <c r="V154" s="101"/>
      <c r="W154" s="102"/>
      <c r="X154" s="102"/>
      <c r="Y154" s="102"/>
      <c r="Z154" s="102"/>
      <c r="AA154" s="102"/>
      <c r="AB154" s="102"/>
      <c r="AC154" s="71"/>
      <c r="AD154" s="101"/>
      <c r="AE154" s="101"/>
      <c r="AF154" s="102"/>
      <c r="AG154" s="102"/>
      <c r="AH154" s="102"/>
      <c r="AI154" s="101"/>
      <c r="AJ154" s="88"/>
      <c r="AK154" s="88"/>
      <c r="AM154" s="71"/>
      <c r="AN154" s="101"/>
      <c r="AO154" s="101"/>
      <c r="AP154" s="101"/>
      <c r="AQ154" s="101"/>
      <c r="AR154" s="103"/>
      <c r="AS154" s="103"/>
      <c r="AT154" s="103"/>
      <c r="AU154" s="103"/>
      <c r="AV154" s="103"/>
      <c r="BA154" s="103"/>
      <c r="BF154" s="103"/>
      <c r="BG154" s="103"/>
      <c r="BH154" s="103"/>
      <c r="CK154" s="103"/>
      <c r="CL154" s="103"/>
      <c r="CM154" s="103"/>
      <c r="CN154" s="103"/>
      <c r="CO154" s="103"/>
      <c r="CP154" s="103"/>
      <c r="CQ154" s="103"/>
      <c r="CR154" s="103"/>
      <c r="CS154" s="103"/>
      <c r="CT154" s="103"/>
      <c r="DH154" s="103"/>
      <c r="DI154" s="103"/>
      <c r="DJ154" s="103"/>
      <c r="DK154" s="103"/>
      <c r="DL154" s="103"/>
      <c r="DM154" s="103"/>
      <c r="DN154" s="103"/>
      <c r="DO154" s="103"/>
      <c r="DP154" s="103"/>
      <c r="DQ154" s="103"/>
    </row>
    <row r="155" spans="1:121" s="90" customFormat="1" x14ac:dyDescent="0.25">
      <c r="A155" s="71"/>
      <c r="B155" s="71"/>
      <c r="C155" s="71"/>
      <c r="D155" s="71"/>
      <c r="E155" s="71"/>
      <c r="F155" s="101"/>
      <c r="G155" s="101"/>
      <c r="H155" s="71"/>
      <c r="I155" s="71"/>
      <c r="J155" s="71"/>
      <c r="K155" s="101"/>
      <c r="L155" s="101"/>
      <c r="M155" s="101"/>
      <c r="N155" s="71"/>
      <c r="O155" s="71"/>
      <c r="P155" s="71"/>
      <c r="Q155" s="71"/>
      <c r="R155" s="101"/>
      <c r="S155" s="101"/>
      <c r="T155" s="71"/>
      <c r="U155" s="101"/>
      <c r="V155" s="101"/>
      <c r="W155" s="102"/>
      <c r="X155" s="102"/>
      <c r="Y155" s="102"/>
      <c r="Z155" s="102"/>
      <c r="AA155" s="102"/>
      <c r="AB155" s="102"/>
      <c r="AC155" s="71"/>
      <c r="AD155" s="101"/>
      <c r="AE155" s="101"/>
      <c r="AF155" s="102"/>
      <c r="AG155" s="102"/>
      <c r="AH155" s="102"/>
      <c r="AI155" s="101"/>
      <c r="AJ155" s="88"/>
      <c r="AK155" s="88"/>
      <c r="AM155" s="71"/>
      <c r="AN155" s="101"/>
      <c r="AO155" s="101"/>
      <c r="AP155" s="101"/>
      <c r="AQ155" s="101"/>
      <c r="AR155" s="103"/>
      <c r="AS155" s="103"/>
      <c r="AT155" s="103"/>
      <c r="AU155" s="103"/>
      <c r="AV155" s="103"/>
      <c r="BA155" s="103"/>
      <c r="BF155" s="103"/>
      <c r="BG155" s="103"/>
      <c r="BH155" s="103"/>
      <c r="CK155" s="103"/>
      <c r="CL155" s="103"/>
      <c r="CM155" s="103"/>
      <c r="CN155" s="103"/>
      <c r="CO155" s="103"/>
      <c r="CP155" s="103"/>
      <c r="CQ155" s="103"/>
      <c r="CR155" s="103"/>
      <c r="CS155" s="103"/>
      <c r="CT155" s="103"/>
      <c r="DH155" s="103"/>
      <c r="DI155" s="103"/>
      <c r="DJ155" s="103"/>
      <c r="DK155" s="103"/>
      <c r="DL155" s="103"/>
      <c r="DM155" s="103"/>
      <c r="DN155" s="103"/>
      <c r="DO155" s="103"/>
      <c r="DP155" s="103"/>
      <c r="DQ155" s="103"/>
    </row>
    <row r="156" spans="1:121" s="90" customFormat="1" x14ac:dyDescent="0.25">
      <c r="A156" s="71"/>
      <c r="B156" s="71"/>
      <c r="C156" s="71"/>
      <c r="D156" s="71"/>
      <c r="E156" s="71"/>
      <c r="F156" s="101"/>
      <c r="G156" s="101"/>
      <c r="H156" s="71"/>
      <c r="I156" s="71"/>
      <c r="J156" s="71"/>
      <c r="K156" s="101"/>
      <c r="L156" s="101"/>
      <c r="M156" s="101"/>
      <c r="N156" s="71"/>
      <c r="O156" s="71"/>
      <c r="P156" s="71"/>
      <c r="Q156" s="71"/>
      <c r="R156" s="101"/>
      <c r="S156" s="101"/>
      <c r="T156" s="71"/>
      <c r="U156" s="101"/>
      <c r="V156" s="101"/>
      <c r="W156" s="102"/>
      <c r="X156" s="102"/>
      <c r="Y156" s="102"/>
      <c r="Z156" s="102"/>
      <c r="AA156" s="102"/>
      <c r="AB156" s="102"/>
      <c r="AC156" s="71"/>
      <c r="AD156" s="101"/>
      <c r="AE156" s="101"/>
      <c r="AF156" s="102"/>
      <c r="AG156" s="102"/>
      <c r="AH156" s="102"/>
      <c r="AI156" s="101"/>
      <c r="AJ156" s="88"/>
      <c r="AK156" s="88"/>
      <c r="AM156" s="71"/>
      <c r="AN156" s="101"/>
      <c r="AO156" s="101"/>
      <c r="AP156" s="101"/>
      <c r="AQ156" s="101"/>
      <c r="AR156" s="103"/>
      <c r="AS156" s="103"/>
      <c r="AT156" s="103"/>
      <c r="AU156" s="103"/>
      <c r="AV156" s="103"/>
      <c r="BA156" s="103"/>
      <c r="BF156" s="103"/>
      <c r="BG156" s="103"/>
      <c r="BH156" s="103"/>
      <c r="CK156" s="103"/>
      <c r="CL156" s="103"/>
      <c r="CM156" s="103"/>
      <c r="CN156" s="103"/>
      <c r="CO156" s="103"/>
      <c r="CP156" s="103"/>
      <c r="CQ156" s="103"/>
      <c r="CR156" s="103"/>
      <c r="CS156" s="103"/>
      <c r="CT156" s="103"/>
      <c r="DH156" s="103"/>
      <c r="DI156" s="103"/>
      <c r="DJ156" s="103"/>
      <c r="DK156" s="103"/>
      <c r="DL156" s="103"/>
      <c r="DM156" s="103"/>
      <c r="DN156" s="103"/>
      <c r="DO156" s="103"/>
      <c r="DP156" s="103"/>
      <c r="DQ156" s="103"/>
    </row>
    <row r="157" spans="1:121" s="90" customFormat="1" x14ac:dyDescent="0.25">
      <c r="A157" s="71"/>
      <c r="B157" s="71"/>
      <c r="C157" s="71"/>
      <c r="D157" s="71"/>
      <c r="E157" s="71"/>
      <c r="F157" s="101"/>
      <c r="G157" s="101"/>
      <c r="H157" s="71"/>
      <c r="I157" s="71"/>
      <c r="J157" s="71"/>
      <c r="K157" s="101"/>
      <c r="L157" s="101"/>
      <c r="M157" s="101"/>
      <c r="N157" s="71"/>
      <c r="O157" s="71"/>
      <c r="P157" s="71"/>
      <c r="Q157" s="71"/>
      <c r="R157" s="101"/>
      <c r="S157" s="101"/>
      <c r="T157" s="71"/>
      <c r="U157" s="101"/>
      <c r="V157" s="101"/>
      <c r="W157" s="102"/>
      <c r="X157" s="102"/>
      <c r="Y157" s="102"/>
      <c r="Z157" s="102"/>
      <c r="AA157" s="102"/>
      <c r="AB157" s="102"/>
      <c r="AC157" s="71"/>
      <c r="AD157" s="101"/>
      <c r="AE157" s="101"/>
      <c r="AF157" s="102"/>
      <c r="AG157" s="102"/>
      <c r="AH157" s="102"/>
      <c r="AI157" s="101"/>
      <c r="AJ157" s="88"/>
      <c r="AK157" s="88"/>
      <c r="AM157" s="71"/>
      <c r="AN157" s="101"/>
      <c r="AO157" s="101"/>
      <c r="AP157" s="101"/>
      <c r="AQ157" s="101"/>
      <c r="AR157" s="103"/>
      <c r="AS157" s="103"/>
      <c r="AT157" s="103"/>
      <c r="AU157" s="103"/>
      <c r="AV157" s="103"/>
      <c r="BA157" s="103"/>
      <c r="BF157" s="103"/>
      <c r="BG157" s="103"/>
      <c r="BH157" s="103"/>
      <c r="CK157" s="103"/>
      <c r="CL157" s="103"/>
      <c r="CM157" s="103"/>
      <c r="CN157" s="103"/>
      <c r="CO157" s="103"/>
      <c r="CP157" s="103"/>
      <c r="CQ157" s="103"/>
      <c r="CR157" s="103"/>
      <c r="CS157" s="103"/>
      <c r="CT157" s="103"/>
      <c r="DH157" s="103"/>
      <c r="DI157" s="103"/>
      <c r="DJ157" s="103"/>
      <c r="DK157" s="103"/>
      <c r="DL157" s="103"/>
      <c r="DM157" s="103"/>
      <c r="DN157" s="103"/>
      <c r="DO157" s="103"/>
      <c r="DP157" s="103"/>
      <c r="DQ157" s="103"/>
    </row>
    <row r="158" spans="1:121" s="90" customFormat="1" x14ac:dyDescent="0.25">
      <c r="A158" s="71"/>
      <c r="B158" s="71"/>
      <c r="C158" s="71"/>
      <c r="D158" s="71"/>
      <c r="E158" s="71"/>
      <c r="F158" s="101"/>
      <c r="G158" s="101"/>
      <c r="H158" s="71"/>
      <c r="I158" s="71"/>
      <c r="J158" s="71"/>
      <c r="K158" s="101"/>
      <c r="L158" s="101"/>
      <c r="M158" s="101"/>
      <c r="N158" s="71"/>
      <c r="O158" s="71"/>
      <c r="P158" s="71"/>
      <c r="Q158" s="71"/>
      <c r="R158" s="101"/>
      <c r="S158" s="101"/>
      <c r="T158" s="71"/>
      <c r="U158" s="101"/>
      <c r="V158" s="101"/>
      <c r="W158" s="102"/>
      <c r="X158" s="102"/>
      <c r="Y158" s="102"/>
      <c r="Z158" s="102"/>
      <c r="AA158" s="102"/>
      <c r="AB158" s="102"/>
      <c r="AC158" s="71"/>
      <c r="AD158" s="101"/>
      <c r="AE158" s="101"/>
      <c r="AF158" s="102"/>
      <c r="AG158" s="102"/>
      <c r="AH158" s="102"/>
      <c r="AI158" s="101"/>
      <c r="AJ158" s="88"/>
      <c r="AK158" s="88"/>
      <c r="AM158" s="71"/>
      <c r="AN158" s="101"/>
      <c r="AO158" s="101"/>
      <c r="AP158" s="101"/>
      <c r="AQ158" s="101"/>
      <c r="AR158" s="103"/>
      <c r="AS158" s="103"/>
      <c r="AT158" s="103"/>
      <c r="AU158" s="103"/>
      <c r="AV158" s="103"/>
      <c r="BA158" s="103"/>
      <c r="BF158" s="103"/>
      <c r="BG158" s="103"/>
      <c r="BH158" s="103"/>
      <c r="CK158" s="103"/>
      <c r="CL158" s="103"/>
      <c r="CM158" s="103"/>
      <c r="CN158" s="103"/>
      <c r="CO158" s="103"/>
      <c r="CP158" s="103"/>
      <c r="CQ158" s="103"/>
      <c r="CR158" s="103"/>
      <c r="CS158" s="103"/>
      <c r="CT158" s="103"/>
      <c r="DH158" s="103"/>
      <c r="DI158" s="103"/>
      <c r="DJ158" s="103"/>
      <c r="DK158" s="103"/>
      <c r="DL158" s="103"/>
      <c r="DM158" s="103"/>
      <c r="DN158" s="103"/>
      <c r="DO158" s="103"/>
      <c r="DP158" s="103"/>
      <c r="DQ158" s="103"/>
    </row>
    <row r="159" spans="1:121" s="90" customFormat="1" x14ac:dyDescent="0.25">
      <c r="A159" s="71"/>
      <c r="B159" s="71"/>
      <c r="C159" s="71"/>
      <c r="D159" s="71"/>
      <c r="E159" s="71"/>
      <c r="F159" s="101"/>
      <c r="G159" s="101"/>
      <c r="H159" s="71"/>
      <c r="I159" s="71"/>
      <c r="J159" s="71"/>
      <c r="K159" s="101"/>
      <c r="L159" s="101"/>
      <c r="M159" s="101"/>
      <c r="N159" s="71"/>
      <c r="O159" s="71"/>
      <c r="P159" s="71"/>
      <c r="Q159" s="71"/>
      <c r="R159" s="101"/>
      <c r="S159" s="101"/>
      <c r="T159" s="71"/>
      <c r="U159" s="101"/>
      <c r="V159" s="101"/>
      <c r="W159" s="102"/>
      <c r="X159" s="102"/>
      <c r="Y159" s="102"/>
      <c r="Z159" s="102"/>
      <c r="AA159" s="102"/>
      <c r="AB159" s="102"/>
      <c r="AC159" s="71"/>
      <c r="AD159" s="101"/>
      <c r="AE159" s="101"/>
      <c r="AF159" s="102"/>
      <c r="AG159" s="102"/>
      <c r="AH159" s="102"/>
      <c r="AI159" s="101"/>
      <c r="AJ159" s="88"/>
      <c r="AK159" s="88"/>
      <c r="AM159" s="71"/>
      <c r="AN159" s="101"/>
      <c r="AO159" s="101"/>
      <c r="AP159" s="101"/>
      <c r="AQ159" s="101"/>
      <c r="AR159" s="103"/>
      <c r="AS159" s="103"/>
      <c r="AT159" s="103"/>
      <c r="AU159" s="103"/>
      <c r="AV159" s="103"/>
      <c r="BA159" s="103"/>
      <c r="BF159" s="103"/>
      <c r="BG159" s="103"/>
      <c r="BH159" s="103"/>
      <c r="CK159" s="103"/>
      <c r="CL159" s="103"/>
      <c r="CM159" s="103"/>
      <c r="CN159" s="103"/>
      <c r="CO159" s="103"/>
      <c r="CP159" s="103"/>
      <c r="CQ159" s="103"/>
      <c r="CR159" s="103"/>
      <c r="CS159" s="103"/>
      <c r="CT159" s="103"/>
      <c r="DH159" s="103"/>
      <c r="DI159" s="103"/>
      <c r="DJ159" s="103"/>
      <c r="DK159" s="103"/>
      <c r="DL159" s="103"/>
      <c r="DM159" s="103"/>
      <c r="DN159" s="103"/>
      <c r="DO159" s="103"/>
      <c r="DP159" s="103"/>
      <c r="DQ159" s="103"/>
    </row>
    <row r="160" spans="1:121" s="90" customFormat="1" x14ac:dyDescent="0.25">
      <c r="A160" s="71"/>
      <c r="B160" s="71"/>
      <c r="C160" s="71"/>
      <c r="D160" s="71"/>
      <c r="E160" s="71"/>
      <c r="F160" s="101"/>
      <c r="G160" s="101"/>
      <c r="H160" s="71"/>
      <c r="I160" s="71"/>
      <c r="J160" s="71"/>
      <c r="K160" s="101"/>
      <c r="L160" s="101"/>
      <c r="M160" s="101"/>
      <c r="N160" s="71"/>
      <c r="O160" s="71"/>
      <c r="P160" s="71"/>
      <c r="Q160" s="71"/>
      <c r="R160" s="101"/>
      <c r="S160" s="101"/>
      <c r="T160" s="71"/>
      <c r="U160" s="101"/>
      <c r="V160" s="101"/>
      <c r="W160" s="102"/>
      <c r="X160" s="102"/>
      <c r="Y160" s="102"/>
      <c r="Z160" s="102"/>
      <c r="AA160" s="102"/>
      <c r="AB160" s="102"/>
      <c r="AC160" s="71"/>
      <c r="AD160" s="101"/>
      <c r="AE160" s="101"/>
      <c r="AF160" s="102"/>
      <c r="AG160" s="102"/>
      <c r="AH160" s="102"/>
      <c r="AI160" s="101"/>
      <c r="AJ160" s="88"/>
      <c r="AK160" s="88"/>
      <c r="AM160" s="71"/>
      <c r="AN160" s="101"/>
      <c r="AO160" s="101"/>
      <c r="AP160" s="101"/>
      <c r="AQ160" s="101"/>
      <c r="AR160" s="103"/>
      <c r="AS160" s="103"/>
      <c r="AT160" s="103"/>
      <c r="AU160" s="103"/>
      <c r="AV160" s="103"/>
      <c r="BA160" s="103"/>
      <c r="BF160" s="103"/>
      <c r="BG160" s="103"/>
      <c r="BH160" s="103"/>
      <c r="CK160" s="103"/>
      <c r="CL160" s="103"/>
      <c r="CM160" s="103"/>
      <c r="CN160" s="103"/>
      <c r="CO160" s="103"/>
      <c r="CP160" s="103"/>
      <c r="CQ160" s="103"/>
      <c r="CR160" s="103"/>
      <c r="CS160" s="103"/>
      <c r="CT160" s="103"/>
      <c r="DH160" s="103"/>
      <c r="DI160" s="103"/>
      <c r="DJ160" s="103"/>
      <c r="DK160" s="103"/>
      <c r="DL160" s="103"/>
      <c r="DM160" s="103"/>
      <c r="DN160" s="103"/>
      <c r="DO160" s="103"/>
      <c r="DP160" s="103"/>
      <c r="DQ160" s="103"/>
    </row>
    <row r="161" spans="1:121" s="90" customFormat="1" x14ac:dyDescent="0.25">
      <c r="A161" s="71"/>
      <c r="B161" s="71"/>
      <c r="C161" s="71"/>
      <c r="D161" s="71"/>
      <c r="E161" s="71"/>
      <c r="F161" s="101"/>
      <c r="G161" s="101"/>
      <c r="H161" s="71"/>
      <c r="I161" s="71"/>
      <c r="J161" s="71"/>
      <c r="K161" s="101"/>
      <c r="L161" s="101"/>
      <c r="M161" s="101"/>
      <c r="N161" s="71"/>
      <c r="O161" s="71"/>
      <c r="P161" s="71"/>
      <c r="Q161" s="71"/>
      <c r="R161" s="101"/>
      <c r="S161" s="101"/>
      <c r="T161" s="71"/>
      <c r="U161" s="101"/>
      <c r="V161" s="101"/>
      <c r="W161" s="102"/>
      <c r="X161" s="102"/>
      <c r="Y161" s="102"/>
      <c r="Z161" s="102"/>
      <c r="AA161" s="102"/>
      <c r="AB161" s="102"/>
      <c r="AC161" s="71"/>
      <c r="AD161" s="101"/>
      <c r="AE161" s="101"/>
      <c r="AF161" s="102"/>
      <c r="AG161" s="102"/>
      <c r="AH161" s="102"/>
      <c r="AI161" s="101"/>
      <c r="AJ161" s="88"/>
      <c r="AK161" s="88"/>
      <c r="AM161" s="71"/>
      <c r="AN161" s="101"/>
      <c r="AO161" s="101"/>
      <c r="AP161" s="101"/>
      <c r="AQ161" s="101"/>
      <c r="AR161" s="103"/>
      <c r="AS161" s="103"/>
      <c r="AT161" s="103"/>
      <c r="AU161" s="103"/>
      <c r="AV161" s="103"/>
      <c r="BA161" s="103"/>
      <c r="BF161" s="103"/>
      <c r="BG161" s="103"/>
      <c r="BH161" s="103"/>
      <c r="CK161" s="103"/>
      <c r="CL161" s="103"/>
      <c r="CM161" s="103"/>
      <c r="CN161" s="103"/>
      <c r="CO161" s="103"/>
      <c r="CP161" s="103"/>
      <c r="CQ161" s="103"/>
      <c r="CR161" s="103"/>
      <c r="CS161" s="103"/>
      <c r="CT161" s="103"/>
      <c r="DH161" s="103"/>
      <c r="DI161" s="103"/>
      <c r="DJ161" s="103"/>
      <c r="DK161" s="103"/>
      <c r="DL161" s="103"/>
      <c r="DM161" s="103"/>
      <c r="DN161" s="103"/>
      <c r="DO161" s="103"/>
      <c r="DP161" s="103"/>
      <c r="DQ161" s="103"/>
    </row>
    <row r="162" spans="1:121" s="90" customFormat="1" x14ac:dyDescent="0.25">
      <c r="A162" s="71"/>
      <c r="B162" s="71"/>
      <c r="C162" s="71"/>
      <c r="D162" s="71"/>
      <c r="E162" s="71"/>
      <c r="F162" s="101"/>
      <c r="G162" s="101"/>
      <c r="H162" s="71"/>
      <c r="I162" s="71"/>
      <c r="J162" s="71"/>
      <c r="K162" s="101"/>
      <c r="L162" s="101"/>
      <c r="M162" s="101"/>
      <c r="N162" s="71"/>
      <c r="O162" s="71"/>
      <c r="P162" s="71"/>
      <c r="Q162" s="71"/>
      <c r="R162" s="101"/>
      <c r="S162" s="101"/>
      <c r="T162" s="71"/>
      <c r="U162" s="101"/>
      <c r="V162" s="101"/>
      <c r="W162" s="102"/>
      <c r="X162" s="102"/>
      <c r="Y162" s="102"/>
      <c r="Z162" s="102"/>
      <c r="AA162" s="102"/>
      <c r="AB162" s="102"/>
      <c r="AC162" s="71"/>
      <c r="AD162" s="101"/>
      <c r="AE162" s="101"/>
      <c r="AF162" s="102"/>
      <c r="AG162" s="102"/>
      <c r="AH162" s="102"/>
      <c r="AI162" s="101"/>
      <c r="AJ162" s="88"/>
      <c r="AK162" s="88"/>
      <c r="AM162" s="71"/>
      <c r="AN162" s="101"/>
      <c r="AO162" s="101"/>
      <c r="AP162" s="101"/>
      <c r="AQ162" s="101"/>
      <c r="AR162" s="103"/>
      <c r="AS162" s="103"/>
      <c r="AT162" s="103"/>
      <c r="AU162" s="103"/>
      <c r="AV162" s="103"/>
      <c r="BA162" s="103"/>
      <c r="BF162" s="103"/>
      <c r="BG162" s="103"/>
      <c r="BH162" s="103"/>
      <c r="CK162" s="103"/>
      <c r="CL162" s="103"/>
      <c r="CM162" s="103"/>
      <c r="CN162" s="103"/>
      <c r="CO162" s="103"/>
      <c r="CP162" s="103"/>
      <c r="CQ162" s="103"/>
      <c r="CR162" s="103"/>
      <c r="CS162" s="103"/>
      <c r="CT162" s="103"/>
      <c r="DH162" s="103"/>
      <c r="DI162" s="103"/>
      <c r="DJ162" s="103"/>
      <c r="DK162" s="103"/>
      <c r="DL162" s="103"/>
      <c r="DM162" s="103"/>
      <c r="DN162" s="103"/>
      <c r="DO162" s="103"/>
      <c r="DP162" s="103"/>
      <c r="DQ162" s="103"/>
    </row>
    <row r="163" spans="1:121" s="90" customFormat="1" x14ac:dyDescent="0.25">
      <c r="A163" s="71"/>
      <c r="B163" s="71"/>
      <c r="C163" s="71"/>
      <c r="D163" s="71"/>
      <c r="E163" s="71"/>
      <c r="F163" s="101"/>
      <c r="G163" s="101"/>
      <c r="H163" s="71"/>
      <c r="I163" s="71"/>
      <c r="J163" s="71"/>
      <c r="K163" s="101"/>
      <c r="L163" s="101"/>
      <c r="M163" s="101"/>
      <c r="N163" s="71"/>
      <c r="O163" s="71"/>
      <c r="P163" s="71"/>
      <c r="Q163" s="71"/>
      <c r="R163" s="101"/>
      <c r="S163" s="101"/>
      <c r="T163" s="71"/>
      <c r="U163" s="101"/>
      <c r="V163" s="101"/>
      <c r="W163" s="102"/>
      <c r="X163" s="102"/>
      <c r="Y163" s="102"/>
      <c r="Z163" s="102"/>
      <c r="AA163" s="102"/>
      <c r="AB163" s="102"/>
      <c r="AC163" s="71"/>
      <c r="AD163" s="101"/>
      <c r="AE163" s="101"/>
      <c r="AF163" s="102"/>
      <c r="AG163" s="102"/>
      <c r="AH163" s="102"/>
      <c r="AI163" s="101"/>
      <c r="AJ163" s="88"/>
      <c r="AK163" s="88"/>
      <c r="AM163" s="71"/>
      <c r="AN163" s="101"/>
      <c r="AO163" s="101"/>
      <c r="AP163" s="101"/>
      <c r="AQ163" s="101"/>
      <c r="AR163" s="103"/>
      <c r="AS163" s="103"/>
      <c r="AT163" s="103"/>
      <c r="AU163" s="103"/>
      <c r="AV163" s="103"/>
      <c r="BA163" s="103"/>
      <c r="BF163" s="103"/>
      <c r="BG163" s="103"/>
      <c r="BH163" s="103"/>
      <c r="CK163" s="103"/>
      <c r="CL163" s="103"/>
      <c r="CM163" s="103"/>
      <c r="CN163" s="103"/>
      <c r="CO163" s="103"/>
      <c r="CP163" s="103"/>
      <c r="CQ163" s="103"/>
      <c r="CR163" s="103"/>
      <c r="CS163" s="103"/>
      <c r="CT163" s="103"/>
      <c r="DH163" s="103"/>
      <c r="DI163" s="103"/>
      <c r="DJ163" s="103"/>
      <c r="DK163" s="103"/>
      <c r="DL163" s="103"/>
      <c r="DM163" s="103"/>
      <c r="DN163" s="103"/>
      <c r="DO163" s="103"/>
      <c r="DP163" s="103"/>
      <c r="DQ163" s="103"/>
    </row>
    <row r="164" spans="1:121" s="90" customFormat="1" x14ac:dyDescent="0.25">
      <c r="A164" s="71"/>
      <c r="B164" s="71"/>
      <c r="C164" s="71"/>
      <c r="D164" s="71"/>
      <c r="E164" s="71"/>
      <c r="F164" s="101"/>
      <c r="G164" s="101"/>
      <c r="H164" s="71"/>
      <c r="I164" s="71"/>
      <c r="J164" s="71"/>
      <c r="K164" s="101"/>
      <c r="L164" s="101"/>
      <c r="M164" s="101"/>
      <c r="N164" s="71"/>
      <c r="O164" s="71"/>
      <c r="P164" s="71"/>
      <c r="Q164" s="71"/>
      <c r="R164" s="101"/>
      <c r="S164" s="101"/>
      <c r="T164" s="71"/>
      <c r="U164" s="101"/>
      <c r="V164" s="101"/>
      <c r="W164" s="102"/>
      <c r="X164" s="102"/>
      <c r="Y164" s="102"/>
      <c r="Z164" s="102"/>
      <c r="AA164" s="102"/>
      <c r="AB164" s="102"/>
      <c r="AC164" s="71"/>
      <c r="AD164" s="101"/>
      <c r="AE164" s="101"/>
      <c r="AF164" s="102"/>
      <c r="AG164" s="102"/>
      <c r="AH164" s="102"/>
      <c r="AI164" s="101"/>
      <c r="AJ164" s="88"/>
      <c r="AK164" s="88"/>
      <c r="AM164" s="71"/>
      <c r="AN164" s="101"/>
      <c r="AO164" s="101"/>
      <c r="AP164" s="101"/>
      <c r="AQ164" s="101"/>
      <c r="AR164" s="103"/>
      <c r="AS164" s="103"/>
      <c r="AT164" s="103"/>
      <c r="AU164" s="103"/>
      <c r="AV164" s="103"/>
      <c r="BA164" s="103"/>
      <c r="BF164" s="103"/>
      <c r="BG164" s="103"/>
      <c r="BH164" s="103"/>
      <c r="CK164" s="103"/>
      <c r="CL164" s="103"/>
      <c r="CM164" s="103"/>
      <c r="CN164" s="103"/>
      <c r="CO164" s="103"/>
      <c r="CP164" s="103"/>
      <c r="CQ164" s="103"/>
      <c r="CR164" s="103"/>
      <c r="CS164" s="103"/>
      <c r="CT164" s="103"/>
      <c r="DH164" s="103"/>
      <c r="DI164" s="103"/>
      <c r="DJ164" s="103"/>
      <c r="DK164" s="103"/>
      <c r="DL164" s="103"/>
      <c r="DM164" s="103"/>
      <c r="DN164" s="103"/>
      <c r="DO164" s="103"/>
      <c r="DP164" s="103"/>
      <c r="DQ164" s="103"/>
    </row>
    <row r="165" spans="1:121" s="90" customFormat="1" x14ac:dyDescent="0.25">
      <c r="A165" s="71"/>
      <c r="B165" s="71"/>
      <c r="C165" s="71"/>
      <c r="D165" s="71"/>
      <c r="E165" s="71"/>
      <c r="F165" s="101"/>
      <c r="G165" s="101"/>
      <c r="H165" s="71"/>
      <c r="I165" s="71"/>
      <c r="J165" s="71"/>
      <c r="K165" s="101"/>
      <c r="L165" s="101"/>
      <c r="M165" s="101"/>
      <c r="N165" s="71"/>
      <c r="O165" s="71"/>
      <c r="P165" s="71"/>
      <c r="Q165" s="71"/>
      <c r="R165" s="101"/>
      <c r="S165" s="101"/>
      <c r="T165" s="71"/>
      <c r="U165" s="101"/>
      <c r="V165" s="101"/>
      <c r="W165" s="102"/>
      <c r="X165" s="102"/>
      <c r="Y165" s="102"/>
      <c r="Z165" s="102"/>
      <c r="AA165" s="102"/>
      <c r="AB165" s="102"/>
      <c r="AC165" s="71"/>
      <c r="AD165" s="101"/>
      <c r="AE165" s="101"/>
      <c r="AF165" s="102"/>
      <c r="AG165" s="102"/>
      <c r="AH165" s="102"/>
      <c r="AI165" s="101"/>
      <c r="AJ165" s="88"/>
      <c r="AK165" s="88"/>
      <c r="AM165" s="71"/>
      <c r="AN165" s="101"/>
      <c r="AO165" s="101"/>
      <c r="AP165" s="101"/>
      <c r="AQ165" s="101"/>
      <c r="AR165" s="103"/>
      <c r="AS165" s="103"/>
      <c r="AT165" s="103"/>
      <c r="AU165" s="103"/>
      <c r="AV165" s="103"/>
      <c r="BA165" s="103"/>
      <c r="BF165" s="103"/>
      <c r="BG165" s="103"/>
      <c r="BH165" s="103"/>
      <c r="CK165" s="103"/>
      <c r="CL165" s="103"/>
      <c r="CM165" s="103"/>
      <c r="CN165" s="103"/>
      <c r="CO165" s="103"/>
      <c r="CP165" s="103"/>
      <c r="CQ165" s="103"/>
      <c r="CR165" s="103"/>
      <c r="CS165" s="103"/>
      <c r="CT165" s="103"/>
      <c r="DH165" s="103"/>
      <c r="DI165" s="103"/>
      <c r="DJ165" s="103"/>
      <c r="DK165" s="103"/>
      <c r="DL165" s="103"/>
      <c r="DM165" s="103"/>
      <c r="DN165" s="103"/>
      <c r="DO165" s="103"/>
      <c r="DP165" s="103"/>
      <c r="DQ165" s="103"/>
    </row>
    <row r="166" spans="1:121" s="90" customFormat="1" x14ac:dyDescent="0.25">
      <c r="A166" s="71"/>
      <c r="B166" s="71"/>
      <c r="C166" s="71"/>
      <c r="D166" s="71"/>
      <c r="E166" s="71"/>
      <c r="F166" s="101"/>
      <c r="G166" s="101"/>
      <c r="H166" s="71"/>
      <c r="I166" s="71"/>
      <c r="J166" s="71"/>
      <c r="K166" s="101"/>
      <c r="L166" s="101"/>
      <c r="M166" s="101"/>
      <c r="N166" s="71"/>
      <c r="O166" s="71"/>
      <c r="P166" s="71"/>
      <c r="Q166" s="71"/>
      <c r="R166" s="101"/>
      <c r="S166" s="101"/>
      <c r="T166" s="71"/>
      <c r="U166" s="101"/>
      <c r="V166" s="101"/>
      <c r="W166" s="102"/>
      <c r="X166" s="102"/>
      <c r="Y166" s="102"/>
      <c r="Z166" s="102"/>
      <c r="AA166" s="102"/>
      <c r="AB166" s="102"/>
      <c r="AC166" s="71"/>
      <c r="AD166" s="101"/>
      <c r="AE166" s="101"/>
      <c r="AF166" s="102"/>
      <c r="AG166" s="102"/>
      <c r="AH166" s="102"/>
      <c r="AI166" s="101"/>
      <c r="AJ166" s="88"/>
      <c r="AK166" s="88"/>
      <c r="AM166" s="71"/>
      <c r="AN166" s="101"/>
      <c r="AO166" s="101"/>
      <c r="AP166" s="101"/>
      <c r="AQ166" s="101"/>
      <c r="AR166" s="103"/>
      <c r="AS166" s="103"/>
      <c r="AT166" s="103"/>
      <c r="AU166" s="103"/>
      <c r="AV166" s="103"/>
      <c r="BA166" s="103"/>
      <c r="BF166" s="103"/>
      <c r="BG166" s="103"/>
      <c r="BH166" s="103"/>
      <c r="CK166" s="103"/>
      <c r="CL166" s="103"/>
      <c r="CM166" s="103"/>
      <c r="CN166" s="103"/>
      <c r="CO166" s="103"/>
      <c r="CP166" s="103"/>
      <c r="CQ166" s="103"/>
      <c r="CR166" s="103"/>
      <c r="CS166" s="103"/>
      <c r="CT166" s="103"/>
      <c r="DH166" s="103"/>
      <c r="DI166" s="103"/>
      <c r="DJ166" s="103"/>
      <c r="DK166" s="103"/>
      <c r="DL166" s="103"/>
      <c r="DM166" s="103"/>
      <c r="DN166" s="103"/>
      <c r="DO166" s="103"/>
      <c r="DP166" s="103"/>
      <c r="DQ166" s="103"/>
    </row>
    <row r="167" spans="1:121" s="90" customFormat="1" x14ac:dyDescent="0.25">
      <c r="A167" s="71"/>
      <c r="B167" s="71"/>
      <c r="C167" s="71"/>
      <c r="D167" s="71"/>
      <c r="E167" s="71"/>
      <c r="F167" s="101"/>
      <c r="G167" s="101"/>
      <c r="H167" s="71"/>
      <c r="I167" s="71"/>
      <c r="J167" s="71"/>
      <c r="K167" s="101"/>
      <c r="L167" s="101"/>
      <c r="M167" s="101"/>
      <c r="N167" s="71"/>
      <c r="O167" s="71"/>
      <c r="P167" s="71"/>
      <c r="Q167" s="71"/>
      <c r="R167" s="101"/>
      <c r="S167" s="101"/>
      <c r="T167" s="71"/>
      <c r="U167" s="101"/>
      <c r="V167" s="101"/>
      <c r="W167" s="102"/>
      <c r="X167" s="102"/>
      <c r="Y167" s="102"/>
      <c r="Z167" s="102"/>
      <c r="AA167" s="102"/>
      <c r="AB167" s="102"/>
      <c r="AC167" s="71"/>
      <c r="AD167" s="101"/>
      <c r="AE167" s="101"/>
      <c r="AF167" s="102"/>
      <c r="AG167" s="102"/>
      <c r="AH167" s="102"/>
      <c r="AI167" s="101"/>
      <c r="AJ167" s="88"/>
      <c r="AK167" s="88"/>
      <c r="AM167" s="71"/>
      <c r="AN167" s="101"/>
      <c r="AO167" s="101"/>
      <c r="AP167" s="101"/>
      <c r="AQ167" s="101"/>
      <c r="AR167" s="103"/>
      <c r="AS167" s="103"/>
      <c r="AT167" s="103"/>
      <c r="AU167" s="103"/>
      <c r="AV167" s="103"/>
      <c r="BA167" s="103"/>
      <c r="BF167" s="103"/>
      <c r="BG167" s="103"/>
      <c r="BH167" s="103"/>
      <c r="CK167" s="103"/>
      <c r="CL167" s="103"/>
      <c r="CM167" s="103"/>
      <c r="CN167" s="103"/>
      <c r="CO167" s="103"/>
      <c r="CP167" s="103"/>
      <c r="CQ167" s="103"/>
      <c r="CR167" s="103"/>
      <c r="CS167" s="103"/>
      <c r="CT167" s="103"/>
      <c r="DH167" s="103"/>
      <c r="DI167" s="103"/>
      <c r="DJ167" s="103"/>
      <c r="DK167" s="103"/>
      <c r="DL167" s="103"/>
      <c r="DM167" s="103"/>
      <c r="DN167" s="103"/>
      <c r="DO167" s="103"/>
      <c r="DP167" s="103"/>
      <c r="DQ167" s="103"/>
    </row>
    <row r="168" spans="1:121" s="90" customFormat="1" x14ac:dyDescent="0.25">
      <c r="A168" s="71"/>
      <c r="B168" s="71"/>
      <c r="C168" s="71"/>
      <c r="D168" s="71"/>
      <c r="E168" s="71"/>
      <c r="F168" s="101"/>
      <c r="G168" s="101"/>
      <c r="H168" s="71"/>
      <c r="I168" s="71"/>
      <c r="J168" s="71"/>
      <c r="K168" s="101"/>
      <c r="L168" s="101"/>
      <c r="M168" s="101"/>
      <c r="N168" s="71"/>
      <c r="O168" s="71"/>
      <c r="P168" s="71"/>
      <c r="Q168" s="71"/>
      <c r="R168" s="101"/>
      <c r="S168" s="101"/>
      <c r="T168" s="71"/>
      <c r="U168" s="101"/>
      <c r="V168" s="101"/>
      <c r="W168" s="102"/>
      <c r="X168" s="102"/>
      <c r="Y168" s="102"/>
      <c r="Z168" s="102"/>
      <c r="AA168" s="102"/>
      <c r="AB168" s="102"/>
      <c r="AC168" s="71"/>
      <c r="AD168" s="101"/>
      <c r="AE168" s="101"/>
      <c r="AF168" s="102"/>
      <c r="AG168" s="102"/>
      <c r="AH168" s="102"/>
      <c r="AI168" s="101"/>
      <c r="AJ168" s="88"/>
      <c r="AK168" s="88"/>
      <c r="AM168" s="71"/>
      <c r="AN168" s="101"/>
      <c r="AO168" s="101"/>
      <c r="AP168" s="101"/>
      <c r="AQ168" s="101"/>
      <c r="AR168" s="103"/>
      <c r="AS168" s="103"/>
      <c r="AT168" s="103"/>
      <c r="AU168" s="103"/>
      <c r="AV168" s="103"/>
      <c r="BA168" s="103"/>
      <c r="BF168" s="103"/>
      <c r="BG168" s="103"/>
      <c r="BH168" s="103"/>
      <c r="CK168" s="103"/>
      <c r="CL168" s="103"/>
      <c r="CM168" s="103"/>
      <c r="CN168" s="103"/>
      <c r="CO168" s="103"/>
      <c r="CP168" s="103"/>
      <c r="CQ168" s="103"/>
      <c r="CR168" s="103"/>
      <c r="CS168" s="103"/>
      <c r="CT168" s="103"/>
      <c r="DH168" s="103"/>
      <c r="DI168" s="103"/>
      <c r="DJ168" s="103"/>
      <c r="DK168" s="103"/>
      <c r="DL168" s="103"/>
      <c r="DM168" s="103"/>
      <c r="DN168" s="103"/>
      <c r="DO168" s="103"/>
      <c r="DP168" s="103"/>
      <c r="DQ168" s="103"/>
    </row>
    <row r="169" spans="1:121" s="90" customFormat="1" x14ac:dyDescent="0.25">
      <c r="A169" s="71"/>
      <c r="B169" s="71"/>
      <c r="C169" s="71"/>
      <c r="D169" s="71"/>
      <c r="E169" s="71"/>
      <c r="F169" s="101"/>
      <c r="G169" s="101"/>
      <c r="H169" s="71"/>
      <c r="I169" s="71"/>
      <c r="J169" s="71"/>
      <c r="K169" s="101"/>
      <c r="L169" s="101"/>
      <c r="M169" s="101"/>
      <c r="N169" s="71"/>
      <c r="O169" s="71"/>
      <c r="P169" s="71"/>
      <c r="Q169" s="71"/>
      <c r="R169" s="101"/>
      <c r="S169" s="101"/>
      <c r="T169" s="71"/>
      <c r="U169" s="101"/>
      <c r="V169" s="101"/>
      <c r="W169" s="102"/>
      <c r="X169" s="102"/>
      <c r="Y169" s="102"/>
      <c r="Z169" s="102"/>
      <c r="AA169" s="102"/>
      <c r="AB169" s="102"/>
      <c r="AC169" s="71"/>
      <c r="AD169" s="101"/>
      <c r="AE169" s="101"/>
      <c r="AF169" s="102"/>
      <c r="AG169" s="102"/>
      <c r="AH169" s="102"/>
      <c r="AI169" s="101"/>
      <c r="AJ169" s="88"/>
      <c r="AK169" s="88"/>
      <c r="AM169" s="71"/>
      <c r="AN169" s="101"/>
      <c r="AO169" s="101"/>
      <c r="AP169" s="101"/>
      <c r="AQ169" s="101"/>
      <c r="AR169" s="103"/>
      <c r="AS169" s="103"/>
      <c r="AT169" s="103"/>
      <c r="AU169" s="103"/>
      <c r="AV169" s="103"/>
      <c r="BA169" s="103"/>
      <c r="BF169" s="103"/>
      <c r="BG169" s="103"/>
      <c r="BH169" s="103"/>
      <c r="CK169" s="103"/>
      <c r="CL169" s="103"/>
      <c r="CM169" s="103"/>
      <c r="CN169" s="103"/>
      <c r="CO169" s="103"/>
      <c r="CP169" s="103"/>
      <c r="CQ169" s="103"/>
      <c r="CR169" s="103"/>
      <c r="CS169" s="103"/>
      <c r="CT169" s="103"/>
      <c r="DH169" s="103"/>
      <c r="DI169" s="103"/>
      <c r="DJ169" s="103"/>
      <c r="DK169" s="103"/>
      <c r="DL169" s="103"/>
      <c r="DM169" s="103"/>
      <c r="DN169" s="103"/>
      <c r="DO169" s="103"/>
      <c r="DP169" s="103"/>
      <c r="DQ169" s="103"/>
    </row>
    <row r="170" spans="1:121" s="90" customFormat="1" x14ac:dyDescent="0.25">
      <c r="A170" s="71"/>
      <c r="B170" s="71"/>
      <c r="C170" s="71"/>
      <c r="D170" s="71"/>
      <c r="E170" s="71"/>
      <c r="F170" s="101"/>
      <c r="G170" s="101"/>
      <c r="H170" s="71"/>
      <c r="I170" s="71"/>
      <c r="J170" s="71"/>
      <c r="K170" s="101"/>
      <c r="L170" s="101"/>
      <c r="M170" s="101"/>
      <c r="N170" s="71"/>
      <c r="O170" s="71"/>
      <c r="P170" s="71"/>
      <c r="Q170" s="71"/>
      <c r="R170" s="101"/>
      <c r="S170" s="101"/>
      <c r="T170" s="71"/>
      <c r="U170" s="101"/>
      <c r="V170" s="101"/>
      <c r="W170" s="102"/>
      <c r="X170" s="102"/>
      <c r="Y170" s="102"/>
      <c r="Z170" s="102"/>
      <c r="AA170" s="102"/>
      <c r="AB170" s="102"/>
      <c r="AC170" s="71"/>
      <c r="AD170" s="101"/>
      <c r="AE170" s="101"/>
      <c r="AF170" s="102"/>
      <c r="AG170" s="102"/>
      <c r="AH170" s="102"/>
      <c r="AI170" s="101"/>
      <c r="AJ170" s="88"/>
      <c r="AK170" s="88"/>
      <c r="AM170" s="71"/>
      <c r="AN170" s="101"/>
      <c r="AO170" s="101"/>
      <c r="AP170" s="101"/>
      <c r="AQ170" s="101"/>
      <c r="AR170" s="103"/>
      <c r="AS170" s="103"/>
      <c r="AT170" s="103"/>
      <c r="AU170" s="103"/>
      <c r="AV170" s="103"/>
      <c r="BA170" s="103"/>
      <c r="BF170" s="103"/>
      <c r="BG170" s="103"/>
      <c r="BH170" s="103"/>
      <c r="CK170" s="103"/>
      <c r="CL170" s="103"/>
      <c r="CM170" s="103"/>
      <c r="CN170" s="103"/>
      <c r="CO170" s="103"/>
      <c r="CP170" s="103"/>
      <c r="CQ170" s="103"/>
      <c r="CR170" s="103"/>
      <c r="CS170" s="103"/>
      <c r="CT170" s="103"/>
      <c r="DH170" s="103"/>
      <c r="DI170" s="103"/>
      <c r="DJ170" s="103"/>
      <c r="DK170" s="103"/>
      <c r="DL170" s="103"/>
      <c r="DM170" s="103"/>
      <c r="DN170" s="103"/>
      <c r="DO170" s="103"/>
      <c r="DP170" s="103"/>
      <c r="DQ170" s="103"/>
    </row>
    <row r="171" spans="1:121" s="90" customFormat="1" x14ac:dyDescent="0.25">
      <c r="A171" s="71"/>
      <c r="B171" s="71"/>
      <c r="C171" s="71"/>
      <c r="D171" s="71"/>
      <c r="E171" s="71"/>
      <c r="F171" s="101"/>
      <c r="G171" s="101"/>
      <c r="H171" s="71"/>
      <c r="I171" s="71"/>
      <c r="J171" s="71"/>
      <c r="K171" s="101"/>
      <c r="L171" s="101"/>
      <c r="M171" s="101"/>
      <c r="N171" s="71"/>
      <c r="O171" s="71"/>
      <c r="P171" s="71"/>
      <c r="Q171" s="71"/>
      <c r="R171" s="101"/>
      <c r="S171" s="101"/>
      <c r="T171" s="71"/>
      <c r="U171" s="101"/>
      <c r="V171" s="101"/>
      <c r="W171" s="102"/>
      <c r="X171" s="102"/>
      <c r="Y171" s="102"/>
      <c r="Z171" s="102"/>
      <c r="AA171" s="102"/>
      <c r="AB171" s="102"/>
      <c r="AC171" s="71"/>
      <c r="AD171" s="101"/>
      <c r="AE171" s="101"/>
      <c r="AF171" s="102"/>
      <c r="AG171" s="102"/>
      <c r="AH171" s="102"/>
      <c r="AI171" s="101"/>
      <c r="AJ171" s="88"/>
      <c r="AK171" s="88"/>
      <c r="AM171" s="71"/>
      <c r="AN171" s="101"/>
      <c r="AO171" s="101"/>
      <c r="AP171" s="101"/>
      <c r="AQ171" s="101"/>
      <c r="AR171" s="103"/>
      <c r="AS171" s="103"/>
      <c r="AT171" s="103"/>
      <c r="AU171" s="103"/>
      <c r="AV171" s="103"/>
      <c r="BA171" s="103"/>
      <c r="BF171" s="103"/>
      <c r="BG171" s="103"/>
      <c r="BH171" s="103"/>
      <c r="CK171" s="103"/>
      <c r="CL171" s="103"/>
      <c r="CM171" s="103"/>
      <c r="CN171" s="103"/>
      <c r="CO171" s="103"/>
      <c r="CP171" s="103"/>
      <c r="CQ171" s="103"/>
      <c r="CR171" s="103"/>
      <c r="CS171" s="103"/>
      <c r="CT171" s="103"/>
      <c r="DH171" s="103"/>
      <c r="DI171" s="103"/>
      <c r="DJ171" s="103"/>
      <c r="DK171" s="103"/>
      <c r="DL171" s="103"/>
      <c r="DM171" s="103"/>
      <c r="DN171" s="103"/>
      <c r="DO171" s="103"/>
      <c r="DP171" s="103"/>
      <c r="DQ171" s="103"/>
    </row>
    <row r="172" spans="1:121" s="90" customFormat="1" x14ac:dyDescent="0.25">
      <c r="A172" s="71"/>
      <c r="B172" s="71"/>
      <c r="C172" s="71"/>
      <c r="D172" s="71"/>
      <c r="E172" s="71"/>
      <c r="F172" s="101"/>
      <c r="G172" s="101"/>
      <c r="H172" s="71"/>
      <c r="I172" s="71"/>
      <c r="J172" s="71"/>
      <c r="K172" s="101"/>
      <c r="L172" s="101"/>
      <c r="M172" s="101"/>
      <c r="N172" s="71"/>
      <c r="O172" s="71"/>
      <c r="P172" s="71"/>
      <c r="Q172" s="71"/>
      <c r="R172" s="101"/>
      <c r="S172" s="101"/>
      <c r="T172" s="71"/>
      <c r="U172" s="101"/>
      <c r="V172" s="101"/>
      <c r="W172" s="102"/>
      <c r="X172" s="102"/>
      <c r="Y172" s="102"/>
      <c r="Z172" s="102"/>
      <c r="AA172" s="102"/>
      <c r="AB172" s="102"/>
      <c r="AC172" s="71"/>
      <c r="AD172" s="101"/>
      <c r="AE172" s="101"/>
      <c r="AF172" s="102"/>
      <c r="AG172" s="102"/>
      <c r="AH172" s="102"/>
      <c r="AI172" s="101"/>
      <c r="AJ172" s="88"/>
      <c r="AK172" s="88"/>
      <c r="AM172" s="71"/>
      <c r="AN172" s="101"/>
      <c r="AO172" s="101"/>
      <c r="AP172" s="101"/>
      <c r="AQ172" s="101"/>
      <c r="AR172" s="103"/>
      <c r="AS172" s="103"/>
      <c r="AT172" s="103"/>
      <c r="AU172" s="103"/>
      <c r="AV172" s="103"/>
      <c r="BA172" s="103"/>
      <c r="BF172" s="103"/>
      <c r="BG172" s="103"/>
      <c r="BH172" s="103"/>
      <c r="CK172" s="103"/>
      <c r="CL172" s="103"/>
      <c r="CM172" s="103"/>
      <c r="CN172" s="103"/>
      <c r="CO172" s="103"/>
      <c r="CP172" s="103"/>
      <c r="CQ172" s="103"/>
      <c r="CR172" s="103"/>
      <c r="CS172" s="103"/>
      <c r="CT172" s="103"/>
      <c r="DH172" s="103"/>
      <c r="DI172" s="103"/>
      <c r="DJ172" s="103"/>
      <c r="DK172" s="103"/>
      <c r="DL172" s="103"/>
      <c r="DM172" s="103"/>
      <c r="DN172" s="103"/>
      <c r="DO172" s="103"/>
      <c r="DP172" s="103"/>
      <c r="DQ172" s="103"/>
    </row>
    <row r="173" spans="1:121" s="90" customFormat="1" x14ac:dyDescent="0.25">
      <c r="A173" s="71"/>
      <c r="B173" s="71"/>
      <c r="C173" s="71"/>
      <c r="D173" s="71"/>
      <c r="E173" s="71"/>
      <c r="F173" s="101"/>
      <c r="G173" s="101"/>
      <c r="H173" s="71"/>
      <c r="I173" s="71"/>
      <c r="J173" s="71"/>
      <c r="K173" s="101"/>
      <c r="L173" s="101"/>
      <c r="M173" s="101"/>
      <c r="N173" s="71"/>
      <c r="O173" s="71"/>
      <c r="P173" s="71"/>
      <c r="Q173" s="71"/>
      <c r="R173" s="101"/>
      <c r="S173" s="101"/>
      <c r="T173" s="71"/>
      <c r="U173" s="101"/>
      <c r="V173" s="101"/>
      <c r="W173" s="102"/>
      <c r="X173" s="102"/>
      <c r="Y173" s="102"/>
      <c r="Z173" s="102"/>
      <c r="AA173" s="102"/>
      <c r="AB173" s="102"/>
      <c r="AC173" s="71"/>
      <c r="AD173" s="101"/>
      <c r="AE173" s="101"/>
      <c r="AF173" s="102"/>
      <c r="AG173" s="102"/>
      <c r="AH173" s="102"/>
      <c r="AI173" s="101"/>
      <c r="AJ173" s="88"/>
      <c r="AK173" s="88"/>
      <c r="AM173" s="71"/>
      <c r="AN173" s="101"/>
      <c r="AO173" s="101"/>
      <c r="AP173" s="101"/>
      <c r="AQ173" s="101"/>
      <c r="AR173" s="103"/>
      <c r="AS173" s="103"/>
      <c r="AT173" s="103"/>
      <c r="AU173" s="103"/>
      <c r="AV173" s="103"/>
      <c r="BA173" s="103"/>
      <c r="BF173" s="103"/>
      <c r="BG173" s="103"/>
      <c r="BH173" s="103"/>
      <c r="CK173" s="103"/>
      <c r="CL173" s="103"/>
      <c r="CM173" s="103"/>
      <c r="CN173" s="103"/>
      <c r="CO173" s="103"/>
      <c r="CP173" s="103"/>
      <c r="CQ173" s="103"/>
      <c r="CR173" s="103"/>
      <c r="CS173" s="103"/>
      <c r="CT173" s="103"/>
      <c r="DH173" s="103"/>
      <c r="DI173" s="103"/>
      <c r="DJ173" s="103"/>
      <c r="DK173" s="103"/>
      <c r="DL173" s="103"/>
      <c r="DM173" s="103"/>
      <c r="DN173" s="103"/>
      <c r="DO173" s="103"/>
      <c r="DP173" s="103"/>
      <c r="DQ173" s="103"/>
    </row>
    <row r="174" spans="1:121" s="90" customFormat="1" x14ac:dyDescent="0.25">
      <c r="A174" s="71"/>
      <c r="B174" s="71"/>
      <c r="C174" s="71"/>
      <c r="D174" s="71"/>
      <c r="E174" s="71"/>
      <c r="F174" s="101"/>
      <c r="G174" s="101"/>
      <c r="H174" s="71"/>
      <c r="I174" s="71"/>
      <c r="J174" s="71"/>
      <c r="K174" s="101"/>
      <c r="L174" s="101"/>
      <c r="M174" s="101"/>
      <c r="N174" s="71"/>
      <c r="O174" s="71"/>
      <c r="P174" s="71"/>
      <c r="Q174" s="71"/>
      <c r="R174" s="101"/>
      <c r="S174" s="101"/>
      <c r="T174" s="71"/>
      <c r="U174" s="101"/>
      <c r="V174" s="101"/>
      <c r="W174" s="102"/>
      <c r="X174" s="102"/>
      <c r="Y174" s="102"/>
      <c r="Z174" s="102"/>
      <c r="AA174" s="102"/>
      <c r="AB174" s="102"/>
      <c r="AC174" s="71"/>
      <c r="AD174" s="101"/>
      <c r="AE174" s="101"/>
      <c r="AF174" s="102"/>
      <c r="AG174" s="102"/>
      <c r="AH174" s="102"/>
      <c r="AI174" s="101"/>
      <c r="AJ174" s="88"/>
      <c r="AK174" s="88"/>
      <c r="AM174" s="71"/>
      <c r="AN174" s="101"/>
      <c r="AO174" s="101"/>
      <c r="AP174" s="101"/>
      <c r="AQ174" s="101"/>
      <c r="AR174" s="103"/>
      <c r="AS174" s="103"/>
      <c r="AT174" s="103"/>
      <c r="AU174" s="103"/>
      <c r="AV174" s="103"/>
      <c r="BA174" s="103"/>
      <c r="BF174" s="103"/>
      <c r="BG174" s="103"/>
      <c r="BH174" s="103"/>
      <c r="CK174" s="103"/>
      <c r="CL174" s="103"/>
      <c r="CM174" s="103"/>
      <c r="CN174" s="103"/>
      <c r="CO174" s="103"/>
      <c r="CP174" s="103"/>
      <c r="CQ174" s="103"/>
      <c r="CR174" s="103"/>
      <c r="CS174" s="103"/>
      <c r="CT174" s="103"/>
      <c r="DH174" s="103"/>
      <c r="DI174" s="103"/>
      <c r="DJ174" s="103"/>
      <c r="DK174" s="103"/>
      <c r="DL174" s="103"/>
      <c r="DM174" s="103"/>
      <c r="DN174" s="103"/>
      <c r="DO174" s="103"/>
      <c r="DP174" s="103"/>
      <c r="DQ174" s="103"/>
    </row>
    <row r="175" spans="1:121" s="90" customFormat="1" x14ac:dyDescent="0.25">
      <c r="A175" s="71"/>
      <c r="B175" s="71"/>
      <c r="C175" s="71"/>
      <c r="D175" s="71"/>
      <c r="E175" s="71"/>
      <c r="F175" s="101"/>
      <c r="G175" s="101"/>
      <c r="H175" s="71"/>
      <c r="I175" s="71"/>
      <c r="J175" s="71"/>
      <c r="K175" s="101"/>
      <c r="L175" s="101"/>
      <c r="M175" s="101"/>
      <c r="N175" s="71"/>
      <c r="O175" s="71"/>
      <c r="P175" s="71"/>
      <c r="Q175" s="71"/>
      <c r="R175" s="101"/>
      <c r="S175" s="101"/>
      <c r="T175" s="71"/>
      <c r="U175" s="101"/>
      <c r="V175" s="101"/>
      <c r="W175" s="102"/>
      <c r="X175" s="102"/>
      <c r="Y175" s="102"/>
      <c r="Z175" s="102"/>
      <c r="AA175" s="102"/>
      <c r="AB175" s="102"/>
      <c r="AC175" s="71"/>
      <c r="AD175" s="101"/>
      <c r="AE175" s="101"/>
      <c r="AF175" s="102"/>
      <c r="AG175" s="102"/>
      <c r="AH175" s="102"/>
      <c r="AI175" s="101"/>
      <c r="AJ175" s="88"/>
      <c r="AK175" s="88"/>
      <c r="AM175" s="71"/>
      <c r="AN175" s="101"/>
      <c r="AO175" s="101"/>
      <c r="AP175" s="101"/>
      <c r="AQ175" s="101"/>
      <c r="AR175" s="103"/>
      <c r="AS175" s="103"/>
      <c r="AT175" s="103"/>
      <c r="AU175" s="103"/>
      <c r="AV175" s="103"/>
      <c r="BA175" s="103"/>
      <c r="BF175" s="103"/>
      <c r="BG175" s="103"/>
      <c r="BH175" s="103"/>
      <c r="CK175" s="103"/>
      <c r="CL175" s="103"/>
      <c r="CM175" s="103"/>
      <c r="CN175" s="103"/>
      <c r="CO175" s="103"/>
      <c r="CP175" s="103"/>
      <c r="CQ175" s="103"/>
      <c r="CR175" s="103"/>
      <c r="CS175" s="103"/>
      <c r="CT175" s="103"/>
      <c r="DH175" s="103"/>
      <c r="DI175" s="103"/>
      <c r="DJ175" s="103"/>
      <c r="DK175" s="103"/>
      <c r="DL175" s="103"/>
      <c r="DM175" s="103"/>
      <c r="DN175" s="103"/>
      <c r="DO175" s="103"/>
      <c r="DP175" s="103"/>
      <c r="DQ175" s="103"/>
    </row>
    <row r="176" spans="1:121" s="90" customFormat="1" x14ac:dyDescent="0.25">
      <c r="A176" s="71"/>
      <c r="B176" s="71"/>
      <c r="C176" s="71"/>
      <c r="D176" s="71"/>
      <c r="E176" s="71"/>
      <c r="F176" s="101"/>
      <c r="G176" s="101"/>
      <c r="H176" s="71"/>
      <c r="I176" s="71"/>
      <c r="J176" s="71"/>
      <c r="K176" s="101"/>
      <c r="L176" s="101"/>
      <c r="M176" s="101"/>
      <c r="N176" s="71"/>
      <c r="O176" s="71"/>
      <c r="P176" s="71"/>
      <c r="Q176" s="71"/>
      <c r="R176" s="101"/>
      <c r="S176" s="101"/>
      <c r="T176" s="71"/>
      <c r="U176" s="101"/>
      <c r="V176" s="101"/>
      <c r="W176" s="102"/>
      <c r="X176" s="102"/>
      <c r="Y176" s="102"/>
      <c r="Z176" s="102"/>
      <c r="AA176" s="102"/>
      <c r="AB176" s="102"/>
      <c r="AC176" s="71"/>
      <c r="AD176" s="101"/>
      <c r="AE176" s="101"/>
      <c r="AF176" s="102"/>
      <c r="AG176" s="102"/>
      <c r="AH176" s="102"/>
      <c r="AI176" s="101"/>
      <c r="AJ176" s="88"/>
      <c r="AK176" s="88"/>
      <c r="AM176" s="71"/>
      <c r="AN176" s="101"/>
      <c r="AO176" s="101"/>
      <c r="AP176" s="101"/>
      <c r="AQ176" s="101"/>
      <c r="AR176" s="103"/>
      <c r="AS176" s="103"/>
      <c r="AT176" s="103"/>
      <c r="AU176" s="103"/>
      <c r="AV176" s="103"/>
      <c r="BA176" s="103"/>
      <c r="BF176" s="103"/>
      <c r="BG176" s="103"/>
      <c r="BH176" s="103"/>
      <c r="CK176" s="103"/>
      <c r="CL176" s="103"/>
      <c r="CM176" s="103"/>
      <c r="CN176" s="103"/>
      <c r="CO176" s="103"/>
      <c r="CP176" s="103"/>
      <c r="CQ176" s="103"/>
      <c r="CR176" s="103"/>
      <c r="CS176" s="103"/>
      <c r="CT176" s="103"/>
      <c r="DH176" s="103"/>
      <c r="DI176" s="103"/>
      <c r="DJ176" s="103"/>
      <c r="DK176" s="103"/>
      <c r="DL176" s="103"/>
      <c r="DM176" s="103"/>
      <c r="DN176" s="103"/>
      <c r="DO176" s="103"/>
      <c r="DP176" s="103"/>
      <c r="DQ176" s="103"/>
    </row>
    <row r="177" spans="1:121" s="90" customFormat="1" x14ac:dyDescent="0.25">
      <c r="A177" s="71"/>
      <c r="B177" s="71"/>
      <c r="C177" s="71"/>
      <c r="D177" s="71"/>
      <c r="E177" s="71"/>
      <c r="F177" s="101"/>
      <c r="G177" s="101"/>
      <c r="H177" s="71"/>
      <c r="I177" s="71"/>
      <c r="J177" s="71"/>
      <c r="K177" s="101"/>
      <c r="L177" s="101"/>
      <c r="M177" s="101"/>
      <c r="N177" s="71"/>
      <c r="O177" s="71"/>
      <c r="P177" s="71"/>
      <c r="Q177" s="71"/>
      <c r="R177" s="101"/>
      <c r="S177" s="101"/>
      <c r="T177" s="71"/>
      <c r="U177" s="101"/>
      <c r="V177" s="101"/>
      <c r="W177" s="102"/>
      <c r="X177" s="102"/>
      <c r="Y177" s="102"/>
      <c r="Z177" s="102"/>
      <c r="AA177" s="102"/>
      <c r="AB177" s="102"/>
      <c r="AC177" s="71"/>
      <c r="AD177" s="101"/>
      <c r="AE177" s="101"/>
      <c r="AF177" s="102"/>
      <c r="AG177" s="102"/>
      <c r="AH177" s="102"/>
      <c r="AI177" s="101"/>
      <c r="AJ177" s="88"/>
      <c r="AK177" s="88"/>
      <c r="AM177" s="71"/>
      <c r="AN177" s="101"/>
      <c r="AO177" s="101"/>
      <c r="AP177" s="101"/>
      <c r="AQ177" s="101"/>
      <c r="AR177" s="103"/>
      <c r="AS177" s="103"/>
      <c r="AT177" s="103"/>
      <c r="AU177" s="103"/>
      <c r="AV177" s="103"/>
      <c r="BA177" s="103"/>
      <c r="BF177" s="103"/>
      <c r="BG177" s="103"/>
      <c r="BH177" s="103"/>
      <c r="CK177" s="103"/>
      <c r="CL177" s="103"/>
      <c r="CM177" s="103"/>
      <c r="CN177" s="103"/>
      <c r="CO177" s="103"/>
      <c r="CP177" s="103"/>
      <c r="CQ177" s="103"/>
      <c r="CR177" s="103"/>
      <c r="CS177" s="103"/>
      <c r="CT177" s="103"/>
      <c r="DH177" s="103"/>
      <c r="DI177" s="103"/>
      <c r="DJ177" s="103"/>
      <c r="DK177" s="103"/>
      <c r="DL177" s="103"/>
      <c r="DM177" s="103"/>
      <c r="DN177" s="103"/>
      <c r="DO177" s="103"/>
      <c r="DP177" s="103"/>
      <c r="DQ177" s="103"/>
    </row>
    <row r="178" spans="1:121" s="90" customFormat="1" x14ac:dyDescent="0.25">
      <c r="A178" s="71"/>
      <c r="B178" s="71"/>
      <c r="C178" s="71"/>
      <c r="D178" s="71"/>
      <c r="E178" s="71"/>
      <c r="F178" s="101"/>
      <c r="G178" s="101"/>
      <c r="H178" s="71"/>
      <c r="I178" s="71"/>
      <c r="J178" s="71"/>
      <c r="K178" s="101"/>
      <c r="L178" s="101"/>
      <c r="M178" s="101"/>
      <c r="N178" s="71"/>
      <c r="O178" s="71"/>
      <c r="P178" s="71"/>
      <c r="Q178" s="71"/>
      <c r="R178" s="101"/>
      <c r="S178" s="101"/>
      <c r="T178" s="71"/>
      <c r="U178" s="101"/>
      <c r="V178" s="101"/>
      <c r="W178" s="102"/>
      <c r="X178" s="102"/>
      <c r="Y178" s="102"/>
      <c r="Z178" s="102"/>
      <c r="AA178" s="102"/>
      <c r="AB178" s="102"/>
      <c r="AC178" s="71"/>
      <c r="AD178" s="101"/>
      <c r="AE178" s="101"/>
      <c r="AF178" s="102"/>
      <c r="AG178" s="102"/>
      <c r="AH178" s="102"/>
      <c r="AI178" s="101"/>
      <c r="AJ178" s="88"/>
      <c r="AK178" s="88"/>
      <c r="AM178" s="71"/>
      <c r="AN178" s="101"/>
      <c r="AO178" s="101"/>
      <c r="AP178" s="101"/>
      <c r="AQ178" s="101"/>
      <c r="AR178" s="103"/>
      <c r="AS178" s="103"/>
      <c r="AT178" s="103"/>
      <c r="AU178" s="103"/>
      <c r="AV178" s="103"/>
      <c r="BA178" s="103"/>
      <c r="BF178" s="103"/>
      <c r="BG178" s="103"/>
      <c r="BH178" s="103"/>
      <c r="CK178" s="103"/>
      <c r="CL178" s="103"/>
      <c r="CM178" s="103"/>
      <c r="CN178" s="103"/>
      <c r="CO178" s="103"/>
      <c r="CP178" s="103"/>
      <c r="CQ178" s="103"/>
      <c r="CR178" s="103"/>
      <c r="CS178" s="103"/>
      <c r="CT178" s="103"/>
      <c r="DH178" s="103"/>
      <c r="DI178" s="103"/>
      <c r="DJ178" s="103"/>
      <c r="DK178" s="103"/>
      <c r="DL178" s="103"/>
      <c r="DM178" s="103"/>
      <c r="DN178" s="103"/>
      <c r="DO178" s="103"/>
      <c r="DP178" s="103"/>
      <c r="DQ178" s="103"/>
    </row>
    <row r="179" spans="1:121" s="90" customFormat="1" x14ac:dyDescent="0.25">
      <c r="A179" s="71"/>
      <c r="B179" s="71"/>
      <c r="C179" s="71"/>
      <c r="D179" s="71"/>
      <c r="E179" s="71"/>
      <c r="F179" s="101"/>
      <c r="G179" s="101"/>
      <c r="H179" s="71"/>
      <c r="I179" s="71"/>
      <c r="J179" s="71"/>
      <c r="K179" s="101"/>
      <c r="L179" s="101"/>
      <c r="M179" s="101"/>
      <c r="N179" s="71"/>
      <c r="O179" s="71"/>
      <c r="P179" s="71"/>
      <c r="Q179" s="71"/>
      <c r="R179" s="101"/>
      <c r="S179" s="101"/>
      <c r="T179" s="71"/>
      <c r="U179" s="101"/>
      <c r="V179" s="101"/>
      <c r="W179" s="102"/>
      <c r="X179" s="102"/>
      <c r="Y179" s="102"/>
      <c r="Z179" s="102"/>
      <c r="AA179" s="102"/>
      <c r="AB179" s="102"/>
      <c r="AC179" s="71"/>
      <c r="AD179" s="101"/>
      <c r="AE179" s="101"/>
      <c r="AF179" s="102"/>
      <c r="AG179" s="102"/>
      <c r="AH179" s="102"/>
      <c r="AI179" s="101"/>
      <c r="AJ179" s="88"/>
      <c r="AK179" s="88"/>
      <c r="AM179" s="71"/>
      <c r="AN179" s="101"/>
      <c r="AO179" s="101"/>
      <c r="AP179" s="101"/>
      <c r="AQ179" s="101"/>
      <c r="AR179" s="103"/>
      <c r="AS179" s="103"/>
      <c r="AT179" s="103"/>
      <c r="AU179" s="103"/>
      <c r="AV179" s="103"/>
      <c r="BA179" s="103"/>
      <c r="BF179" s="103"/>
      <c r="BG179" s="103"/>
      <c r="BH179" s="103"/>
      <c r="CK179" s="103"/>
      <c r="CL179" s="103"/>
      <c r="CM179" s="103"/>
      <c r="CN179" s="103"/>
      <c r="CO179" s="103"/>
      <c r="CP179" s="103"/>
      <c r="CQ179" s="103"/>
      <c r="CR179" s="103"/>
      <c r="CS179" s="103"/>
      <c r="CT179" s="103"/>
      <c r="DH179" s="103"/>
      <c r="DI179" s="103"/>
      <c r="DJ179" s="103"/>
      <c r="DK179" s="103"/>
      <c r="DL179" s="103"/>
      <c r="DM179" s="103"/>
      <c r="DN179" s="103"/>
      <c r="DO179" s="103"/>
      <c r="DP179" s="103"/>
      <c r="DQ179" s="103"/>
    </row>
    <row r="180" spans="1:121" s="90" customFormat="1" x14ac:dyDescent="0.25">
      <c r="A180" s="71"/>
      <c r="B180" s="71"/>
      <c r="C180" s="71"/>
      <c r="D180" s="71"/>
      <c r="E180" s="71"/>
      <c r="F180" s="101"/>
      <c r="G180" s="101"/>
      <c r="H180" s="71"/>
      <c r="I180" s="71"/>
      <c r="J180" s="71"/>
      <c r="K180" s="101"/>
      <c r="L180" s="101"/>
      <c r="M180" s="101"/>
      <c r="N180" s="71"/>
      <c r="O180" s="71"/>
      <c r="P180" s="71"/>
      <c r="Q180" s="71"/>
      <c r="R180" s="101"/>
      <c r="S180" s="101"/>
      <c r="T180" s="71"/>
      <c r="U180" s="101"/>
      <c r="V180" s="101"/>
      <c r="W180" s="102"/>
      <c r="X180" s="102"/>
      <c r="Y180" s="102"/>
      <c r="Z180" s="102"/>
      <c r="AA180" s="102"/>
      <c r="AB180" s="102"/>
      <c r="AC180" s="71"/>
      <c r="AD180" s="101"/>
      <c r="AE180" s="101"/>
      <c r="AF180" s="102"/>
      <c r="AG180" s="102"/>
      <c r="AH180" s="102"/>
      <c r="AI180" s="101"/>
      <c r="AJ180" s="88"/>
      <c r="AK180" s="88"/>
      <c r="AM180" s="71"/>
      <c r="AN180" s="101"/>
      <c r="AO180" s="101"/>
      <c r="AP180" s="101"/>
      <c r="AQ180" s="101"/>
      <c r="AR180" s="103"/>
      <c r="AS180" s="103"/>
      <c r="AT180" s="103"/>
      <c r="AU180" s="103"/>
      <c r="AV180" s="103"/>
      <c r="BA180" s="103"/>
      <c r="BF180" s="103"/>
      <c r="BG180" s="103"/>
      <c r="BH180" s="103"/>
      <c r="CK180" s="103"/>
      <c r="CL180" s="103"/>
      <c r="CM180" s="103"/>
      <c r="CN180" s="103"/>
      <c r="CO180" s="103"/>
      <c r="CP180" s="103"/>
      <c r="CQ180" s="103"/>
      <c r="CR180" s="103"/>
      <c r="CS180" s="103"/>
      <c r="CT180" s="103"/>
      <c r="DH180" s="103"/>
      <c r="DI180" s="103"/>
      <c r="DJ180" s="103"/>
      <c r="DK180" s="103"/>
      <c r="DL180" s="103"/>
      <c r="DM180" s="103"/>
      <c r="DN180" s="103"/>
      <c r="DO180" s="103"/>
      <c r="DP180" s="103"/>
      <c r="DQ180" s="103"/>
    </row>
    <row r="181" spans="1:121" s="90" customFormat="1" x14ac:dyDescent="0.25">
      <c r="A181" s="71"/>
      <c r="B181" s="71"/>
      <c r="C181" s="71"/>
      <c r="D181" s="71"/>
      <c r="E181" s="71"/>
      <c r="F181" s="101"/>
      <c r="G181" s="101"/>
      <c r="H181" s="71"/>
      <c r="I181" s="71"/>
      <c r="J181" s="71"/>
      <c r="K181" s="101"/>
      <c r="L181" s="101"/>
      <c r="M181" s="101"/>
      <c r="N181" s="71"/>
      <c r="O181" s="71"/>
      <c r="P181" s="71"/>
      <c r="Q181" s="71"/>
      <c r="R181" s="101"/>
      <c r="S181" s="101"/>
      <c r="T181" s="71"/>
      <c r="U181" s="101"/>
      <c r="V181" s="101"/>
      <c r="W181" s="102"/>
      <c r="X181" s="102"/>
      <c r="Y181" s="102"/>
      <c r="Z181" s="102"/>
      <c r="AA181" s="102"/>
      <c r="AB181" s="102"/>
      <c r="AC181" s="71"/>
      <c r="AD181" s="101"/>
      <c r="AE181" s="101"/>
      <c r="AF181" s="102"/>
      <c r="AG181" s="102"/>
      <c r="AH181" s="102"/>
      <c r="AI181" s="101"/>
      <c r="AJ181" s="88"/>
      <c r="AK181" s="88"/>
      <c r="AM181" s="71"/>
      <c r="AN181" s="101"/>
      <c r="AO181" s="101"/>
      <c r="AP181" s="101"/>
      <c r="AQ181" s="101"/>
      <c r="AR181" s="103"/>
      <c r="AS181" s="103"/>
      <c r="AT181" s="103"/>
      <c r="AU181" s="103"/>
      <c r="AV181" s="103"/>
      <c r="BA181" s="103"/>
      <c r="BF181" s="103"/>
      <c r="BG181" s="103"/>
      <c r="BH181" s="103"/>
      <c r="CK181" s="103"/>
      <c r="CL181" s="103"/>
      <c r="CM181" s="103"/>
      <c r="CN181" s="103"/>
      <c r="CO181" s="103"/>
      <c r="CP181" s="103"/>
      <c r="CQ181" s="103"/>
      <c r="CR181" s="103"/>
      <c r="CS181" s="103"/>
      <c r="CT181" s="103"/>
      <c r="DH181" s="103"/>
      <c r="DI181" s="103"/>
      <c r="DJ181" s="103"/>
      <c r="DK181" s="103"/>
      <c r="DL181" s="103"/>
      <c r="DM181" s="103"/>
      <c r="DN181" s="103"/>
      <c r="DO181" s="103"/>
      <c r="DP181" s="103"/>
      <c r="DQ181" s="103"/>
    </row>
    <row r="182" spans="1:121" s="90" customFormat="1" x14ac:dyDescent="0.25">
      <c r="A182" s="71"/>
      <c r="B182" s="71"/>
      <c r="C182" s="71"/>
      <c r="D182" s="71"/>
      <c r="E182" s="71"/>
      <c r="F182" s="101"/>
      <c r="G182" s="101"/>
      <c r="H182" s="71"/>
      <c r="I182" s="71"/>
      <c r="J182" s="71"/>
      <c r="K182" s="101"/>
      <c r="L182" s="101"/>
      <c r="M182" s="101"/>
      <c r="N182" s="71"/>
      <c r="O182" s="71"/>
      <c r="P182" s="71"/>
      <c r="Q182" s="71"/>
      <c r="R182" s="101"/>
      <c r="S182" s="101"/>
      <c r="T182" s="71"/>
      <c r="U182" s="101"/>
      <c r="V182" s="101"/>
      <c r="W182" s="102"/>
      <c r="X182" s="102"/>
      <c r="Y182" s="102"/>
      <c r="Z182" s="102"/>
      <c r="AA182" s="102"/>
      <c r="AB182" s="102"/>
      <c r="AC182" s="71"/>
      <c r="AD182" s="101"/>
      <c r="AE182" s="101"/>
      <c r="AF182" s="102"/>
      <c r="AG182" s="102"/>
      <c r="AH182" s="102"/>
      <c r="AI182" s="101"/>
      <c r="AJ182" s="88"/>
      <c r="AK182" s="88"/>
      <c r="AM182" s="71"/>
      <c r="AN182" s="101"/>
      <c r="AO182" s="101"/>
      <c r="AP182" s="101"/>
      <c r="AQ182" s="101"/>
      <c r="AR182" s="103"/>
      <c r="AS182" s="103"/>
      <c r="AT182" s="103"/>
      <c r="AU182" s="103"/>
      <c r="AV182" s="103"/>
      <c r="BA182" s="103"/>
      <c r="BF182" s="103"/>
      <c r="BG182" s="103"/>
      <c r="BH182" s="103"/>
      <c r="CK182" s="103"/>
      <c r="CL182" s="103"/>
      <c r="CM182" s="103"/>
      <c r="CN182" s="103"/>
      <c r="CO182" s="103"/>
      <c r="CP182" s="103"/>
      <c r="CQ182" s="103"/>
      <c r="CR182" s="103"/>
      <c r="CS182" s="103"/>
      <c r="CT182" s="103"/>
      <c r="DH182" s="103"/>
      <c r="DI182" s="103"/>
      <c r="DJ182" s="103"/>
      <c r="DK182" s="103"/>
      <c r="DL182" s="103"/>
      <c r="DM182" s="103"/>
      <c r="DN182" s="103"/>
      <c r="DO182" s="103"/>
      <c r="DP182" s="103"/>
      <c r="DQ182" s="103"/>
    </row>
    <row r="183" spans="1:121" s="90" customFormat="1" x14ac:dyDescent="0.25">
      <c r="A183" s="71"/>
      <c r="B183" s="71"/>
      <c r="C183" s="71"/>
      <c r="D183" s="71"/>
      <c r="E183" s="71"/>
      <c r="F183" s="101"/>
      <c r="G183" s="101"/>
      <c r="H183" s="71"/>
      <c r="I183" s="71"/>
      <c r="J183" s="71"/>
      <c r="K183" s="101"/>
      <c r="L183" s="101"/>
      <c r="M183" s="101"/>
      <c r="N183" s="71"/>
      <c r="O183" s="71"/>
      <c r="P183" s="71"/>
      <c r="Q183" s="71"/>
      <c r="R183" s="101"/>
      <c r="S183" s="101"/>
      <c r="T183" s="71"/>
      <c r="U183" s="101"/>
      <c r="V183" s="101"/>
      <c r="W183" s="102"/>
      <c r="X183" s="102"/>
      <c r="Y183" s="102"/>
      <c r="Z183" s="102"/>
      <c r="AA183" s="102"/>
      <c r="AB183" s="102"/>
      <c r="AC183" s="71"/>
      <c r="AD183" s="101"/>
      <c r="AE183" s="101"/>
      <c r="AF183" s="102"/>
      <c r="AG183" s="102"/>
      <c r="AH183" s="102"/>
      <c r="AI183" s="101"/>
      <c r="AJ183" s="88"/>
      <c r="AK183" s="88"/>
      <c r="AM183" s="71"/>
      <c r="AN183" s="101"/>
      <c r="AO183" s="101"/>
      <c r="AP183" s="101"/>
      <c r="AQ183" s="101"/>
      <c r="AR183" s="103"/>
      <c r="AS183" s="103"/>
      <c r="AT183" s="103"/>
      <c r="AU183" s="103"/>
      <c r="AV183" s="103"/>
      <c r="BA183" s="103"/>
      <c r="BF183" s="103"/>
      <c r="BG183" s="103"/>
      <c r="BH183" s="103"/>
      <c r="CK183" s="103"/>
      <c r="CL183" s="103"/>
      <c r="CM183" s="103"/>
      <c r="CN183" s="103"/>
      <c r="CO183" s="103"/>
      <c r="CP183" s="103"/>
      <c r="CQ183" s="103"/>
      <c r="CR183" s="103"/>
      <c r="CS183" s="103"/>
      <c r="CT183" s="103"/>
      <c r="DH183" s="103"/>
      <c r="DI183" s="103"/>
      <c r="DJ183" s="103"/>
      <c r="DK183" s="103"/>
      <c r="DL183" s="103"/>
      <c r="DM183" s="103"/>
      <c r="DN183" s="103"/>
      <c r="DO183" s="103"/>
      <c r="DP183" s="103"/>
      <c r="DQ183" s="103"/>
    </row>
    <row r="184" spans="1:121" s="90" customFormat="1" x14ac:dyDescent="0.25">
      <c r="A184" s="71"/>
      <c r="B184" s="71"/>
      <c r="C184" s="71"/>
      <c r="D184" s="71"/>
      <c r="E184" s="71"/>
      <c r="F184" s="101"/>
      <c r="G184" s="101"/>
      <c r="H184" s="71"/>
      <c r="I184" s="71"/>
      <c r="J184" s="71"/>
      <c r="K184" s="101"/>
      <c r="L184" s="101"/>
      <c r="M184" s="101"/>
      <c r="N184" s="71"/>
      <c r="O184" s="71"/>
      <c r="P184" s="71"/>
      <c r="Q184" s="71"/>
      <c r="R184" s="101"/>
      <c r="S184" s="101"/>
      <c r="T184" s="71"/>
      <c r="U184" s="101"/>
      <c r="V184" s="101"/>
      <c r="W184" s="102"/>
      <c r="X184" s="102"/>
      <c r="Y184" s="102"/>
      <c r="Z184" s="102"/>
      <c r="AA184" s="102"/>
      <c r="AB184" s="102"/>
      <c r="AC184" s="71"/>
      <c r="AD184" s="101"/>
      <c r="AE184" s="101"/>
      <c r="AF184" s="102"/>
      <c r="AG184" s="102"/>
      <c r="AH184" s="102"/>
      <c r="AI184" s="101"/>
      <c r="AJ184" s="88"/>
      <c r="AK184" s="88"/>
      <c r="AM184" s="71"/>
      <c r="AN184" s="101"/>
      <c r="AO184" s="101"/>
      <c r="AP184" s="101"/>
      <c r="AQ184" s="101"/>
      <c r="AR184" s="103"/>
      <c r="AS184" s="103"/>
      <c r="AT184" s="103"/>
      <c r="AU184" s="103"/>
      <c r="AV184" s="103"/>
      <c r="BA184" s="103"/>
      <c r="BF184" s="103"/>
      <c r="BG184" s="103"/>
      <c r="BH184" s="103"/>
      <c r="CK184" s="103"/>
      <c r="CL184" s="103"/>
      <c r="CM184" s="103"/>
      <c r="CN184" s="103"/>
      <c r="CO184" s="103"/>
      <c r="CP184" s="103"/>
      <c r="CQ184" s="103"/>
      <c r="CR184" s="103"/>
      <c r="CS184" s="103"/>
      <c r="CT184" s="103"/>
      <c r="DH184" s="103"/>
      <c r="DI184" s="103"/>
      <c r="DJ184" s="103"/>
      <c r="DK184" s="103"/>
      <c r="DL184" s="103"/>
      <c r="DM184" s="103"/>
      <c r="DN184" s="103"/>
      <c r="DO184" s="103"/>
      <c r="DP184" s="103"/>
      <c r="DQ184" s="103"/>
    </row>
    <row r="185" spans="1:121" s="90" customFormat="1" x14ac:dyDescent="0.25">
      <c r="A185" s="71"/>
      <c r="B185" s="71"/>
      <c r="C185" s="71"/>
      <c r="D185" s="71"/>
      <c r="E185" s="71"/>
      <c r="F185" s="101"/>
      <c r="G185" s="101"/>
      <c r="H185" s="71"/>
      <c r="I185" s="71"/>
      <c r="J185" s="71"/>
      <c r="K185" s="101"/>
      <c r="L185" s="101"/>
      <c r="M185" s="101"/>
      <c r="N185" s="71"/>
      <c r="O185" s="71"/>
      <c r="P185" s="71"/>
      <c r="Q185" s="71"/>
      <c r="R185" s="101"/>
      <c r="S185" s="101"/>
      <c r="T185" s="71"/>
      <c r="U185" s="101"/>
      <c r="V185" s="101"/>
      <c r="W185" s="102"/>
      <c r="X185" s="102"/>
      <c r="Y185" s="102"/>
      <c r="Z185" s="102"/>
      <c r="AA185" s="102"/>
      <c r="AB185" s="102"/>
      <c r="AC185" s="71"/>
      <c r="AD185" s="101"/>
      <c r="AE185" s="101"/>
      <c r="AF185" s="102"/>
      <c r="AG185" s="102"/>
      <c r="AH185" s="102"/>
      <c r="AI185" s="101"/>
      <c r="AJ185" s="88"/>
      <c r="AK185" s="88"/>
      <c r="AM185" s="71"/>
      <c r="AN185" s="101"/>
      <c r="AO185" s="101"/>
      <c r="AP185" s="101"/>
      <c r="AQ185" s="101"/>
      <c r="AR185" s="103"/>
      <c r="AS185" s="103"/>
      <c r="AT185" s="103"/>
      <c r="AU185" s="103"/>
      <c r="AV185" s="103"/>
      <c r="BA185" s="103"/>
      <c r="BF185" s="103"/>
      <c r="BG185" s="103"/>
      <c r="BH185" s="103"/>
      <c r="CK185" s="103"/>
      <c r="CL185" s="103"/>
      <c r="CM185" s="103"/>
      <c r="CN185" s="103"/>
      <c r="CO185" s="103"/>
      <c r="CP185" s="103"/>
      <c r="CQ185" s="103"/>
      <c r="CR185" s="103"/>
      <c r="CS185" s="103"/>
      <c r="CT185" s="103"/>
      <c r="DH185" s="103"/>
      <c r="DI185" s="103"/>
      <c r="DJ185" s="103"/>
      <c r="DK185" s="103"/>
      <c r="DL185" s="103"/>
      <c r="DM185" s="103"/>
      <c r="DN185" s="103"/>
      <c r="DO185" s="103"/>
      <c r="DP185" s="103"/>
      <c r="DQ185" s="103"/>
    </row>
    <row r="186" spans="1:121" s="90" customFormat="1" x14ac:dyDescent="0.25">
      <c r="A186" s="71"/>
      <c r="B186" s="71"/>
      <c r="C186" s="71"/>
      <c r="D186" s="71"/>
      <c r="E186" s="71"/>
      <c r="F186" s="101"/>
      <c r="G186" s="101"/>
      <c r="H186" s="71"/>
      <c r="I186" s="71"/>
      <c r="J186" s="71"/>
      <c r="K186" s="101"/>
      <c r="L186" s="101"/>
      <c r="M186" s="101"/>
      <c r="N186" s="71"/>
      <c r="O186" s="71"/>
      <c r="P186" s="71"/>
      <c r="Q186" s="71"/>
      <c r="R186" s="101"/>
      <c r="S186" s="101"/>
      <c r="T186" s="71"/>
      <c r="U186" s="101"/>
      <c r="V186" s="101"/>
      <c r="W186" s="102"/>
      <c r="X186" s="102"/>
      <c r="Y186" s="102"/>
      <c r="Z186" s="102"/>
      <c r="AA186" s="102"/>
      <c r="AB186" s="102"/>
      <c r="AC186" s="71"/>
      <c r="AD186" s="101"/>
      <c r="AE186" s="101"/>
      <c r="AF186" s="102"/>
      <c r="AG186" s="102"/>
      <c r="AH186" s="102"/>
      <c r="AI186" s="101"/>
      <c r="AJ186" s="88"/>
      <c r="AK186" s="88"/>
      <c r="AM186" s="71"/>
      <c r="AN186" s="101"/>
      <c r="AO186" s="101"/>
      <c r="AP186" s="101"/>
      <c r="AQ186" s="101"/>
      <c r="AR186" s="103"/>
      <c r="AS186" s="103"/>
      <c r="AT186" s="103"/>
      <c r="AU186" s="103"/>
      <c r="AV186" s="103"/>
      <c r="BA186" s="103"/>
      <c r="BF186" s="103"/>
      <c r="BG186" s="103"/>
      <c r="BH186" s="103"/>
      <c r="CK186" s="103"/>
      <c r="CL186" s="103"/>
      <c r="CM186" s="103"/>
      <c r="CN186" s="103"/>
      <c r="CO186" s="103"/>
      <c r="CP186" s="103"/>
      <c r="CQ186" s="103"/>
      <c r="CR186" s="103"/>
      <c r="CS186" s="103"/>
      <c r="CT186" s="103"/>
      <c r="DH186" s="103"/>
      <c r="DI186" s="103"/>
      <c r="DJ186" s="103"/>
      <c r="DK186" s="103"/>
      <c r="DL186" s="103"/>
      <c r="DM186" s="103"/>
      <c r="DN186" s="103"/>
      <c r="DO186" s="103"/>
      <c r="DP186" s="103"/>
      <c r="DQ186" s="103"/>
    </row>
    <row r="187" spans="1:121" s="90" customFormat="1" x14ac:dyDescent="0.25">
      <c r="A187" s="71"/>
      <c r="B187" s="71"/>
      <c r="C187" s="71"/>
      <c r="D187" s="71"/>
      <c r="E187" s="71"/>
      <c r="F187" s="101"/>
      <c r="G187" s="101"/>
      <c r="H187" s="71"/>
      <c r="I187" s="71"/>
      <c r="J187" s="71"/>
      <c r="K187" s="101"/>
      <c r="L187" s="101"/>
      <c r="M187" s="101"/>
      <c r="N187" s="71"/>
      <c r="O187" s="71"/>
      <c r="P187" s="71"/>
      <c r="Q187" s="71"/>
      <c r="R187" s="101"/>
      <c r="S187" s="101"/>
      <c r="T187" s="71"/>
      <c r="U187" s="101"/>
      <c r="V187" s="101"/>
      <c r="W187" s="102"/>
      <c r="X187" s="102"/>
      <c r="Y187" s="102"/>
      <c r="Z187" s="102"/>
      <c r="AA187" s="102"/>
      <c r="AB187" s="102"/>
      <c r="AC187" s="71"/>
      <c r="AD187" s="101"/>
      <c r="AE187" s="101"/>
      <c r="AF187" s="102"/>
      <c r="AG187" s="102"/>
      <c r="AH187" s="102"/>
      <c r="AI187" s="101"/>
      <c r="AJ187" s="88"/>
      <c r="AK187" s="88"/>
      <c r="AM187" s="71"/>
      <c r="AN187" s="101"/>
      <c r="AO187" s="101"/>
      <c r="AP187" s="101"/>
      <c r="AQ187" s="101"/>
      <c r="AR187" s="103"/>
      <c r="AS187" s="103"/>
      <c r="AT187" s="103"/>
      <c r="AU187" s="103"/>
      <c r="AV187" s="103"/>
      <c r="BA187" s="103"/>
      <c r="BF187" s="103"/>
      <c r="BG187" s="103"/>
      <c r="BH187" s="103"/>
      <c r="CK187" s="103"/>
      <c r="CL187" s="103"/>
      <c r="CM187" s="103"/>
      <c r="CN187" s="103"/>
      <c r="CO187" s="103"/>
      <c r="CP187" s="103"/>
      <c r="CQ187" s="103"/>
      <c r="CR187" s="103"/>
      <c r="CS187" s="103"/>
      <c r="CT187" s="103"/>
      <c r="DH187" s="103"/>
      <c r="DI187" s="103"/>
      <c r="DJ187" s="103"/>
      <c r="DK187" s="103"/>
      <c r="DL187" s="103"/>
      <c r="DM187" s="103"/>
      <c r="DN187" s="103"/>
      <c r="DO187" s="103"/>
      <c r="DP187" s="103"/>
      <c r="DQ187" s="103"/>
    </row>
    <row r="188" spans="1:121" s="90" customFormat="1" x14ac:dyDescent="0.25">
      <c r="A188" s="71"/>
      <c r="B188" s="71"/>
      <c r="C188" s="71"/>
      <c r="D188" s="71"/>
      <c r="E188" s="71"/>
      <c r="F188" s="101"/>
      <c r="G188" s="101"/>
      <c r="H188" s="71"/>
      <c r="I188" s="71"/>
      <c r="J188" s="71"/>
      <c r="K188" s="101"/>
      <c r="L188" s="101"/>
      <c r="M188" s="101"/>
      <c r="N188" s="71"/>
      <c r="O188" s="71"/>
      <c r="P188" s="71"/>
      <c r="Q188" s="71"/>
      <c r="R188" s="101"/>
      <c r="S188" s="101"/>
      <c r="T188" s="71"/>
      <c r="U188" s="101"/>
      <c r="V188" s="101"/>
      <c r="W188" s="102"/>
      <c r="X188" s="102"/>
      <c r="Y188" s="102"/>
      <c r="Z188" s="102"/>
      <c r="AA188" s="102"/>
      <c r="AB188" s="102"/>
      <c r="AC188" s="71"/>
      <c r="AD188" s="101"/>
      <c r="AE188" s="101"/>
      <c r="AF188" s="102"/>
      <c r="AG188" s="102"/>
      <c r="AH188" s="102"/>
      <c r="AI188" s="101"/>
      <c r="AJ188" s="88"/>
      <c r="AK188" s="88"/>
      <c r="AM188" s="71"/>
      <c r="AN188" s="101"/>
      <c r="AO188" s="101"/>
      <c r="AP188" s="101"/>
      <c r="AQ188" s="101"/>
      <c r="AR188" s="103"/>
      <c r="AS188" s="103"/>
      <c r="AT188" s="103"/>
      <c r="AU188" s="103"/>
      <c r="AV188" s="103"/>
      <c r="BA188" s="103"/>
      <c r="BF188" s="103"/>
      <c r="BG188" s="103"/>
      <c r="BH188" s="103"/>
      <c r="CK188" s="103"/>
      <c r="CL188" s="103"/>
      <c r="CM188" s="103"/>
      <c r="CN188" s="103"/>
      <c r="CO188" s="103"/>
      <c r="CP188" s="103"/>
      <c r="CQ188" s="103"/>
      <c r="CR188" s="103"/>
      <c r="CS188" s="103"/>
      <c r="CT188" s="103"/>
      <c r="DH188" s="103"/>
      <c r="DI188" s="103"/>
      <c r="DJ188" s="103"/>
      <c r="DK188" s="103"/>
      <c r="DL188" s="103"/>
      <c r="DM188" s="103"/>
      <c r="DN188" s="103"/>
      <c r="DO188" s="103"/>
      <c r="DP188" s="103"/>
      <c r="DQ188" s="103"/>
    </row>
    <row r="189" spans="1:121" s="90" customFormat="1" x14ac:dyDescent="0.25">
      <c r="A189" s="71"/>
      <c r="B189" s="71"/>
      <c r="C189" s="71"/>
      <c r="D189" s="71"/>
      <c r="E189" s="71"/>
      <c r="F189" s="101"/>
      <c r="G189" s="101"/>
      <c r="H189" s="71"/>
      <c r="I189" s="71"/>
      <c r="J189" s="71"/>
      <c r="K189" s="101"/>
      <c r="L189" s="101"/>
      <c r="M189" s="101"/>
      <c r="N189" s="71"/>
      <c r="O189" s="71"/>
      <c r="P189" s="71"/>
      <c r="Q189" s="71"/>
      <c r="R189" s="101"/>
      <c r="S189" s="101"/>
      <c r="T189" s="71"/>
      <c r="U189" s="101"/>
      <c r="V189" s="101"/>
      <c r="W189" s="102"/>
      <c r="X189" s="102"/>
      <c r="Y189" s="102"/>
      <c r="Z189" s="102"/>
      <c r="AA189" s="102"/>
      <c r="AB189" s="102"/>
      <c r="AC189" s="71"/>
      <c r="AD189" s="101"/>
      <c r="AE189" s="101"/>
      <c r="AF189" s="102"/>
      <c r="AG189" s="102"/>
      <c r="AH189" s="102"/>
      <c r="AI189" s="101"/>
      <c r="AJ189" s="88"/>
      <c r="AK189" s="88"/>
      <c r="AM189" s="71"/>
      <c r="AN189" s="101"/>
      <c r="AO189" s="101"/>
      <c r="AP189" s="101"/>
      <c r="AQ189" s="101"/>
      <c r="AR189" s="103"/>
      <c r="AS189" s="103"/>
      <c r="AT189" s="103"/>
      <c r="AU189" s="103"/>
      <c r="AV189" s="103"/>
      <c r="BA189" s="103"/>
      <c r="BF189" s="103"/>
      <c r="BG189" s="103"/>
      <c r="BH189" s="103"/>
      <c r="CK189" s="103"/>
      <c r="CL189" s="103"/>
      <c r="CM189" s="103"/>
      <c r="CN189" s="103"/>
      <c r="CO189" s="103"/>
      <c r="CP189" s="103"/>
      <c r="CQ189" s="103"/>
      <c r="CR189" s="103"/>
      <c r="CS189" s="103"/>
      <c r="CT189" s="103"/>
      <c r="DH189" s="103"/>
      <c r="DI189" s="103"/>
      <c r="DJ189" s="103"/>
      <c r="DK189" s="103"/>
      <c r="DL189" s="103"/>
      <c r="DM189" s="103"/>
      <c r="DN189" s="103"/>
      <c r="DO189" s="103"/>
      <c r="DP189" s="103"/>
      <c r="DQ189" s="103"/>
    </row>
    <row r="190" spans="1:121" s="90" customFormat="1" x14ac:dyDescent="0.25">
      <c r="A190" s="71"/>
      <c r="B190" s="71"/>
      <c r="C190" s="71"/>
      <c r="D190" s="71"/>
      <c r="E190" s="71"/>
      <c r="F190" s="101"/>
      <c r="G190" s="101"/>
      <c r="H190" s="71"/>
      <c r="I190" s="71"/>
      <c r="J190" s="71"/>
      <c r="K190" s="101"/>
      <c r="L190" s="101"/>
      <c r="M190" s="101"/>
      <c r="N190" s="71"/>
      <c r="O190" s="71"/>
      <c r="P190" s="71"/>
      <c r="Q190" s="71"/>
      <c r="R190" s="101"/>
      <c r="S190" s="101"/>
      <c r="T190" s="71"/>
      <c r="U190" s="101"/>
      <c r="V190" s="101"/>
      <c r="W190" s="102"/>
      <c r="X190" s="102"/>
      <c r="Y190" s="102"/>
      <c r="Z190" s="102"/>
      <c r="AA190" s="102"/>
      <c r="AB190" s="102"/>
      <c r="AC190" s="71"/>
      <c r="AD190" s="101"/>
      <c r="AE190" s="101"/>
      <c r="AF190" s="102"/>
      <c r="AG190" s="102"/>
      <c r="AH190" s="102"/>
      <c r="AI190" s="101"/>
      <c r="AJ190" s="88"/>
      <c r="AK190" s="88"/>
      <c r="AM190" s="71"/>
      <c r="AN190" s="101"/>
      <c r="AO190" s="101"/>
      <c r="AP190" s="101"/>
      <c r="AQ190" s="101"/>
      <c r="AR190" s="103"/>
      <c r="AS190" s="103"/>
      <c r="AT190" s="103"/>
      <c r="AU190" s="103"/>
      <c r="AV190" s="103"/>
      <c r="BA190" s="103"/>
      <c r="BF190" s="103"/>
      <c r="BG190" s="103"/>
      <c r="BH190" s="103"/>
      <c r="CK190" s="103"/>
      <c r="CL190" s="103"/>
      <c r="CM190" s="103"/>
      <c r="CN190" s="103"/>
      <c r="CO190" s="103"/>
      <c r="CP190" s="103"/>
      <c r="CQ190" s="103"/>
      <c r="CR190" s="103"/>
      <c r="CS190" s="103"/>
      <c r="CT190" s="103"/>
      <c r="DH190" s="103"/>
      <c r="DI190" s="103"/>
      <c r="DJ190" s="103"/>
      <c r="DK190" s="103"/>
      <c r="DL190" s="103"/>
      <c r="DM190" s="103"/>
      <c r="DN190" s="103"/>
      <c r="DO190" s="103"/>
      <c r="DP190" s="103"/>
      <c r="DQ190" s="103"/>
    </row>
    <row r="191" spans="1:121" s="90" customFormat="1" x14ac:dyDescent="0.25">
      <c r="A191" s="71"/>
      <c r="B191" s="71"/>
      <c r="C191" s="71"/>
      <c r="D191" s="71"/>
      <c r="E191" s="71"/>
      <c r="F191" s="101"/>
      <c r="G191" s="101"/>
      <c r="H191" s="71"/>
      <c r="I191" s="71"/>
      <c r="J191" s="71"/>
      <c r="K191" s="101"/>
      <c r="L191" s="101"/>
      <c r="M191" s="101"/>
      <c r="N191" s="71"/>
      <c r="O191" s="71"/>
      <c r="P191" s="71"/>
      <c r="Q191" s="71"/>
      <c r="R191" s="101"/>
      <c r="S191" s="101"/>
      <c r="T191" s="71"/>
      <c r="U191" s="101"/>
      <c r="V191" s="101"/>
      <c r="W191" s="102"/>
      <c r="X191" s="102"/>
      <c r="Y191" s="102"/>
      <c r="Z191" s="102"/>
      <c r="AA191" s="102"/>
      <c r="AB191" s="102"/>
      <c r="AC191" s="71"/>
      <c r="AD191" s="101"/>
      <c r="AE191" s="101"/>
      <c r="AF191" s="102"/>
      <c r="AG191" s="102"/>
      <c r="AH191" s="102"/>
      <c r="AI191" s="101"/>
      <c r="AJ191" s="88"/>
      <c r="AK191" s="88"/>
      <c r="AM191" s="71"/>
      <c r="AN191" s="101"/>
      <c r="AO191" s="101"/>
      <c r="AP191" s="101"/>
      <c r="AQ191" s="101"/>
      <c r="AR191" s="103"/>
      <c r="AS191" s="103"/>
      <c r="AT191" s="103"/>
      <c r="AU191" s="103"/>
      <c r="AV191" s="103"/>
      <c r="BA191" s="103"/>
      <c r="BF191" s="103"/>
      <c r="BG191" s="103"/>
      <c r="BH191" s="103"/>
      <c r="CK191" s="103"/>
      <c r="CL191" s="103"/>
      <c r="CM191" s="103"/>
      <c r="CN191" s="103"/>
      <c r="CO191" s="103"/>
      <c r="CP191" s="103"/>
      <c r="CQ191" s="103"/>
      <c r="CR191" s="103"/>
      <c r="CS191" s="103"/>
      <c r="CT191" s="103"/>
      <c r="DH191" s="103"/>
      <c r="DI191" s="103"/>
      <c r="DJ191" s="103"/>
      <c r="DK191" s="103"/>
      <c r="DL191" s="103"/>
      <c r="DM191" s="103"/>
      <c r="DN191" s="103"/>
      <c r="DO191" s="103"/>
      <c r="DP191" s="103"/>
      <c r="DQ191" s="103"/>
    </row>
    <row r="192" spans="1:121" s="90" customFormat="1" x14ac:dyDescent="0.25">
      <c r="A192" s="71"/>
      <c r="B192" s="71"/>
      <c r="C192" s="71"/>
      <c r="D192" s="71"/>
      <c r="E192" s="71"/>
      <c r="F192" s="101"/>
      <c r="G192" s="101"/>
      <c r="H192" s="71"/>
      <c r="I192" s="71"/>
      <c r="J192" s="71"/>
      <c r="K192" s="101"/>
      <c r="L192" s="101"/>
      <c r="M192" s="101"/>
      <c r="N192" s="71"/>
      <c r="O192" s="71"/>
      <c r="P192" s="71"/>
      <c r="Q192" s="71"/>
      <c r="R192" s="101"/>
      <c r="S192" s="101"/>
      <c r="T192" s="71"/>
      <c r="U192" s="101"/>
      <c r="V192" s="101"/>
      <c r="W192" s="102"/>
      <c r="X192" s="102"/>
      <c r="Y192" s="102"/>
      <c r="Z192" s="102"/>
      <c r="AA192" s="102"/>
      <c r="AB192" s="102"/>
      <c r="AC192" s="71"/>
      <c r="AD192" s="101"/>
      <c r="AE192" s="101"/>
      <c r="AF192" s="102"/>
      <c r="AG192" s="102"/>
      <c r="AH192" s="102"/>
      <c r="AI192" s="101"/>
      <c r="AJ192" s="88"/>
      <c r="AK192" s="88"/>
      <c r="AM192" s="71"/>
      <c r="AN192" s="101"/>
      <c r="AO192" s="101"/>
      <c r="AP192" s="101"/>
      <c r="AQ192" s="101"/>
      <c r="AR192" s="103"/>
      <c r="AS192" s="103"/>
      <c r="AT192" s="103"/>
      <c r="AU192" s="103"/>
      <c r="AV192" s="103"/>
      <c r="BA192" s="103"/>
      <c r="BF192" s="103"/>
      <c r="BG192" s="103"/>
      <c r="BH192" s="103"/>
      <c r="CK192" s="103"/>
      <c r="CL192" s="103"/>
      <c r="CM192" s="103"/>
      <c r="CN192" s="103"/>
      <c r="CO192" s="103"/>
      <c r="CP192" s="103"/>
      <c r="CQ192" s="103"/>
      <c r="CR192" s="103"/>
      <c r="CS192" s="103"/>
      <c r="CT192" s="103"/>
      <c r="DH192" s="103"/>
      <c r="DI192" s="103"/>
      <c r="DJ192" s="103"/>
      <c r="DK192" s="103"/>
      <c r="DL192" s="103"/>
      <c r="DM192" s="103"/>
      <c r="DN192" s="103"/>
      <c r="DO192" s="103"/>
      <c r="DP192" s="103"/>
      <c r="DQ192" s="103"/>
    </row>
    <row r="193" spans="1:121" s="90" customFormat="1" x14ac:dyDescent="0.25">
      <c r="A193" s="71"/>
      <c r="B193" s="71"/>
      <c r="C193" s="71"/>
      <c r="D193" s="71"/>
      <c r="E193" s="71"/>
      <c r="F193" s="101"/>
      <c r="G193" s="101"/>
      <c r="H193" s="71"/>
      <c r="I193" s="71"/>
      <c r="J193" s="71"/>
      <c r="K193" s="101"/>
      <c r="L193" s="101"/>
      <c r="M193" s="101"/>
      <c r="N193" s="71"/>
      <c r="O193" s="71"/>
      <c r="P193" s="71"/>
      <c r="Q193" s="71"/>
      <c r="R193" s="101"/>
      <c r="S193" s="101"/>
      <c r="T193" s="71"/>
      <c r="U193" s="101"/>
      <c r="V193" s="101"/>
      <c r="W193" s="102"/>
      <c r="X193" s="102"/>
      <c r="Y193" s="102"/>
      <c r="Z193" s="102"/>
      <c r="AA193" s="102"/>
      <c r="AB193" s="102"/>
      <c r="AC193" s="71"/>
      <c r="AD193" s="101"/>
      <c r="AE193" s="101"/>
      <c r="AF193" s="102"/>
      <c r="AG193" s="102"/>
      <c r="AH193" s="102"/>
      <c r="AI193" s="101"/>
      <c r="AJ193" s="88"/>
      <c r="AK193" s="88"/>
      <c r="AM193" s="71"/>
      <c r="AN193" s="101"/>
      <c r="AO193" s="101"/>
      <c r="AP193" s="101"/>
      <c r="AQ193" s="101"/>
      <c r="AR193" s="103"/>
      <c r="AS193" s="103"/>
      <c r="AT193" s="103"/>
      <c r="AU193" s="103"/>
      <c r="AV193" s="103"/>
      <c r="BA193" s="103"/>
      <c r="BF193" s="103"/>
      <c r="BG193" s="103"/>
      <c r="BH193" s="103"/>
      <c r="CK193" s="103"/>
      <c r="CL193" s="103"/>
      <c r="CM193" s="103"/>
      <c r="CN193" s="103"/>
      <c r="CO193" s="103"/>
      <c r="CP193" s="103"/>
      <c r="CQ193" s="103"/>
      <c r="CR193" s="103"/>
      <c r="CS193" s="103"/>
      <c r="CT193" s="103"/>
      <c r="DH193" s="103"/>
      <c r="DI193" s="103"/>
      <c r="DJ193" s="103"/>
      <c r="DK193" s="103"/>
      <c r="DL193" s="103"/>
      <c r="DM193" s="103"/>
      <c r="DN193" s="103"/>
      <c r="DO193" s="103"/>
      <c r="DP193" s="103"/>
      <c r="DQ193" s="103"/>
    </row>
    <row r="194" spans="1:121" s="90" customFormat="1" x14ac:dyDescent="0.25">
      <c r="A194" s="71"/>
      <c r="B194" s="71"/>
      <c r="C194" s="71"/>
      <c r="D194" s="71"/>
      <c r="E194" s="71"/>
      <c r="F194" s="101"/>
      <c r="G194" s="101"/>
      <c r="H194" s="71"/>
      <c r="I194" s="71"/>
      <c r="J194" s="71"/>
      <c r="K194" s="101"/>
      <c r="L194" s="101"/>
      <c r="M194" s="101"/>
      <c r="N194" s="71"/>
      <c r="O194" s="71"/>
      <c r="P194" s="71"/>
      <c r="Q194" s="71"/>
      <c r="R194" s="101"/>
      <c r="S194" s="101"/>
      <c r="T194" s="71"/>
      <c r="U194" s="101"/>
      <c r="V194" s="101"/>
      <c r="W194" s="102"/>
      <c r="X194" s="102"/>
      <c r="Y194" s="102"/>
      <c r="Z194" s="102"/>
      <c r="AA194" s="102"/>
      <c r="AB194" s="102"/>
      <c r="AC194" s="71"/>
      <c r="AD194" s="101"/>
      <c r="AE194" s="101"/>
      <c r="AF194" s="102"/>
      <c r="AG194" s="102"/>
      <c r="AH194" s="102"/>
      <c r="AI194" s="101"/>
      <c r="AJ194" s="88"/>
      <c r="AK194" s="88"/>
      <c r="AM194" s="71"/>
      <c r="AN194" s="101"/>
      <c r="AO194" s="101"/>
      <c r="AP194" s="101"/>
      <c r="AQ194" s="101"/>
      <c r="AR194" s="103"/>
      <c r="AS194" s="103"/>
      <c r="AT194" s="103"/>
      <c r="AU194" s="103"/>
      <c r="AV194" s="103"/>
      <c r="BA194" s="103"/>
      <c r="BF194" s="103"/>
      <c r="BG194" s="103"/>
      <c r="BH194" s="103"/>
      <c r="CK194" s="103"/>
      <c r="CL194" s="103"/>
      <c r="CM194" s="103"/>
      <c r="CN194" s="103"/>
      <c r="CO194" s="103"/>
      <c r="CP194" s="103"/>
      <c r="CQ194" s="103"/>
      <c r="CR194" s="103"/>
      <c r="CS194" s="103"/>
      <c r="CT194" s="103"/>
      <c r="DH194" s="103"/>
      <c r="DI194" s="103"/>
      <c r="DJ194" s="103"/>
      <c r="DK194" s="103"/>
      <c r="DL194" s="103"/>
      <c r="DM194" s="103"/>
      <c r="DN194" s="103"/>
      <c r="DO194" s="103"/>
      <c r="DP194" s="103"/>
      <c r="DQ194" s="103"/>
    </row>
    <row r="195" spans="1:121" s="90" customFormat="1" x14ac:dyDescent="0.25">
      <c r="A195" s="71"/>
      <c r="B195" s="71"/>
      <c r="C195" s="71"/>
      <c r="D195" s="71"/>
      <c r="E195" s="71"/>
      <c r="F195" s="101"/>
      <c r="G195" s="101"/>
      <c r="H195" s="71"/>
      <c r="I195" s="71"/>
      <c r="J195" s="71"/>
      <c r="K195" s="101"/>
      <c r="L195" s="101"/>
      <c r="M195" s="101"/>
      <c r="N195" s="71"/>
      <c r="O195" s="71"/>
      <c r="P195" s="71"/>
      <c r="Q195" s="71"/>
      <c r="R195" s="101"/>
      <c r="S195" s="101"/>
      <c r="T195" s="71"/>
      <c r="U195" s="101"/>
      <c r="V195" s="101"/>
      <c r="W195" s="102"/>
      <c r="X195" s="102"/>
      <c r="Y195" s="102"/>
      <c r="Z195" s="102"/>
      <c r="AA195" s="102"/>
      <c r="AB195" s="102"/>
      <c r="AC195" s="71"/>
      <c r="AD195" s="101"/>
      <c r="AE195" s="101"/>
      <c r="AF195" s="102"/>
      <c r="AG195" s="102"/>
      <c r="AH195" s="102"/>
      <c r="AI195" s="101"/>
      <c r="AJ195" s="88"/>
      <c r="AK195" s="88"/>
      <c r="AM195" s="71"/>
      <c r="AN195" s="101"/>
      <c r="AO195" s="101"/>
      <c r="AP195" s="101"/>
      <c r="AQ195" s="101"/>
      <c r="AR195" s="103"/>
      <c r="AS195" s="103"/>
      <c r="AT195" s="103"/>
      <c r="AU195" s="103"/>
      <c r="AV195" s="103"/>
      <c r="BA195" s="103"/>
      <c r="BF195" s="103"/>
      <c r="BG195" s="103"/>
      <c r="BH195" s="103"/>
      <c r="CK195" s="103"/>
      <c r="CL195" s="103"/>
      <c r="CM195" s="103"/>
      <c r="CN195" s="103"/>
      <c r="CO195" s="103"/>
      <c r="CP195" s="103"/>
      <c r="CQ195" s="103"/>
      <c r="CR195" s="103"/>
      <c r="CS195" s="103"/>
      <c r="CT195" s="103"/>
      <c r="DH195" s="103"/>
      <c r="DI195" s="103"/>
      <c r="DJ195" s="103"/>
      <c r="DK195" s="103"/>
      <c r="DL195" s="103"/>
      <c r="DM195" s="103"/>
      <c r="DN195" s="103"/>
      <c r="DO195" s="103"/>
      <c r="DP195" s="103"/>
      <c r="DQ195" s="103"/>
    </row>
    <row r="196" spans="1:121" s="90" customFormat="1" x14ac:dyDescent="0.25">
      <c r="A196" s="71"/>
      <c r="B196" s="71"/>
      <c r="C196" s="71"/>
      <c r="D196" s="71"/>
      <c r="E196" s="71"/>
      <c r="F196" s="101"/>
      <c r="G196" s="101"/>
      <c r="H196" s="71"/>
      <c r="I196" s="71"/>
      <c r="J196" s="71"/>
      <c r="K196" s="101"/>
      <c r="L196" s="101"/>
      <c r="M196" s="101"/>
      <c r="N196" s="71"/>
      <c r="O196" s="71"/>
      <c r="P196" s="71"/>
      <c r="Q196" s="71"/>
      <c r="R196" s="101"/>
      <c r="S196" s="101"/>
      <c r="T196" s="71"/>
      <c r="U196" s="101"/>
      <c r="V196" s="101"/>
      <c r="W196" s="102"/>
      <c r="X196" s="102"/>
      <c r="Y196" s="102"/>
      <c r="Z196" s="102"/>
      <c r="AA196" s="102"/>
      <c r="AB196" s="102"/>
      <c r="AC196" s="71"/>
      <c r="AD196" s="101"/>
      <c r="AE196" s="101"/>
      <c r="AF196" s="102"/>
      <c r="AG196" s="102"/>
      <c r="AH196" s="102"/>
      <c r="AI196" s="101"/>
      <c r="AJ196" s="88"/>
      <c r="AK196" s="88"/>
      <c r="AM196" s="71"/>
      <c r="AN196" s="101"/>
      <c r="AO196" s="101"/>
      <c r="AP196" s="101"/>
      <c r="AQ196" s="101"/>
      <c r="AR196" s="103"/>
      <c r="AS196" s="103"/>
      <c r="AT196" s="103"/>
      <c r="AU196" s="103"/>
      <c r="AV196" s="103"/>
      <c r="BA196" s="103"/>
      <c r="BF196" s="103"/>
      <c r="BG196" s="103"/>
      <c r="BH196" s="103"/>
      <c r="CK196" s="103"/>
      <c r="CL196" s="103"/>
      <c r="CM196" s="103"/>
      <c r="CN196" s="103"/>
      <c r="CO196" s="103"/>
      <c r="CP196" s="103"/>
      <c r="CQ196" s="103"/>
      <c r="CR196" s="103"/>
      <c r="CS196" s="103"/>
      <c r="CT196" s="103"/>
      <c r="DH196" s="103"/>
      <c r="DI196" s="103"/>
      <c r="DJ196" s="103"/>
      <c r="DK196" s="103"/>
      <c r="DL196" s="103"/>
      <c r="DM196" s="103"/>
      <c r="DN196" s="103"/>
      <c r="DO196" s="103"/>
      <c r="DP196" s="103"/>
      <c r="DQ196" s="103"/>
    </row>
    <row r="197" spans="1:121" s="90" customFormat="1" x14ac:dyDescent="0.25">
      <c r="A197" s="71"/>
      <c r="B197" s="71"/>
      <c r="C197" s="71"/>
      <c r="D197" s="71"/>
      <c r="E197" s="71"/>
      <c r="F197" s="101"/>
      <c r="G197" s="101"/>
      <c r="H197" s="71"/>
      <c r="I197" s="71"/>
      <c r="J197" s="71"/>
      <c r="K197" s="101"/>
      <c r="L197" s="101"/>
      <c r="M197" s="101"/>
      <c r="N197" s="71"/>
      <c r="O197" s="71"/>
      <c r="P197" s="71"/>
      <c r="Q197" s="71"/>
      <c r="R197" s="101"/>
      <c r="S197" s="101"/>
      <c r="T197" s="71"/>
      <c r="U197" s="101"/>
      <c r="V197" s="101"/>
      <c r="W197" s="102"/>
      <c r="X197" s="102"/>
      <c r="Y197" s="102"/>
      <c r="Z197" s="102"/>
      <c r="AA197" s="102"/>
      <c r="AB197" s="102"/>
      <c r="AC197" s="71"/>
      <c r="AD197" s="101"/>
      <c r="AE197" s="101"/>
      <c r="AF197" s="102"/>
      <c r="AG197" s="102"/>
      <c r="AH197" s="102"/>
      <c r="AI197" s="101"/>
      <c r="AJ197" s="88"/>
      <c r="AK197" s="88"/>
      <c r="AM197" s="71"/>
      <c r="AN197" s="101"/>
      <c r="AO197" s="101"/>
      <c r="AP197" s="101"/>
      <c r="AQ197" s="101"/>
      <c r="AR197" s="103"/>
      <c r="AS197" s="103"/>
      <c r="AT197" s="103"/>
      <c r="AU197" s="103"/>
      <c r="AV197" s="103"/>
      <c r="BA197" s="103"/>
      <c r="BF197" s="103"/>
      <c r="BG197" s="103"/>
      <c r="BH197" s="103"/>
      <c r="CK197" s="103"/>
      <c r="CL197" s="103"/>
      <c r="CM197" s="103"/>
      <c r="CN197" s="103"/>
      <c r="CO197" s="103"/>
      <c r="CP197" s="103"/>
      <c r="CQ197" s="103"/>
      <c r="CR197" s="103"/>
      <c r="CS197" s="103"/>
      <c r="CT197" s="103"/>
      <c r="DH197" s="103"/>
      <c r="DI197" s="103"/>
      <c r="DJ197" s="103"/>
      <c r="DK197" s="103"/>
      <c r="DL197" s="103"/>
      <c r="DM197" s="103"/>
      <c r="DN197" s="103"/>
      <c r="DO197" s="103"/>
      <c r="DP197" s="103"/>
      <c r="DQ197" s="103"/>
    </row>
    <row r="198" spans="1:121" s="90" customFormat="1" x14ac:dyDescent="0.25">
      <c r="A198" s="71"/>
      <c r="B198" s="71"/>
      <c r="C198" s="71"/>
      <c r="D198" s="71"/>
      <c r="E198" s="71"/>
      <c r="F198" s="101"/>
      <c r="G198" s="101"/>
      <c r="H198" s="71"/>
      <c r="I198" s="71"/>
      <c r="J198" s="71"/>
      <c r="K198" s="101"/>
      <c r="L198" s="101"/>
      <c r="M198" s="101"/>
      <c r="N198" s="71"/>
      <c r="O198" s="71"/>
      <c r="P198" s="71"/>
      <c r="Q198" s="71"/>
      <c r="R198" s="101"/>
      <c r="S198" s="101"/>
      <c r="T198" s="71"/>
      <c r="U198" s="101"/>
      <c r="V198" s="101"/>
      <c r="W198" s="102"/>
      <c r="X198" s="102"/>
      <c r="Y198" s="102"/>
      <c r="Z198" s="102"/>
      <c r="AA198" s="102"/>
      <c r="AB198" s="102"/>
      <c r="AC198" s="71"/>
      <c r="AD198" s="101"/>
      <c r="AE198" s="101"/>
      <c r="AF198" s="102"/>
      <c r="AG198" s="102"/>
      <c r="AH198" s="102"/>
      <c r="AI198" s="101"/>
      <c r="AJ198" s="88"/>
      <c r="AK198" s="88"/>
      <c r="AM198" s="71"/>
      <c r="AN198" s="101"/>
      <c r="AO198" s="101"/>
      <c r="AP198" s="101"/>
      <c r="AQ198" s="101"/>
      <c r="AR198" s="103"/>
      <c r="AS198" s="103"/>
      <c r="AT198" s="103"/>
      <c r="AU198" s="103"/>
      <c r="AV198" s="103"/>
      <c r="BA198" s="103"/>
      <c r="BF198" s="103"/>
      <c r="BG198" s="103"/>
      <c r="BH198" s="103"/>
      <c r="CK198" s="103"/>
      <c r="CL198" s="103"/>
      <c r="CM198" s="103"/>
      <c r="CN198" s="103"/>
      <c r="CO198" s="103"/>
      <c r="CP198" s="103"/>
      <c r="CQ198" s="103"/>
      <c r="CR198" s="103"/>
      <c r="CS198" s="103"/>
      <c r="CT198" s="103"/>
      <c r="DH198" s="103"/>
      <c r="DI198" s="103"/>
      <c r="DJ198" s="103"/>
      <c r="DK198" s="103"/>
      <c r="DL198" s="103"/>
      <c r="DM198" s="103"/>
      <c r="DN198" s="103"/>
      <c r="DO198" s="103"/>
      <c r="DP198" s="103"/>
      <c r="DQ198" s="103"/>
    </row>
    <row r="199" spans="1:121" s="90" customFormat="1" x14ac:dyDescent="0.25">
      <c r="A199" s="71"/>
      <c r="B199" s="71"/>
      <c r="C199" s="71"/>
      <c r="D199" s="71"/>
      <c r="E199" s="71"/>
      <c r="F199" s="101"/>
      <c r="G199" s="101"/>
      <c r="H199" s="71"/>
      <c r="I199" s="71"/>
      <c r="J199" s="71"/>
      <c r="K199" s="101"/>
      <c r="L199" s="101"/>
      <c r="M199" s="101"/>
      <c r="N199" s="71"/>
      <c r="O199" s="71"/>
      <c r="P199" s="71"/>
      <c r="Q199" s="71"/>
      <c r="R199" s="101"/>
      <c r="S199" s="101"/>
      <c r="T199" s="71"/>
      <c r="U199" s="101"/>
      <c r="V199" s="101"/>
      <c r="W199" s="102"/>
      <c r="X199" s="102"/>
      <c r="Y199" s="102"/>
      <c r="Z199" s="102"/>
      <c r="AA199" s="102"/>
      <c r="AB199" s="102"/>
      <c r="AC199" s="71"/>
      <c r="AD199" s="101"/>
      <c r="AE199" s="101"/>
      <c r="AF199" s="102"/>
      <c r="AG199" s="102"/>
      <c r="AH199" s="102"/>
      <c r="AI199" s="101"/>
      <c r="AJ199" s="88"/>
      <c r="AK199" s="88"/>
      <c r="AM199" s="71"/>
      <c r="AN199" s="101"/>
      <c r="AO199" s="101"/>
      <c r="AP199" s="101"/>
      <c r="AQ199" s="101"/>
      <c r="AR199" s="103"/>
      <c r="AS199" s="103"/>
      <c r="AT199" s="103"/>
      <c r="AU199" s="103"/>
      <c r="AV199" s="103"/>
      <c r="BA199" s="103"/>
      <c r="BF199" s="103"/>
      <c r="BG199" s="103"/>
      <c r="BH199" s="103"/>
      <c r="CK199" s="103"/>
      <c r="CL199" s="103"/>
      <c r="CM199" s="103"/>
      <c r="CN199" s="103"/>
      <c r="CO199" s="103"/>
      <c r="CP199" s="103"/>
      <c r="CQ199" s="103"/>
      <c r="CR199" s="103"/>
      <c r="CS199" s="103"/>
      <c r="CT199" s="103"/>
      <c r="DH199" s="103"/>
      <c r="DI199" s="103"/>
      <c r="DJ199" s="103"/>
      <c r="DK199" s="103"/>
      <c r="DL199" s="103"/>
      <c r="DM199" s="103"/>
      <c r="DN199" s="103"/>
      <c r="DO199" s="103"/>
      <c r="DP199" s="103"/>
      <c r="DQ199" s="103"/>
    </row>
    <row r="200" spans="1:121" s="90" customFormat="1" x14ac:dyDescent="0.25">
      <c r="A200" s="71"/>
      <c r="B200" s="71"/>
      <c r="C200" s="71"/>
      <c r="D200" s="71"/>
      <c r="E200" s="71"/>
      <c r="F200" s="101"/>
      <c r="G200" s="101"/>
      <c r="H200" s="71"/>
      <c r="I200" s="71"/>
      <c r="J200" s="71"/>
      <c r="K200" s="101"/>
      <c r="L200" s="101"/>
      <c r="M200" s="101"/>
      <c r="N200" s="71"/>
      <c r="O200" s="71"/>
      <c r="P200" s="71"/>
      <c r="Q200" s="71"/>
      <c r="R200" s="101"/>
      <c r="S200" s="101"/>
      <c r="T200" s="71"/>
      <c r="U200" s="101"/>
      <c r="V200" s="101"/>
      <c r="W200" s="102"/>
      <c r="X200" s="102"/>
      <c r="Y200" s="102"/>
      <c r="Z200" s="102"/>
      <c r="AA200" s="102"/>
      <c r="AB200" s="102"/>
      <c r="AC200" s="71"/>
      <c r="AD200" s="101"/>
      <c r="AE200" s="101"/>
      <c r="AF200" s="102"/>
      <c r="AG200" s="102"/>
      <c r="AH200" s="102"/>
      <c r="AI200" s="101"/>
      <c r="AJ200" s="88"/>
      <c r="AK200" s="88"/>
      <c r="AM200" s="71"/>
      <c r="AN200" s="101"/>
      <c r="AO200" s="101"/>
      <c r="AP200" s="101"/>
      <c r="AQ200" s="101"/>
      <c r="AR200" s="103"/>
      <c r="AS200" s="103"/>
      <c r="AT200" s="103"/>
      <c r="AU200" s="103"/>
      <c r="AV200" s="103"/>
      <c r="BA200" s="103"/>
      <c r="BF200" s="103"/>
      <c r="BG200" s="103"/>
      <c r="BH200" s="103"/>
      <c r="CK200" s="103"/>
      <c r="CL200" s="103"/>
      <c r="CM200" s="103"/>
      <c r="CN200" s="103"/>
      <c r="CO200" s="103"/>
      <c r="CP200" s="103"/>
      <c r="CQ200" s="103"/>
      <c r="CR200" s="103"/>
      <c r="CS200" s="103"/>
      <c r="CT200" s="103"/>
      <c r="DH200" s="103"/>
      <c r="DI200" s="103"/>
      <c r="DJ200" s="103"/>
      <c r="DK200" s="103"/>
      <c r="DL200" s="103"/>
      <c r="DM200" s="103"/>
      <c r="DN200" s="103"/>
      <c r="DO200" s="103"/>
      <c r="DP200" s="103"/>
      <c r="DQ200" s="103"/>
    </row>
    <row r="201" spans="1:121" s="90" customFormat="1" x14ac:dyDescent="0.25">
      <c r="A201" s="71"/>
      <c r="B201" s="71"/>
      <c r="C201" s="71"/>
      <c r="D201" s="71"/>
      <c r="E201" s="71"/>
      <c r="F201" s="101"/>
      <c r="G201" s="101"/>
      <c r="H201" s="71"/>
      <c r="I201" s="71"/>
      <c r="J201" s="71"/>
      <c r="K201" s="101"/>
      <c r="L201" s="101"/>
      <c r="M201" s="101"/>
      <c r="N201" s="71"/>
      <c r="O201" s="71"/>
      <c r="P201" s="71"/>
      <c r="Q201" s="71"/>
      <c r="R201" s="101"/>
      <c r="S201" s="101"/>
      <c r="T201" s="71"/>
      <c r="U201" s="101"/>
      <c r="V201" s="101"/>
      <c r="W201" s="102"/>
      <c r="X201" s="102"/>
      <c r="Y201" s="102"/>
      <c r="Z201" s="102"/>
      <c r="AA201" s="102"/>
      <c r="AB201" s="102"/>
      <c r="AC201" s="71"/>
      <c r="AD201" s="101"/>
      <c r="AE201" s="101"/>
      <c r="AF201" s="102"/>
      <c r="AG201" s="102"/>
      <c r="AH201" s="102"/>
      <c r="AI201" s="101"/>
      <c r="AJ201" s="88"/>
      <c r="AK201" s="88"/>
      <c r="AM201" s="71"/>
      <c r="AN201" s="101"/>
      <c r="AO201" s="101"/>
      <c r="AP201" s="101"/>
      <c r="AQ201" s="101"/>
      <c r="AR201" s="103"/>
      <c r="AS201" s="103"/>
      <c r="AT201" s="103"/>
      <c r="AU201" s="103"/>
      <c r="AV201" s="103"/>
      <c r="BA201" s="103"/>
      <c r="BF201" s="103"/>
      <c r="BG201" s="103"/>
      <c r="BH201" s="103"/>
      <c r="CK201" s="103"/>
      <c r="CL201" s="103"/>
      <c r="CM201" s="103"/>
      <c r="CN201" s="103"/>
      <c r="CO201" s="103"/>
      <c r="CP201" s="103"/>
      <c r="CQ201" s="103"/>
      <c r="CR201" s="103"/>
      <c r="CS201" s="103"/>
      <c r="CT201" s="103"/>
      <c r="DH201" s="103"/>
      <c r="DI201" s="103"/>
      <c r="DJ201" s="103"/>
      <c r="DK201" s="103"/>
      <c r="DL201" s="103"/>
      <c r="DM201" s="103"/>
      <c r="DN201" s="103"/>
      <c r="DO201" s="103"/>
      <c r="DP201" s="103"/>
      <c r="DQ201" s="103"/>
    </row>
    <row r="202" spans="1:121" s="90" customFormat="1" x14ac:dyDescent="0.25">
      <c r="A202" s="71"/>
      <c r="B202" s="71"/>
      <c r="C202" s="71"/>
      <c r="D202" s="71"/>
      <c r="E202" s="71"/>
      <c r="F202" s="101"/>
      <c r="G202" s="101"/>
      <c r="H202" s="71"/>
      <c r="I202" s="71"/>
      <c r="J202" s="71"/>
      <c r="K202" s="101"/>
      <c r="L202" s="101"/>
      <c r="M202" s="101"/>
      <c r="N202" s="71"/>
      <c r="O202" s="71"/>
      <c r="P202" s="71"/>
      <c r="Q202" s="71"/>
      <c r="R202" s="101"/>
      <c r="S202" s="101"/>
      <c r="T202" s="71"/>
      <c r="U202" s="101"/>
      <c r="V202" s="101"/>
      <c r="W202" s="102"/>
      <c r="X202" s="102"/>
      <c r="Y202" s="102"/>
      <c r="Z202" s="102"/>
      <c r="AA202" s="102"/>
      <c r="AB202" s="102"/>
      <c r="AC202" s="71"/>
      <c r="AD202" s="101"/>
      <c r="AE202" s="101"/>
      <c r="AF202" s="102"/>
      <c r="AG202" s="102"/>
      <c r="AH202" s="102"/>
      <c r="AI202" s="101"/>
      <c r="AJ202" s="88"/>
      <c r="AK202" s="88"/>
      <c r="AM202" s="71"/>
      <c r="AN202" s="101"/>
      <c r="AO202" s="101"/>
      <c r="AP202" s="101"/>
      <c r="AQ202" s="101"/>
      <c r="AR202" s="103"/>
      <c r="AS202" s="103"/>
      <c r="AT202" s="103"/>
      <c r="AU202" s="103"/>
      <c r="AV202" s="103"/>
      <c r="BA202" s="103"/>
      <c r="BF202" s="103"/>
      <c r="BG202" s="103"/>
      <c r="BH202" s="103"/>
      <c r="CK202" s="103"/>
      <c r="CL202" s="103"/>
      <c r="CM202" s="103"/>
      <c r="CN202" s="103"/>
      <c r="CO202" s="103"/>
      <c r="CP202" s="103"/>
      <c r="CQ202" s="103"/>
      <c r="CR202" s="103"/>
      <c r="CS202" s="103"/>
      <c r="CT202" s="103"/>
      <c r="DH202" s="103"/>
      <c r="DI202" s="103"/>
      <c r="DJ202" s="103"/>
      <c r="DK202" s="103"/>
      <c r="DL202" s="103"/>
      <c r="DM202" s="103"/>
      <c r="DN202" s="103"/>
      <c r="DO202" s="103"/>
      <c r="DP202" s="103"/>
      <c r="DQ202" s="103"/>
    </row>
    <row r="203" spans="1:121" s="90" customFormat="1" x14ac:dyDescent="0.25">
      <c r="A203" s="71"/>
      <c r="B203" s="71"/>
      <c r="C203" s="71"/>
      <c r="D203" s="71"/>
      <c r="E203" s="71"/>
      <c r="F203" s="101"/>
      <c r="G203" s="101"/>
      <c r="H203" s="71"/>
      <c r="I203" s="71"/>
      <c r="J203" s="71"/>
      <c r="K203" s="101"/>
      <c r="L203" s="101"/>
      <c r="M203" s="101"/>
      <c r="N203" s="71"/>
      <c r="O203" s="71"/>
      <c r="P203" s="71"/>
      <c r="Q203" s="71"/>
      <c r="R203" s="101"/>
      <c r="S203" s="101"/>
      <c r="T203" s="71"/>
      <c r="U203" s="101"/>
      <c r="V203" s="101"/>
      <c r="W203" s="102"/>
      <c r="X203" s="102"/>
      <c r="Y203" s="102"/>
      <c r="Z203" s="102"/>
      <c r="AA203" s="102"/>
      <c r="AB203" s="102"/>
      <c r="AC203" s="71"/>
      <c r="AD203" s="101"/>
      <c r="AE203" s="101"/>
      <c r="AF203" s="102"/>
      <c r="AG203" s="102"/>
      <c r="AH203" s="102"/>
      <c r="AI203" s="101"/>
      <c r="AJ203" s="88"/>
      <c r="AK203" s="88"/>
      <c r="AM203" s="71"/>
      <c r="AN203" s="101"/>
      <c r="AO203" s="101"/>
      <c r="AP203" s="101"/>
      <c r="AQ203" s="101"/>
      <c r="AR203" s="103"/>
      <c r="AS203" s="103"/>
      <c r="AT203" s="103"/>
      <c r="AU203" s="103"/>
      <c r="AV203" s="103"/>
      <c r="BA203" s="103"/>
      <c r="BF203" s="103"/>
      <c r="BG203" s="103"/>
      <c r="BH203" s="103"/>
      <c r="CK203" s="103"/>
      <c r="CL203" s="103"/>
      <c r="CM203" s="103"/>
      <c r="CN203" s="103"/>
      <c r="CO203" s="103"/>
      <c r="CP203" s="103"/>
      <c r="CQ203" s="103"/>
      <c r="CR203" s="103"/>
      <c r="CS203" s="103"/>
      <c r="CT203" s="103"/>
      <c r="DH203" s="103"/>
      <c r="DI203" s="103"/>
      <c r="DJ203" s="103"/>
      <c r="DK203" s="103"/>
      <c r="DL203" s="103"/>
      <c r="DM203" s="103"/>
      <c r="DN203" s="103"/>
      <c r="DO203" s="103"/>
      <c r="DP203" s="103"/>
      <c r="DQ203" s="103"/>
    </row>
    <row r="204" spans="1:121" s="90" customFormat="1" x14ac:dyDescent="0.25">
      <c r="A204" s="71"/>
      <c r="B204" s="71"/>
      <c r="C204" s="71"/>
      <c r="D204" s="71"/>
      <c r="E204" s="71"/>
      <c r="F204" s="101"/>
      <c r="G204" s="101"/>
      <c r="H204" s="71"/>
      <c r="I204" s="71"/>
      <c r="J204" s="71"/>
      <c r="K204" s="101"/>
      <c r="L204" s="101"/>
      <c r="M204" s="101"/>
      <c r="N204" s="71"/>
      <c r="O204" s="71"/>
      <c r="P204" s="71"/>
      <c r="Q204" s="71"/>
      <c r="R204" s="101"/>
      <c r="S204" s="101"/>
      <c r="T204" s="71"/>
      <c r="U204" s="101"/>
      <c r="V204" s="101"/>
      <c r="W204" s="102"/>
      <c r="X204" s="102"/>
      <c r="Y204" s="102"/>
      <c r="Z204" s="102"/>
      <c r="AA204" s="102"/>
      <c r="AB204" s="102"/>
      <c r="AC204" s="71"/>
      <c r="AD204" s="101"/>
      <c r="AE204" s="101"/>
      <c r="AF204" s="102"/>
      <c r="AG204" s="102"/>
      <c r="AH204" s="102"/>
      <c r="AI204" s="101"/>
      <c r="AJ204" s="88"/>
      <c r="AK204" s="88"/>
      <c r="AM204" s="71"/>
      <c r="AN204" s="101"/>
      <c r="AO204" s="101"/>
      <c r="AP204" s="101"/>
      <c r="AQ204" s="101"/>
      <c r="AR204" s="103"/>
      <c r="AS204" s="103"/>
      <c r="AT204" s="103"/>
      <c r="AU204" s="103"/>
      <c r="AV204" s="103"/>
      <c r="BA204" s="103"/>
      <c r="BF204" s="103"/>
      <c r="BG204" s="103"/>
      <c r="BH204" s="103"/>
      <c r="CK204" s="103"/>
      <c r="CL204" s="103"/>
      <c r="CM204" s="103"/>
      <c r="CN204" s="103"/>
      <c r="CO204" s="103"/>
      <c r="CP204" s="103"/>
      <c r="CQ204" s="103"/>
      <c r="CR204" s="103"/>
      <c r="CS204" s="103"/>
      <c r="CT204" s="103"/>
      <c r="DH204" s="103"/>
      <c r="DI204" s="103"/>
      <c r="DJ204" s="103"/>
      <c r="DK204" s="103"/>
      <c r="DL204" s="103"/>
      <c r="DM204" s="103"/>
      <c r="DN204" s="103"/>
      <c r="DO204" s="103"/>
      <c r="DP204" s="103"/>
      <c r="DQ204" s="103"/>
    </row>
    <row r="205" spans="1:121" s="90" customFormat="1" x14ac:dyDescent="0.25">
      <c r="A205" s="71"/>
      <c r="B205" s="71"/>
      <c r="C205" s="71"/>
      <c r="D205" s="71"/>
      <c r="E205" s="71"/>
      <c r="F205" s="101"/>
      <c r="G205" s="101"/>
      <c r="H205" s="71"/>
      <c r="I205" s="71"/>
      <c r="J205" s="71"/>
      <c r="K205" s="101"/>
      <c r="L205" s="101"/>
      <c r="M205" s="101"/>
      <c r="N205" s="71"/>
      <c r="O205" s="71"/>
      <c r="P205" s="71"/>
      <c r="Q205" s="71"/>
      <c r="R205" s="101"/>
      <c r="S205" s="101"/>
      <c r="T205" s="71"/>
      <c r="U205" s="101"/>
      <c r="V205" s="101"/>
      <c r="W205" s="102"/>
      <c r="X205" s="102"/>
      <c r="Y205" s="102"/>
      <c r="Z205" s="102"/>
      <c r="AA205" s="102"/>
      <c r="AB205" s="102"/>
      <c r="AC205" s="71"/>
      <c r="AD205" s="101"/>
      <c r="AE205" s="101"/>
      <c r="AF205" s="102"/>
      <c r="AG205" s="102"/>
      <c r="AH205" s="102"/>
      <c r="AI205" s="101"/>
      <c r="AJ205" s="88"/>
      <c r="AK205" s="88"/>
      <c r="AM205" s="71"/>
      <c r="AN205" s="101"/>
      <c r="AO205" s="101"/>
      <c r="AP205" s="101"/>
      <c r="AQ205" s="101"/>
      <c r="AR205" s="103"/>
      <c r="AS205" s="103"/>
      <c r="AT205" s="103"/>
      <c r="AU205" s="103"/>
      <c r="AV205" s="103"/>
      <c r="BA205" s="103"/>
      <c r="BF205" s="103"/>
      <c r="BG205" s="103"/>
      <c r="BH205" s="103"/>
      <c r="CK205" s="103"/>
      <c r="CL205" s="103"/>
      <c r="CM205" s="103"/>
      <c r="CN205" s="103"/>
      <c r="CO205" s="103"/>
      <c r="CP205" s="103"/>
      <c r="CQ205" s="103"/>
      <c r="CR205" s="103"/>
      <c r="CS205" s="103"/>
      <c r="CT205" s="103"/>
      <c r="DH205" s="103"/>
      <c r="DI205" s="103"/>
      <c r="DJ205" s="103"/>
      <c r="DK205" s="103"/>
      <c r="DL205" s="103"/>
      <c r="DM205" s="103"/>
      <c r="DN205" s="103"/>
      <c r="DO205" s="103"/>
      <c r="DP205" s="103"/>
      <c r="DQ205" s="103"/>
    </row>
    <row r="206" spans="1:121" s="90" customFormat="1" x14ac:dyDescent="0.25">
      <c r="A206" s="71"/>
      <c r="B206" s="71"/>
      <c r="C206" s="71"/>
      <c r="D206" s="71"/>
      <c r="E206" s="71"/>
      <c r="F206" s="101"/>
      <c r="G206" s="101"/>
      <c r="H206" s="71"/>
      <c r="I206" s="71"/>
      <c r="J206" s="71"/>
      <c r="K206" s="101"/>
      <c r="L206" s="101"/>
      <c r="M206" s="101"/>
      <c r="N206" s="71"/>
      <c r="O206" s="71"/>
      <c r="P206" s="71"/>
      <c r="Q206" s="71"/>
      <c r="R206" s="101"/>
      <c r="S206" s="101"/>
      <c r="T206" s="71"/>
      <c r="U206" s="101"/>
      <c r="V206" s="101"/>
      <c r="W206" s="102"/>
      <c r="X206" s="102"/>
      <c r="Y206" s="102"/>
      <c r="Z206" s="102"/>
      <c r="AA206" s="102"/>
      <c r="AB206" s="102"/>
      <c r="AC206" s="71"/>
      <c r="AD206" s="101"/>
      <c r="AE206" s="101"/>
      <c r="AF206" s="102"/>
      <c r="AG206" s="102"/>
      <c r="AH206" s="102"/>
      <c r="AI206" s="101"/>
      <c r="AJ206" s="88"/>
      <c r="AK206" s="88"/>
      <c r="AM206" s="71"/>
      <c r="AN206" s="101"/>
      <c r="AO206" s="101"/>
      <c r="AP206" s="101"/>
      <c r="AQ206" s="101"/>
      <c r="AR206" s="103"/>
      <c r="AS206" s="103"/>
      <c r="AT206" s="103"/>
      <c r="AU206" s="103"/>
      <c r="AV206" s="103"/>
      <c r="BA206" s="103"/>
      <c r="BF206" s="103"/>
      <c r="BG206" s="103"/>
      <c r="BH206" s="103"/>
      <c r="CK206" s="103"/>
      <c r="CL206" s="103"/>
      <c r="CM206" s="103"/>
      <c r="CN206" s="103"/>
      <c r="CO206" s="103"/>
      <c r="CP206" s="103"/>
      <c r="CQ206" s="103"/>
      <c r="CR206" s="103"/>
      <c r="CS206" s="103"/>
      <c r="CT206" s="103"/>
      <c r="DH206" s="103"/>
      <c r="DI206" s="103"/>
      <c r="DJ206" s="103"/>
      <c r="DK206" s="103"/>
      <c r="DL206" s="103"/>
      <c r="DM206" s="103"/>
      <c r="DN206" s="103"/>
      <c r="DO206" s="103"/>
      <c r="DP206" s="103"/>
      <c r="DQ206" s="103"/>
    </row>
    <row r="207" spans="1:121" s="90" customFormat="1" x14ac:dyDescent="0.25">
      <c r="A207" s="71"/>
      <c r="B207" s="71"/>
      <c r="C207" s="71"/>
      <c r="D207" s="71"/>
      <c r="E207" s="71"/>
      <c r="F207" s="101"/>
      <c r="G207" s="101"/>
      <c r="H207" s="71"/>
      <c r="I207" s="71"/>
      <c r="J207" s="71"/>
      <c r="K207" s="101"/>
      <c r="L207" s="101"/>
      <c r="M207" s="101"/>
      <c r="N207" s="71"/>
      <c r="O207" s="71"/>
      <c r="P207" s="71"/>
      <c r="Q207" s="71"/>
      <c r="R207" s="101"/>
      <c r="S207" s="101"/>
      <c r="T207" s="71"/>
      <c r="U207" s="101"/>
      <c r="V207" s="101"/>
      <c r="W207" s="102"/>
      <c r="X207" s="102"/>
      <c r="Y207" s="102"/>
      <c r="Z207" s="102"/>
      <c r="AA207" s="102"/>
      <c r="AB207" s="102"/>
      <c r="AC207" s="71"/>
      <c r="AD207" s="101"/>
      <c r="AE207" s="101"/>
      <c r="AF207" s="102"/>
      <c r="AG207" s="102"/>
      <c r="AH207" s="102"/>
      <c r="AI207" s="101"/>
      <c r="AJ207" s="88"/>
      <c r="AK207" s="88"/>
      <c r="AM207" s="71"/>
      <c r="AN207" s="101"/>
      <c r="AO207" s="101"/>
      <c r="AP207" s="101"/>
      <c r="AQ207" s="101"/>
      <c r="AR207" s="103"/>
      <c r="AS207" s="103"/>
      <c r="AT207" s="103"/>
      <c r="AU207" s="103"/>
      <c r="AV207" s="103"/>
      <c r="BA207" s="103"/>
      <c r="BF207" s="103"/>
      <c r="BG207" s="103"/>
      <c r="BH207" s="103"/>
      <c r="CK207" s="103"/>
      <c r="CL207" s="103"/>
      <c r="CM207" s="103"/>
      <c r="CN207" s="103"/>
      <c r="CO207" s="103"/>
      <c r="CP207" s="103"/>
      <c r="CQ207" s="103"/>
      <c r="CR207" s="103"/>
      <c r="CS207" s="103"/>
      <c r="CT207" s="103"/>
      <c r="DH207" s="103"/>
      <c r="DI207" s="103"/>
      <c r="DJ207" s="103"/>
      <c r="DK207" s="103"/>
      <c r="DL207" s="103"/>
      <c r="DM207" s="103"/>
      <c r="DN207" s="103"/>
      <c r="DO207" s="103"/>
      <c r="DP207" s="103"/>
      <c r="DQ207" s="103"/>
    </row>
    <row r="208" spans="1:121" s="90" customFormat="1" x14ac:dyDescent="0.25">
      <c r="A208" s="71"/>
      <c r="B208" s="71"/>
      <c r="C208" s="71"/>
      <c r="D208" s="71"/>
      <c r="E208" s="71"/>
      <c r="F208" s="101"/>
      <c r="G208" s="101"/>
      <c r="H208" s="71"/>
      <c r="I208" s="71"/>
      <c r="J208" s="71"/>
      <c r="K208" s="101"/>
      <c r="L208" s="101"/>
      <c r="M208" s="101"/>
      <c r="N208" s="71"/>
      <c r="O208" s="71"/>
      <c r="P208" s="71"/>
      <c r="Q208" s="71"/>
      <c r="R208" s="101"/>
      <c r="S208" s="101"/>
      <c r="T208" s="71"/>
      <c r="U208" s="101"/>
      <c r="V208" s="101"/>
      <c r="W208" s="102"/>
      <c r="X208" s="102"/>
      <c r="Y208" s="102"/>
      <c r="Z208" s="102"/>
      <c r="AA208" s="102"/>
      <c r="AB208" s="102"/>
      <c r="AC208" s="71"/>
      <c r="AD208" s="101"/>
      <c r="AE208" s="101"/>
      <c r="AF208" s="102"/>
      <c r="AG208" s="102"/>
      <c r="AH208" s="102"/>
      <c r="AI208" s="101"/>
      <c r="AJ208" s="88"/>
      <c r="AK208" s="88"/>
      <c r="AM208" s="71"/>
      <c r="AN208" s="101"/>
      <c r="AO208" s="101"/>
      <c r="AP208" s="101"/>
      <c r="AQ208" s="101"/>
      <c r="AR208" s="103"/>
      <c r="AS208" s="103"/>
      <c r="AT208" s="103"/>
      <c r="AU208" s="103"/>
      <c r="AV208" s="103"/>
      <c r="BA208" s="103"/>
      <c r="BF208" s="103"/>
      <c r="BG208" s="103"/>
      <c r="BH208" s="103"/>
      <c r="CK208" s="103"/>
      <c r="CL208" s="103"/>
      <c r="CM208" s="103"/>
      <c r="CN208" s="103"/>
      <c r="CO208" s="103"/>
      <c r="CP208" s="103"/>
      <c r="CQ208" s="103"/>
      <c r="CR208" s="103"/>
      <c r="CS208" s="103"/>
      <c r="CT208" s="103"/>
      <c r="DH208" s="103"/>
      <c r="DI208" s="103"/>
      <c r="DJ208" s="103"/>
      <c r="DK208" s="103"/>
      <c r="DL208" s="103"/>
      <c r="DM208" s="103"/>
      <c r="DN208" s="103"/>
      <c r="DO208" s="103"/>
      <c r="DP208" s="103"/>
      <c r="DQ208" s="103"/>
    </row>
    <row r="209" spans="1:121" s="90" customFormat="1" x14ac:dyDescent="0.25">
      <c r="A209" s="71"/>
      <c r="B209" s="71"/>
      <c r="C209" s="71"/>
      <c r="D209" s="71"/>
      <c r="E209" s="71"/>
      <c r="F209" s="101"/>
      <c r="G209" s="101"/>
      <c r="H209" s="71"/>
      <c r="I209" s="71"/>
      <c r="J209" s="71"/>
      <c r="K209" s="101"/>
      <c r="L209" s="101"/>
      <c r="M209" s="101"/>
      <c r="N209" s="71"/>
      <c r="O209" s="71"/>
      <c r="P209" s="71"/>
      <c r="Q209" s="71"/>
      <c r="R209" s="101"/>
      <c r="S209" s="101"/>
      <c r="T209" s="71"/>
      <c r="U209" s="101"/>
      <c r="V209" s="101"/>
      <c r="W209" s="102"/>
      <c r="X209" s="102"/>
      <c r="Y209" s="102"/>
      <c r="Z209" s="102"/>
      <c r="AA209" s="102"/>
      <c r="AB209" s="102"/>
      <c r="AC209" s="71"/>
      <c r="AD209" s="101"/>
      <c r="AE209" s="101"/>
      <c r="AF209" s="102"/>
      <c r="AG209" s="102"/>
      <c r="AH209" s="102"/>
      <c r="AI209" s="101"/>
      <c r="AJ209" s="88"/>
      <c r="AK209" s="88"/>
      <c r="AM209" s="71"/>
      <c r="AN209" s="101"/>
      <c r="AO209" s="101"/>
      <c r="AP209" s="101"/>
      <c r="AQ209" s="101"/>
      <c r="AR209" s="103"/>
      <c r="AS209" s="103"/>
      <c r="AT209" s="103"/>
      <c r="AU209" s="103"/>
      <c r="AV209" s="103"/>
      <c r="BA209" s="103"/>
      <c r="BF209" s="103"/>
      <c r="BG209" s="103"/>
      <c r="BH209" s="103"/>
      <c r="CK209" s="103"/>
      <c r="CL209" s="103"/>
      <c r="CM209" s="103"/>
      <c r="CN209" s="103"/>
      <c r="CO209" s="103"/>
      <c r="CP209" s="103"/>
      <c r="CQ209" s="103"/>
      <c r="CR209" s="103"/>
      <c r="CS209" s="103"/>
      <c r="CT209" s="103"/>
      <c r="DH209" s="103"/>
      <c r="DI209" s="103"/>
      <c r="DJ209" s="103"/>
      <c r="DK209" s="103"/>
      <c r="DL209" s="103"/>
      <c r="DM209" s="103"/>
      <c r="DN209" s="103"/>
      <c r="DO209" s="103"/>
      <c r="DP209" s="103"/>
      <c r="DQ209" s="103"/>
    </row>
    <row r="210" spans="1:121" s="90" customFormat="1" x14ac:dyDescent="0.25">
      <c r="A210" s="71"/>
      <c r="B210" s="71"/>
      <c r="C210" s="71"/>
      <c r="D210" s="71"/>
      <c r="E210" s="71"/>
      <c r="F210" s="101"/>
      <c r="G210" s="101"/>
      <c r="H210" s="71"/>
      <c r="I210" s="71"/>
      <c r="J210" s="71"/>
      <c r="K210" s="101"/>
      <c r="L210" s="101"/>
      <c r="M210" s="101"/>
      <c r="N210" s="71"/>
      <c r="O210" s="71"/>
      <c r="P210" s="71"/>
      <c r="Q210" s="71"/>
      <c r="R210" s="101"/>
      <c r="S210" s="101"/>
      <c r="T210" s="71"/>
      <c r="U210" s="101"/>
      <c r="V210" s="101"/>
      <c r="W210" s="102"/>
      <c r="X210" s="102"/>
      <c r="Y210" s="102"/>
      <c r="Z210" s="102"/>
      <c r="AA210" s="102"/>
      <c r="AB210" s="102"/>
      <c r="AC210" s="71"/>
      <c r="AD210" s="101"/>
      <c r="AE210" s="101"/>
      <c r="AF210" s="102"/>
      <c r="AG210" s="102"/>
      <c r="AH210" s="102"/>
      <c r="AI210" s="101"/>
      <c r="AJ210" s="88"/>
      <c r="AK210" s="88"/>
      <c r="AM210" s="71"/>
      <c r="AN210" s="101"/>
      <c r="AO210" s="101"/>
      <c r="AP210" s="101"/>
      <c r="AQ210" s="101"/>
      <c r="AR210" s="103"/>
      <c r="AS210" s="103"/>
      <c r="AT210" s="103"/>
      <c r="AU210" s="103"/>
      <c r="AV210" s="103"/>
      <c r="BA210" s="103"/>
      <c r="BF210" s="103"/>
      <c r="BG210" s="103"/>
      <c r="BH210" s="103"/>
      <c r="CK210" s="103"/>
      <c r="CL210" s="103"/>
      <c r="CM210" s="103"/>
      <c r="CN210" s="103"/>
      <c r="CO210" s="103"/>
      <c r="CP210" s="103"/>
      <c r="CQ210" s="103"/>
      <c r="CR210" s="103"/>
      <c r="CS210" s="103"/>
      <c r="CT210" s="103"/>
      <c r="DH210" s="103"/>
      <c r="DI210" s="103"/>
      <c r="DJ210" s="103"/>
      <c r="DK210" s="103"/>
      <c r="DL210" s="103"/>
      <c r="DM210" s="103"/>
      <c r="DN210" s="103"/>
      <c r="DO210" s="103"/>
      <c r="DP210" s="103"/>
      <c r="DQ210" s="103"/>
    </row>
    <row r="211" spans="1:121" s="90" customFormat="1" x14ac:dyDescent="0.25">
      <c r="A211" s="71"/>
      <c r="B211" s="71"/>
      <c r="C211" s="71"/>
      <c r="D211" s="71"/>
      <c r="E211" s="71"/>
      <c r="F211" s="101"/>
      <c r="G211" s="101"/>
      <c r="H211" s="71"/>
      <c r="I211" s="71"/>
      <c r="J211" s="71"/>
      <c r="K211" s="101"/>
      <c r="L211" s="101"/>
      <c r="M211" s="101"/>
      <c r="N211" s="71"/>
      <c r="O211" s="71"/>
      <c r="P211" s="71"/>
      <c r="Q211" s="71"/>
      <c r="R211" s="101"/>
      <c r="S211" s="101"/>
      <c r="T211" s="71"/>
      <c r="U211" s="101"/>
      <c r="V211" s="101"/>
      <c r="W211" s="102"/>
      <c r="X211" s="102"/>
      <c r="Y211" s="102"/>
      <c r="Z211" s="102"/>
      <c r="AA211" s="102"/>
      <c r="AB211" s="102"/>
      <c r="AC211" s="71"/>
      <c r="AD211" s="101"/>
      <c r="AE211" s="101"/>
      <c r="AF211" s="102"/>
      <c r="AG211" s="102"/>
      <c r="AH211" s="102"/>
      <c r="AI211" s="101"/>
      <c r="AJ211" s="88"/>
      <c r="AK211" s="88"/>
      <c r="AM211" s="71"/>
      <c r="AN211" s="101"/>
      <c r="AO211" s="101"/>
      <c r="AP211" s="101"/>
      <c r="AQ211" s="101"/>
      <c r="AR211" s="103"/>
      <c r="AS211" s="103"/>
      <c r="AT211" s="103"/>
      <c r="AU211" s="103"/>
      <c r="AV211" s="103"/>
      <c r="BA211" s="103"/>
      <c r="BF211" s="103"/>
      <c r="BG211" s="103"/>
      <c r="BH211" s="103"/>
      <c r="CK211" s="103"/>
      <c r="CL211" s="103"/>
      <c r="CM211" s="103"/>
      <c r="CN211" s="103"/>
      <c r="CO211" s="103"/>
      <c r="CP211" s="103"/>
      <c r="CQ211" s="103"/>
      <c r="CR211" s="103"/>
      <c r="CS211" s="103"/>
      <c r="CT211" s="103"/>
      <c r="DH211" s="103"/>
      <c r="DI211" s="103"/>
      <c r="DJ211" s="103"/>
      <c r="DK211" s="103"/>
      <c r="DL211" s="103"/>
      <c r="DM211" s="103"/>
      <c r="DN211" s="103"/>
      <c r="DO211" s="103"/>
      <c r="DP211" s="103"/>
      <c r="DQ211" s="103"/>
    </row>
    <row r="212" spans="1:121" s="90" customFormat="1" x14ac:dyDescent="0.25">
      <c r="A212" s="71"/>
      <c r="B212" s="71"/>
      <c r="C212" s="71"/>
      <c r="D212" s="71"/>
      <c r="E212" s="71"/>
      <c r="F212" s="101"/>
      <c r="G212" s="101"/>
      <c r="H212" s="71"/>
      <c r="I212" s="71"/>
      <c r="J212" s="71"/>
      <c r="K212" s="101"/>
      <c r="L212" s="101"/>
      <c r="M212" s="101"/>
      <c r="N212" s="71"/>
      <c r="O212" s="71"/>
      <c r="P212" s="71"/>
      <c r="Q212" s="71"/>
      <c r="R212" s="101"/>
      <c r="S212" s="101"/>
      <c r="T212" s="71"/>
      <c r="U212" s="101"/>
      <c r="V212" s="101"/>
      <c r="W212" s="102"/>
      <c r="X212" s="102"/>
      <c r="Y212" s="102"/>
      <c r="Z212" s="102"/>
      <c r="AA212" s="102"/>
      <c r="AB212" s="102"/>
      <c r="AC212" s="71"/>
      <c r="AD212" s="101"/>
      <c r="AE212" s="101"/>
      <c r="AF212" s="102"/>
      <c r="AG212" s="102"/>
      <c r="AH212" s="102"/>
      <c r="AI212" s="101"/>
      <c r="AJ212" s="88"/>
      <c r="AK212" s="88"/>
      <c r="AM212" s="71"/>
      <c r="AN212" s="101"/>
      <c r="AO212" s="101"/>
      <c r="AP212" s="101"/>
      <c r="AQ212" s="101"/>
      <c r="AR212" s="103"/>
      <c r="AS212" s="103"/>
      <c r="AT212" s="103"/>
      <c r="AU212" s="103"/>
      <c r="AV212" s="103"/>
      <c r="BA212" s="103"/>
      <c r="BF212" s="103"/>
      <c r="BG212" s="103"/>
      <c r="BH212" s="103"/>
      <c r="CK212" s="103"/>
      <c r="CL212" s="103"/>
      <c r="CM212" s="103"/>
      <c r="CN212" s="103"/>
      <c r="CO212" s="103"/>
      <c r="CP212" s="103"/>
      <c r="CQ212" s="103"/>
      <c r="CR212" s="103"/>
      <c r="CS212" s="103"/>
      <c r="CT212" s="103"/>
      <c r="DH212" s="103"/>
      <c r="DI212" s="103"/>
      <c r="DJ212" s="103"/>
      <c r="DK212" s="103"/>
      <c r="DL212" s="103"/>
      <c r="DM212" s="103"/>
      <c r="DN212" s="103"/>
      <c r="DO212" s="103"/>
      <c r="DP212" s="103"/>
      <c r="DQ212" s="103"/>
    </row>
    <row r="213" spans="1:121" s="90" customFormat="1" x14ac:dyDescent="0.25">
      <c r="A213" s="71"/>
      <c r="B213" s="71"/>
      <c r="C213" s="71"/>
      <c r="D213" s="71"/>
      <c r="E213" s="71"/>
      <c r="F213" s="101"/>
      <c r="G213" s="101"/>
      <c r="H213" s="71"/>
      <c r="I213" s="71"/>
      <c r="J213" s="71"/>
      <c r="K213" s="101"/>
      <c r="L213" s="101"/>
      <c r="M213" s="101"/>
      <c r="N213" s="71"/>
      <c r="O213" s="71"/>
      <c r="P213" s="71"/>
      <c r="Q213" s="71"/>
      <c r="R213" s="101"/>
      <c r="S213" s="101"/>
      <c r="T213" s="71"/>
      <c r="U213" s="101"/>
      <c r="V213" s="101"/>
      <c r="W213" s="102"/>
      <c r="X213" s="102"/>
      <c r="Y213" s="102"/>
      <c r="Z213" s="102"/>
      <c r="AA213" s="102"/>
      <c r="AB213" s="102"/>
      <c r="AC213" s="71"/>
      <c r="AD213" s="101"/>
      <c r="AE213" s="101"/>
      <c r="AF213" s="102"/>
      <c r="AG213" s="102"/>
      <c r="AH213" s="102"/>
      <c r="AI213" s="101"/>
      <c r="AJ213" s="88"/>
      <c r="AK213" s="88"/>
      <c r="AM213" s="71"/>
      <c r="AN213" s="101"/>
      <c r="AO213" s="101"/>
      <c r="AP213" s="101"/>
      <c r="AQ213" s="101"/>
      <c r="AR213" s="103"/>
      <c r="AS213" s="103"/>
      <c r="AT213" s="103"/>
      <c r="AU213" s="103"/>
      <c r="AV213" s="103"/>
      <c r="BA213" s="103"/>
      <c r="BF213" s="103"/>
      <c r="BG213" s="103"/>
      <c r="BH213" s="103"/>
      <c r="CK213" s="103"/>
      <c r="CL213" s="103"/>
      <c r="CM213" s="103"/>
      <c r="CN213" s="103"/>
      <c r="CO213" s="103"/>
      <c r="CP213" s="103"/>
      <c r="CQ213" s="103"/>
      <c r="CR213" s="103"/>
      <c r="CS213" s="103"/>
      <c r="CT213" s="103"/>
      <c r="DH213" s="103"/>
      <c r="DI213" s="103"/>
      <c r="DJ213" s="103"/>
      <c r="DK213" s="103"/>
      <c r="DL213" s="103"/>
      <c r="DM213" s="103"/>
      <c r="DN213" s="103"/>
      <c r="DO213" s="103"/>
      <c r="DP213" s="103"/>
      <c r="DQ213" s="103"/>
    </row>
    <row r="214" spans="1:121" s="90" customFormat="1" x14ac:dyDescent="0.25">
      <c r="A214" s="71"/>
      <c r="B214" s="71"/>
      <c r="C214" s="71"/>
      <c r="D214" s="71"/>
      <c r="E214" s="71"/>
      <c r="F214" s="101"/>
      <c r="G214" s="101"/>
      <c r="H214" s="71"/>
      <c r="I214" s="71"/>
      <c r="J214" s="71"/>
      <c r="K214" s="101"/>
      <c r="L214" s="101"/>
      <c r="M214" s="101"/>
      <c r="N214" s="71"/>
      <c r="O214" s="71"/>
      <c r="P214" s="71"/>
      <c r="Q214" s="71"/>
      <c r="R214" s="101"/>
      <c r="S214" s="101"/>
      <c r="T214" s="71"/>
      <c r="U214" s="101"/>
      <c r="V214" s="101"/>
      <c r="W214" s="102"/>
      <c r="X214" s="102"/>
      <c r="Y214" s="102"/>
      <c r="Z214" s="102"/>
      <c r="AA214" s="102"/>
      <c r="AB214" s="102"/>
      <c r="AC214" s="71"/>
      <c r="AD214" s="101"/>
      <c r="AE214" s="101"/>
      <c r="AF214" s="102"/>
      <c r="AG214" s="102"/>
      <c r="AH214" s="102"/>
      <c r="AI214" s="101"/>
      <c r="AJ214" s="88"/>
      <c r="AK214" s="88"/>
      <c r="AM214" s="71"/>
      <c r="AN214" s="101"/>
      <c r="AO214" s="101"/>
      <c r="AP214" s="101"/>
      <c r="AQ214" s="101"/>
      <c r="AR214" s="103"/>
      <c r="AS214" s="103"/>
      <c r="AT214" s="103"/>
      <c r="AU214" s="103"/>
      <c r="AV214" s="103"/>
      <c r="BA214" s="103"/>
      <c r="BF214" s="103"/>
      <c r="BG214" s="103"/>
      <c r="BH214" s="103"/>
      <c r="CK214" s="103"/>
      <c r="CL214" s="103"/>
      <c r="CM214" s="103"/>
      <c r="CN214" s="103"/>
      <c r="CO214" s="103"/>
      <c r="CP214" s="103"/>
      <c r="CQ214" s="103"/>
      <c r="CR214" s="103"/>
      <c r="CS214" s="103"/>
      <c r="CT214" s="103"/>
      <c r="DH214" s="103"/>
      <c r="DI214" s="103"/>
      <c r="DJ214" s="103"/>
      <c r="DK214" s="103"/>
      <c r="DL214" s="103"/>
      <c r="DM214" s="103"/>
      <c r="DN214" s="103"/>
      <c r="DO214" s="103"/>
      <c r="DP214" s="103"/>
      <c r="DQ214" s="103"/>
    </row>
    <row r="215" spans="1:121" s="90" customFormat="1" x14ac:dyDescent="0.25">
      <c r="A215" s="71"/>
      <c r="B215" s="71"/>
      <c r="C215" s="71"/>
      <c r="D215" s="71"/>
      <c r="E215" s="71"/>
      <c r="F215" s="101"/>
      <c r="G215" s="101"/>
      <c r="H215" s="71"/>
      <c r="I215" s="71"/>
      <c r="J215" s="71"/>
      <c r="K215" s="101"/>
      <c r="L215" s="101"/>
      <c r="M215" s="101"/>
      <c r="N215" s="71"/>
      <c r="O215" s="71"/>
      <c r="P215" s="71"/>
      <c r="Q215" s="71"/>
      <c r="R215" s="101"/>
      <c r="S215" s="101"/>
      <c r="T215" s="71"/>
      <c r="U215" s="101"/>
      <c r="V215" s="101"/>
      <c r="W215" s="102"/>
      <c r="X215" s="102"/>
      <c r="Y215" s="102"/>
      <c r="Z215" s="102"/>
      <c r="AA215" s="102"/>
      <c r="AB215" s="102"/>
      <c r="AC215" s="71"/>
      <c r="AD215" s="101"/>
      <c r="AE215" s="101"/>
      <c r="AF215" s="102"/>
      <c r="AG215" s="102"/>
      <c r="AH215" s="102"/>
      <c r="AI215" s="101"/>
      <c r="AJ215" s="88"/>
      <c r="AK215" s="88"/>
      <c r="AM215" s="71"/>
      <c r="AN215" s="101"/>
      <c r="AO215" s="101"/>
      <c r="AP215" s="101"/>
      <c r="AQ215" s="101"/>
      <c r="AR215" s="103"/>
      <c r="AS215" s="103"/>
      <c r="AT215" s="103"/>
      <c r="AU215" s="103"/>
      <c r="AV215" s="103"/>
      <c r="BA215" s="103"/>
      <c r="BF215" s="103"/>
      <c r="BG215" s="103"/>
      <c r="BH215" s="103"/>
      <c r="CK215" s="103"/>
      <c r="CL215" s="103"/>
      <c r="CM215" s="103"/>
      <c r="CN215" s="103"/>
      <c r="CO215" s="103"/>
      <c r="CP215" s="103"/>
      <c r="CQ215" s="103"/>
      <c r="CR215" s="103"/>
      <c r="CS215" s="103"/>
      <c r="CT215" s="103"/>
      <c r="DH215" s="103"/>
      <c r="DI215" s="103"/>
      <c r="DJ215" s="103"/>
      <c r="DK215" s="103"/>
      <c r="DL215" s="103"/>
      <c r="DM215" s="103"/>
      <c r="DN215" s="103"/>
      <c r="DO215" s="103"/>
      <c r="DP215" s="103"/>
      <c r="DQ215" s="103"/>
    </row>
    <row r="216" spans="1:121" s="90" customFormat="1" x14ac:dyDescent="0.25">
      <c r="A216" s="71"/>
      <c r="B216" s="71"/>
      <c r="C216" s="71"/>
      <c r="D216" s="71"/>
      <c r="E216" s="71"/>
      <c r="F216" s="101"/>
      <c r="G216" s="101"/>
      <c r="H216" s="71"/>
      <c r="I216" s="71"/>
      <c r="J216" s="71"/>
      <c r="K216" s="101"/>
      <c r="L216" s="101"/>
      <c r="M216" s="101"/>
      <c r="N216" s="71"/>
      <c r="O216" s="71"/>
      <c r="P216" s="71"/>
      <c r="Q216" s="71"/>
      <c r="R216" s="101"/>
      <c r="S216" s="101"/>
      <c r="T216" s="71"/>
      <c r="U216" s="101"/>
      <c r="V216" s="101"/>
      <c r="W216" s="102"/>
      <c r="X216" s="102"/>
      <c r="Y216" s="102"/>
      <c r="Z216" s="102"/>
      <c r="AA216" s="102"/>
      <c r="AB216" s="102"/>
      <c r="AC216" s="71"/>
      <c r="AD216" s="101"/>
      <c r="AE216" s="101"/>
      <c r="AF216" s="102"/>
      <c r="AG216" s="102"/>
      <c r="AH216" s="102"/>
      <c r="AI216" s="101"/>
      <c r="AJ216" s="88"/>
      <c r="AK216" s="88"/>
      <c r="AM216" s="71"/>
      <c r="AN216" s="101"/>
      <c r="AO216" s="101"/>
      <c r="AP216" s="101"/>
      <c r="AQ216" s="101"/>
      <c r="AR216" s="103"/>
      <c r="AS216" s="103"/>
      <c r="AT216" s="103"/>
      <c r="AU216" s="103"/>
      <c r="AV216" s="103"/>
      <c r="BA216" s="103"/>
      <c r="BF216" s="103"/>
      <c r="BG216" s="103"/>
      <c r="BH216" s="103"/>
      <c r="CK216" s="103"/>
      <c r="CL216" s="103"/>
      <c r="CM216" s="103"/>
      <c r="CN216" s="103"/>
      <c r="CO216" s="103"/>
      <c r="CP216" s="103"/>
      <c r="CQ216" s="103"/>
      <c r="CR216" s="103"/>
      <c r="CS216" s="103"/>
      <c r="CT216" s="103"/>
      <c r="DH216" s="103"/>
      <c r="DI216" s="103"/>
      <c r="DJ216" s="103"/>
      <c r="DK216" s="103"/>
      <c r="DL216" s="103"/>
      <c r="DM216" s="103"/>
      <c r="DN216" s="103"/>
      <c r="DO216" s="103"/>
      <c r="DP216" s="103"/>
      <c r="DQ216" s="103"/>
    </row>
    <row r="217" spans="1:121" s="90" customFormat="1" x14ac:dyDescent="0.25">
      <c r="A217" s="71"/>
      <c r="B217" s="71"/>
      <c r="C217" s="71"/>
      <c r="D217" s="71"/>
      <c r="E217" s="71"/>
      <c r="F217" s="101"/>
      <c r="G217" s="101"/>
      <c r="H217" s="71"/>
      <c r="I217" s="71"/>
      <c r="J217" s="71"/>
      <c r="K217" s="101"/>
      <c r="L217" s="101"/>
      <c r="M217" s="101"/>
      <c r="N217" s="71"/>
      <c r="O217" s="71"/>
      <c r="P217" s="71"/>
      <c r="Q217" s="71"/>
      <c r="R217" s="101"/>
      <c r="S217" s="101"/>
      <c r="T217" s="71"/>
      <c r="U217" s="101"/>
      <c r="V217" s="101"/>
      <c r="W217" s="102"/>
      <c r="X217" s="102"/>
      <c r="Y217" s="102"/>
      <c r="Z217" s="102"/>
      <c r="AA217" s="102"/>
      <c r="AB217" s="102"/>
      <c r="AC217" s="71"/>
      <c r="AD217" s="101"/>
      <c r="AE217" s="101"/>
      <c r="AF217" s="102"/>
      <c r="AG217" s="102"/>
      <c r="AH217" s="102"/>
      <c r="AI217" s="101"/>
      <c r="AJ217" s="88"/>
      <c r="AK217" s="88"/>
      <c r="AM217" s="71"/>
      <c r="AN217" s="101"/>
      <c r="AO217" s="101"/>
      <c r="AP217" s="101"/>
      <c r="AQ217" s="101"/>
      <c r="AR217" s="103"/>
      <c r="AS217" s="103"/>
      <c r="AT217" s="103"/>
      <c r="AU217" s="103"/>
      <c r="AV217" s="103"/>
      <c r="BA217" s="103"/>
      <c r="BF217" s="103"/>
      <c r="BG217" s="103"/>
      <c r="BH217" s="103"/>
      <c r="CK217" s="103"/>
      <c r="CL217" s="103"/>
      <c r="CM217" s="103"/>
      <c r="CN217" s="103"/>
      <c r="CO217" s="103"/>
      <c r="CP217" s="103"/>
      <c r="CQ217" s="103"/>
      <c r="CR217" s="103"/>
      <c r="CS217" s="103"/>
      <c r="CT217" s="103"/>
      <c r="DH217" s="103"/>
      <c r="DI217" s="103"/>
      <c r="DJ217" s="103"/>
      <c r="DK217" s="103"/>
      <c r="DL217" s="103"/>
      <c r="DM217" s="103"/>
      <c r="DN217" s="103"/>
      <c r="DO217" s="103"/>
      <c r="DP217" s="103"/>
      <c r="DQ217" s="103"/>
    </row>
    <row r="218" spans="1:121" s="90" customFormat="1" x14ac:dyDescent="0.25">
      <c r="A218" s="71"/>
      <c r="B218" s="71"/>
      <c r="C218" s="71"/>
      <c r="D218" s="71"/>
      <c r="E218" s="71"/>
      <c r="F218" s="101"/>
      <c r="G218" s="101"/>
      <c r="H218" s="71"/>
      <c r="I218" s="71"/>
      <c r="J218" s="71"/>
      <c r="K218" s="101"/>
      <c r="L218" s="101"/>
      <c r="M218" s="101"/>
      <c r="N218" s="71"/>
      <c r="O218" s="71"/>
      <c r="P218" s="71"/>
      <c r="Q218" s="71"/>
      <c r="R218" s="101"/>
      <c r="S218" s="101"/>
      <c r="T218" s="71"/>
      <c r="U218" s="101"/>
      <c r="V218" s="101"/>
      <c r="W218" s="102"/>
      <c r="X218" s="102"/>
      <c r="Y218" s="102"/>
      <c r="Z218" s="102"/>
      <c r="AA218" s="102"/>
      <c r="AB218" s="102"/>
      <c r="AC218" s="71"/>
      <c r="AD218" s="101"/>
      <c r="AE218" s="101"/>
      <c r="AF218" s="102"/>
      <c r="AG218" s="102"/>
      <c r="AH218" s="102"/>
      <c r="AI218" s="101"/>
      <c r="AJ218" s="88"/>
      <c r="AK218" s="88"/>
      <c r="AM218" s="71"/>
      <c r="AN218" s="101"/>
      <c r="AO218" s="101"/>
      <c r="AP218" s="101"/>
      <c r="AQ218" s="101"/>
      <c r="AR218" s="103"/>
      <c r="AS218" s="103"/>
      <c r="AT218" s="103"/>
      <c r="AU218" s="103"/>
      <c r="AV218" s="103"/>
      <c r="BA218" s="103"/>
      <c r="BF218" s="103"/>
      <c r="BG218" s="103"/>
      <c r="BH218" s="103"/>
      <c r="CK218" s="103"/>
      <c r="CL218" s="103"/>
      <c r="CM218" s="103"/>
      <c r="CN218" s="103"/>
      <c r="CO218" s="103"/>
      <c r="CP218" s="103"/>
      <c r="CQ218" s="103"/>
      <c r="CR218" s="103"/>
      <c r="CS218" s="103"/>
      <c r="CT218" s="103"/>
      <c r="DH218" s="103"/>
      <c r="DI218" s="103"/>
      <c r="DJ218" s="103"/>
      <c r="DK218" s="103"/>
      <c r="DL218" s="103"/>
      <c r="DM218" s="103"/>
      <c r="DN218" s="103"/>
      <c r="DO218" s="103"/>
      <c r="DP218" s="103"/>
      <c r="DQ218" s="103"/>
    </row>
    <row r="219" spans="1:121" s="90" customFormat="1" x14ac:dyDescent="0.25">
      <c r="A219" s="71"/>
      <c r="B219" s="71"/>
      <c r="C219" s="71"/>
      <c r="D219" s="71"/>
      <c r="E219" s="71"/>
      <c r="F219" s="101"/>
      <c r="G219" s="101"/>
      <c r="H219" s="71"/>
      <c r="I219" s="71"/>
      <c r="J219" s="71"/>
      <c r="K219" s="101"/>
      <c r="L219" s="101"/>
      <c r="M219" s="101"/>
      <c r="N219" s="71"/>
      <c r="O219" s="71"/>
      <c r="P219" s="71"/>
      <c r="Q219" s="71"/>
      <c r="R219" s="101"/>
      <c r="S219" s="101"/>
      <c r="T219" s="71"/>
      <c r="U219" s="101"/>
      <c r="V219" s="101"/>
      <c r="W219" s="102"/>
      <c r="X219" s="102"/>
      <c r="Y219" s="102"/>
      <c r="Z219" s="102"/>
      <c r="AA219" s="102"/>
      <c r="AB219" s="102"/>
      <c r="AC219" s="71"/>
      <c r="AD219" s="101"/>
      <c r="AE219" s="101"/>
      <c r="AF219" s="102"/>
      <c r="AG219" s="102"/>
      <c r="AH219" s="102"/>
      <c r="AI219" s="101"/>
      <c r="AJ219" s="88"/>
      <c r="AK219" s="88"/>
      <c r="AM219" s="71"/>
      <c r="AN219" s="101"/>
      <c r="AO219" s="101"/>
      <c r="AP219" s="101"/>
      <c r="AQ219" s="101"/>
      <c r="AR219" s="103"/>
      <c r="AS219" s="103"/>
      <c r="AT219" s="103"/>
      <c r="AU219" s="103"/>
      <c r="AV219" s="103"/>
      <c r="BA219" s="103"/>
      <c r="BF219" s="103"/>
      <c r="BG219" s="103"/>
      <c r="BH219" s="103"/>
      <c r="CK219" s="103"/>
      <c r="CL219" s="103"/>
      <c r="CM219" s="103"/>
      <c r="CN219" s="103"/>
      <c r="CO219" s="103"/>
      <c r="CP219" s="103"/>
      <c r="CQ219" s="103"/>
      <c r="CR219" s="103"/>
      <c r="CS219" s="103"/>
      <c r="CT219" s="103"/>
      <c r="DH219" s="103"/>
      <c r="DI219" s="103"/>
      <c r="DJ219" s="103"/>
      <c r="DK219" s="103"/>
      <c r="DL219" s="103"/>
      <c r="DM219" s="103"/>
      <c r="DN219" s="103"/>
      <c r="DO219" s="103"/>
      <c r="DP219" s="103"/>
      <c r="DQ219" s="103"/>
    </row>
    <row r="220" spans="1:121" s="90" customFormat="1" x14ac:dyDescent="0.25">
      <c r="A220" s="71"/>
      <c r="B220" s="71"/>
      <c r="C220" s="71"/>
      <c r="D220" s="71"/>
      <c r="E220" s="71"/>
      <c r="F220" s="101"/>
      <c r="G220" s="101"/>
      <c r="H220" s="71"/>
      <c r="I220" s="71"/>
      <c r="J220" s="71"/>
      <c r="K220" s="101"/>
      <c r="L220" s="101"/>
      <c r="M220" s="101"/>
      <c r="N220" s="71"/>
      <c r="O220" s="71"/>
      <c r="P220" s="71"/>
      <c r="Q220" s="71"/>
      <c r="R220" s="101"/>
      <c r="S220" s="101"/>
      <c r="T220" s="71"/>
      <c r="U220" s="101"/>
      <c r="V220" s="101"/>
      <c r="W220" s="102"/>
      <c r="X220" s="102"/>
      <c r="Y220" s="102"/>
      <c r="Z220" s="102"/>
      <c r="AA220" s="102"/>
      <c r="AB220" s="102"/>
      <c r="AC220" s="71"/>
      <c r="AD220" s="101"/>
      <c r="AE220" s="101"/>
      <c r="AF220" s="102"/>
      <c r="AG220" s="102"/>
      <c r="AH220" s="102"/>
      <c r="AI220" s="101"/>
      <c r="AJ220" s="88"/>
      <c r="AK220" s="88"/>
      <c r="AM220" s="71"/>
      <c r="AN220" s="101"/>
      <c r="AO220" s="101"/>
      <c r="AP220" s="101"/>
      <c r="AQ220" s="101"/>
      <c r="AR220" s="103"/>
      <c r="AS220" s="103"/>
      <c r="AT220" s="103"/>
      <c r="AU220" s="103"/>
      <c r="AV220" s="103"/>
      <c r="BA220" s="103"/>
      <c r="BF220" s="103"/>
      <c r="BG220" s="103"/>
      <c r="BH220" s="103"/>
      <c r="CK220" s="103"/>
      <c r="CL220" s="103"/>
      <c r="CM220" s="103"/>
      <c r="CN220" s="103"/>
      <c r="CO220" s="103"/>
      <c r="CP220" s="103"/>
      <c r="CQ220" s="103"/>
      <c r="CR220" s="103"/>
      <c r="CS220" s="103"/>
      <c r="CT220" s="103"/>
      <c r="DH220" s="103"/>
      <c r="DI220" s="103"/>
      <c r="DJ220" s="103"/>
      <c r="DK220" s="103"/>
      <c r="DL220" s="103"/>
      <c r="DM220" s="103"/>
      <c r="DN220" s="103"/>
      <c r="DO220" s="103"/>
      <c r="DP220" s="103"/>
      <c r="DQ220" s="103"/>
    </row>
    <row r="221" spans="1:121" s="90" customFormat="1" x14ac:dyDescent="0.25">
      <c r="A221" s="71"/>
      <c r="B221" s="71"/>
      <c r="C221" s="71"/>
      <c r="D221" s="71"/>
      <c r="E221" s="71"/>
      <c r="F221" s="101"/>
      <c r="G221" s="101"/>
      <c r="H221" s="71"/>
      <c r="I221" s="71"/>
      <c r="J221" s="71"/>
      <c r="K221" s="101"/>
      <c r="L221" s="101"/>
      <c r="M221" s="101"/>
      <c r="N221" s="71"/>
      <c r="O221" s="71"/>
      <c r="P221" s="71"/>
      <c r="Q221" s="71"/>
      <c r="R221" s="101"/>
      <c r="S221" s="101"/>
      <c r="T221" s="71"/>
      <c r="U221" s="101"/>
      <c r="V221" s="101"/>
      <c r="W221" s="102"/>
      <c r="X221" s="102"/>
      <c r="Y221" s="102"/>
      <c r="Z221" s="102"/>
      <c r="AA221" s="102"/>
      <c r="AB221" s="102"/>
      <c r="AC221" s="71"/>
      <c r="AD221" s="101"/>
      <c r="AE221" s="101"/>
      <c r="AF221" s="102"/>
      <c r="AG221" s="102"/>
      <c r="AH221" s="102"/>
      <c r="AI221" s="101"/>
      <c r="AJ221" s="88"/>
      <c r="AK221" s="88"/>
      <c r="AM221" s="71"/>
      <c r="AN221" s="101"/>
      <c r="AO221" s="101"/>
      <c r="AP221" s="101"/>
      <c r="AQ221" s="101"/>
      <c r="AR221" s="103"/>
      <c r="AS221" s="103"/>
      <c r="AT221" s="103"/>
      <c r="AU221" s="103"/>
      <c r="AV221" s="103"/>
      <c r="BA221" s="103"/>
      <c r="BF221" s="103"/>
      <c r="BG221" s="103"/>
      <c r="BH221" s="103"/>
      <c r="CK221" s="103"/>
      <c r="CL221" s="103"/>
      <c r="CM221" s="103"/>
      <c r="CN221" s="103"/>
      <c r="CO221" s="103"/>
      <c r="CP221" s="103"/>
      <c r="CQ221" s="103"/>
      <c r="CR221" s="103"/>
      <c r="CS221" s="103"/>
      <c r="CT221" s="103"/>
      <c r="DH221" s="103"/>
      <c r="DI221" s="103"/>
      <c r="DJ221" s="103"/>
      <c r="DK221" s="103"/>
      <c r="DL221" s="103"/>
      <c r="DM221" s="103"/>
      <c r="DN221" s="103"/>
      <c r="DO221" s="103"/>
      <c r="DP221" s="103"/>
      <c r="DQ221" s="103"/>
    </row>
    <row r="222" spans="1:121" s="90" customFormat="1" x14ac:dyDescent="0.25">
      <c r="A222" s="71"/>
      <c r="B222" s="71"/>
      <c r="C222" s="71"/>
      <c r="D222" s="71"/>
      <c r="E222" s="71"/>
      <c r="F222" s="101"/>
      <c r="G222" s="101"/>
      <c r="H222" s="71"/>
      <c r="I222" s="71"/>
      <c r="J222" s="71"/>
      <c r="K222" s="101"/>
      <c r="L222" s="101"/>
      <c r="M222" s="101"/>
      <c r="N222" s="71"/>
      <c r="O222" s="71"/>
      <c r="P222" s="71"/>
      <c r="Q222" s="71"/>
      <c r="R222" s="101"/>
      <c r="S222" s="101"/>
      <c r="T222" s="71"/>
      <c r="U222" s="101"/>
      <c r="V222" s="101"/>
      <c r="W222" s="102"/>
      <c r="X222" s="102"/>
      <c r="Y222" s="102"/>
      <c r="Z222" s="102"/>
      <c r="AA222" s="102"/>
      <c r="AB222" s="102"/>
      <c r="AC222" s="71"/>
      <c r="AD222" s="101"/>
      <c r="AE222" s="101"/>
      <c r="AF222" s="102"/>
      <c r="AG222" s="102"/>
      <c r="AH222" s="102"/>
      <c r="AI222" s="101"/>
      <c r="AJ222" s="88"/>
      <c r="AK222" s="88"/>
      <c r="AM222" s="71"/>
      <c r="AN222" s="101"/>
      <c r="AO222" s="101"/>
      <c r="AP222" s="101"/>
      <c r="AQ222" s="101"/>
      <c r="AR222" s="103"/>
      <c r="AS222" s="103"/>
      <c r="AT222" s="103"/>
      <c r="AU222" s="103"/>
      <c r="AV222" s="103"/>
      <c r="BA222" s="103"/>
      <c r="BF222" s="103"/>
      <c r="BG222" s="103"/>
      <c r="BH222" s="103"/>
      <c r="CK222" s="103"/>
      <c r="CL222" s="103"/>
      <c r="CM222" s="103"/>
      <c r="CN222" s="103"/>
      <c r="CO222" s="103"/>
      <c r="CP222" s="103"/>
      <c r="CQ222" s="103"/>
      <c r="CR222" s="103"/>
      <c r="CS222" s="103"/>
      <c r="CT222" s="103"/>
      <c r="DH222" s="103"/>
      <c r="DI222" s="103"/>
      <c r="DJ222" s="103"/>
      <c r="DK222" s="103"/>
      <c r="DL222" s="103"/>
      <c r="DM222" s="103"/>
      <c r="DN222" s="103"/>
      <c r="DO222" s="103"/>
      <c r="DP222" s="103"/>
      <c r="DQ222" s="103"/>
    </row>
    <row r="223" spans="1:121" s="90" customFormat="1" x14ac:dyDescent="0.25">
      <c r="A223" s="71"/>
      <c r="B223" s="71"/>
      <c r="C223" s="71"/>
      <c r="D223" s="71"/>
      <c r="E223" s="71"/>
      <c r="F223" s="101"/>
      <c r="G223" s="101"/>
      <c r="H223" s="71"/>
      <c r="I223" s="71"/>
      <c r="J223" s="71"/>
      <c r="K223" s="101"/>
      <c r="L223" s="101"/>
      <c r="M223" s="101"/>
      <c r="N223" s="71"/>
      <c r="O223" s="71"/>
      <c r="P223" s="71"/>
      <c r="Q223" s="71"/>
      <c r="R223" s="101"/>
      <c r="S223" s="101"/>
      <c r="T223" s="71"/>
      <c r="U223" s="101"/>
      <c r="V223" s="101"/>
      <c r="W223" s="102"/>
      <c r="X223" s="102"/>
      <c r="Y223" s="102"/>
      <c r="Z223" s="102"/>
      <c r="AA223" s="102"/>
      <c r="AB223" s="102"/>
      <c r="AC223" s="71"/>
      <c r="AD223" s="101"/>
      <c r="AE223" s="101"/>
      <c r="AF223" s="102"/>
      <c r="AG223" s="102"/>
      <c r="AH223" s="102"/>
      <c r="AI223" s="101"/>
      <c r="AJ223" s="88"/>
      <c r="AK223" s="88"/>
      <c r="AM223" s="71"/>
      <c r="AN223" s="101"/>
      <c r="AO223" s="101"/>
      <c r="AP223" s="101"/>
      <c r="AQ223" s="101"/>
      <c r="AR223" s="103"/>
      <c r="AS223" s="103"/>
      <c r="AT223" s="103"/>
      <c r="AU223" s="103"/>
      <c r="AV223" s="103"/>
      <c r="BA223" s="103"/>
      <c r="BF223" s="103"/>
      <c r="BG223" s="103"/>
      <c r="BH223" s="103"/>
      <c r="CK223" s="103"/>
      <c r="CL223" s="103"/>
      <c r="CM223" s="103"/>
      <c r="CN223" s="103"/>
      <c r="CO223" s="103"/>
      <c r="CP223" s="103"/>
      <c r="CQ223" s="103"/>
      <c r="CR223" s="103"/>
      <c r="CS223" s="103"/>
      <c r="CT223" s="103"/>
      <c r="DH223" s="103"/>
      <c r="DI223" s="103"/>
      <c r="DJ223" s="103"/>
      <c r="DK223" s="103"/>
      <c r="DL223" s="103"/>
      <c r="DM223" s="103"/>
      <c r="DN223" s="103"/>
      <c r="DO223" s="103"/>
      <c r="DP223" s="103"/>
      <c r="DQ223" s="103"/>
    </row>
    <row r="224" spans="1:121" s="90" customFormat="1" x14ac:dyDescent="0.25">
      <c r="A224" s="71"/>
      <c r="B224" s="71"/>
      <c r="C224" s="71"/>
      <c r="D224" s="71"/>
      <c r="E224" s="71"/>
      <c r="F224" s="101"/>
      <c r="G224" s="101"/>
      <c r="H224" s="71"/>
      <c r="I224" s="71"/>
      <c r="J224" s="71"/>
      <c r="K224" s="101"/>
      <c r="L224" s="101"/>
      <c r="M224" s="101"/>
      <c r="N224" s="71"/>
      <c r="O224" s="71"/>
      <c r="P224" s="71"/>
      <c r="Q224" s="71"/>
      <c r="R224" s="101"/>
      <c r="S224" s="101"/>
      <c r="T224" s="71"/>
      <c r="U224" s="101"/>
      <c r="V224" s="101"/>
      <c r="W224" s="102"/>
      <c r="X224" s="102"/>
      <c r="Y224" s="102"/>
      <c r="Z224" s="102"/>
      <c r="AA224" s="102"/>
      <c r="AB224" s="102"/>
      <c r="AC224" s="71"/>
      <c r="AD224" s="101"/>
      <c r="AE224" s="101"/>
      <c r="AF224" s="102"/>
      <c r="AG224" s="102"/>
      <c r="AH224" s="102"/>
      <c r="AI224" s="101"/>
      <c r="AJ224" s="88"/>
      <c r="AK224" s="88"/>
      <c r="AM224" s="71"/>
      <c r="AN224" s="101"/>
      <c r="AO224" s="101"/>
      <c r="AP224" s="101"/>
      <c r="AQ224" s="101"/>
      <c r="AR224" s="103"/>
      <c r="AS224" s="103"/>
      <c r="AT224" s="103"/>
      <c r="AU224" s="103"/>
      <c r="AV224" s="103"/>
      <c r="BA224" s="103"/>
      <c r="BF224" s="103"/>
      <c r="BG224" s="103"/>
      <c r="BH224" s="103"/>
      <c r="CK224" s="103"/>
      <c r="CL224" s="103"/>
      <c r="CM224" s="103"/>
      <c r="CN224" s="103"/>
      <c r="CO224" s="103"/>
      <c r="CP224" s="103"/>
      <c r="CQ224" s="103"/>
      <c r="CR224" s="103"/>
      <c r="CS224" s="103"/>
      <c r="CT224" s="103"/>
      <c r="DH224" s="103"/>
      <c r="DI224" s="103"/>
      <c r="DJ224" s="103"/>
      <c r="DK224" s="103"/>
      <c r="DL224" s="103"/>
      <c r="DM224" s="103"/>
      <c r="DN224" s="103"/>
      <c r="DO224" s="103"/>
      <c r="DP224" s="103"/>
      <c r="DQ224" s="103"/>
    </row>
    <row r="225" spans="1:121" s="90" customFormat="1" x14ac:dyDescent="0.25">
      <c r="A225" s="71"/>
      <c r="B225" s="71"/>
      <c r="C225" s="71"/>
      <c r="D225" s="71"/>
      <c r="E225" s="71"/>
      <c r="F225" s="101"/>
      <c r="G225" s="101"/>
      <c r="H225" s="71"/>
      <c r="I225" s="71"/>
      <c r="J225" s="71"/>
      <c r="K225" s="101"/>
      <c r="L225" s="101"/>
      <c r="M225" s="101"/>
      <c r="N225" s="71"/>
      <c r="O225" s="71"/>
      <c r="P225" s="71"/>
      <c r="Q225" s="71"/>
      <c r="R225" s="101"/>
      <c r="S225" s="101"/>
      <c r="T225" s="71"/>
      <c r="U225" s="101"/>
      <c r="V225" s="101"/>
      <c r="W225" s="102"/>
      <c r="X225" s="102"/>
      <c r="Y225" s="102"/>
      <c r="Z225" s="102"/>
      <c r="AA225" s="102"/>
      <c r="AB225" s="102"/>
      <c r="AC225" s="71"/>
      <c r="AD225" s="101"/>
      <c r="AE225" s="101"/>
      <c r="AF225" s="102"/>
      <c r="AG225" s="102"/>
      <c r="AH225" s="102"/>
      <c r="AI225" s="101"/>
      <c r="AJ225" s="88"/>
      <c r="AK225" s="88"/>
      <c r="AM225" s="71"/>
      <c r="AN225" s="101"/>
      <c r="AO225" s="101"/>
      <c r="AP225" s="101"/>
      <c r="AQ225" s="101"/>
      <c r="AR225" s="103"/>
      <c r="AS225" s="103"/>
      <c r="AT225" s="103"/>
      <c r="AU225" s="103"/>
      <c r="AV225" s="103"/>
      <c r="BA225" s="103"/>
      <c r="BF225" s="103"/>
      <c r="BG225" s="103"/>
      <c r="BH225" s="103"/>
      <c r="CK225" s="103"/>
      <c r="CL225" s="103"/>
      <c r="CM225" s="103"/>
      <c r="CN225" s="103"/>
      <c r="CO225" s="103"/>
      <c r="CP225" s="103"/>
      <c r="CQ225" s="103"/>
      <c r="CR225" s="103"/>
      <c r="CS225" s="103"/>
      <c r="CT225" s="103"/>
      <c r="DH225" s="103"/>
      <c r="DI225" s="103"/>
      <c r="DJ225" s="103"/>
      <c r="DK225" s="103"/>
      <c r="DL225" s="103"/>
      <c r="DM225" s="103"/>
      <c r="DN225" s="103"/>
      <c r="DO225" s="103"/>
      <c r="DP225" s="103"/>
      <c r="DQ225" s="103"/>
    </row>
    <row r="226" spans="1:121" s="90" customFormat="1" x14ac:dyDescent="0.25">
      <c r="A226" s="71"/>
      <c r="B226" s="71"/>
      <c r="C226" s="71"/>
      <c r="D226" s="71"/>
      <c r="E226" s="71"/>
      <c r="F226" s="101"/>
      <c r="G226" s="101"/>
      <c r="H226" s="71"/>
      <c r="I226" s="71"/>
      <c r="J226" s="71"/>
      <c r="K226" s="101"/>
      <c r="L226" s="101"/>
      <c r="M226" s="101"/>
      <c r="N226" s="71"/>
      <c r="O226" s="71"/>
      <c r="P226" s="71"/>
      <c r="Q226" s="71"/>
      <c r="R226" s="101"/>
      <c r="S226" s="101"/>
      <c r="T226" s="71"/>
      <c r="U226" s="101"/>
      <c r="V226" s="101"/>
      <c r="W226" s="102"/>
      <c r="X226" s="102"/>
      <c r="Y226" s="102"/>
      <c r="Z226" s="102"/>
      <c r="AA226" s="102"/>
      <c r="AB226" s="102"/>
      <c r="AC226" s="71"/>
      <c r="AD226" s="101"/>
      <c r="AE226" s="101"/>
      <c r="AF226" s="102"/>
      <c r="AG226" s="102"/>
      <c r="AH226" s="102"/>
      <c r="AI226" s="101"/>
      <c r="AJ226" s="88"/>
      <c r="AK226" s="88"/>
      <c r="AM226" s="71"/>
      <c r="AN226" s="101"/>
      <c r="AO226" s="101"/>
      <c r="AP226" s="101"/>
      <c r="AQ226" s="101"/>
      <c r="AR226" s="103"/>
      <c r="AS226" s="103"/>
      <c r="AT226" s="103"/>
      <c r="AU226" s="103"/>
      <c r="AV226" s="103"/>
      <c r="BA226" s="103"/>
      <c r="BF226" s="103"/>
      <c r="BG226" s="103"/>
      <c r="BH226" s="103"/>
      <c r="CK226" s="103"/>
      <c r="CL226" s="103"/>
      <c r="CM226" s="103"/>
      <c r="CN226" s="103"/>
      <c r="CO226" s="103"/>
      <c r="CP226" s="103"/>
      <c r="CQ226" s="103"/>
      <c r="CR226" s="103"/>
      <c r="CS226" s="103"/>
      <c r="CT226" s="103"/>
      <c r="DH226" s="103"/>
      <c r="DI226" s="103"/>
      <c r="DJ226" s="103"/>
      <c r="DK226" s="103"/>
      <c r="DL226" s="103"/>
      <c r="DM226" s="103"/>
      <c r="DN226" s="103"/>
      <c r="DO226" s="103"/>
      <c r="DP226" s="103"/>
      <c r="DQ226" s="103"/>
    </row>
    <row r="227" spans="1:121" s="90" customFormat="1" x14ac:dyDescent="0.25">
      <c r="A227" s="71"/>
      <c r="B227" s="71"/>
      <c r="C227" s="71"/>
      <c r="D227" s="71"/>
      <c r="E227" s="71"/>
      <c r="F227" s="101"/>
      <c r="G227" s="101"/>
      <c r="H227" s="71"/>
      <c r="I227" s="71"/>
      <c r="J227" s="71"/>
      <c r="K227" s="101"/>
      <c r="L227" s="101"/>
      <c r="M227" s="101"/>
      <c r="N227" s="71"/>
      <c r="O227" s="71"/>
      <c r="P227" s="71"/>
      <c r="Q227" s="71"/>
      <c r="R227" s="101"/>
      <c r="S227" s="101"/>
      <c r="T227" s="71"/>
      <c r="U227" s="101"/>
      <c r="V227" s="101"/>
      <c r="W227" s="102"/>
      <c r="X227" s="102"/>
      <c r="Y227" s="102"/>
      <c r="Z227" s="102"/>
      <c r="AA227" s="102"/>
      <c r="AB227" s="102"/>
      <c r="AC227" s="71"/>
      <c r="AD227" s="101"/>
      <c r="AE227" s="101"/>
      <c r="AF227" s="102"/>
      <c r="AG227" s="102"/>
      <c r="AH227" s="102"/>
      <c r="AI227" s="101"/>
      <c r="AJ227" s="88"/>
      <c r="AK227" s="88"/>
      <c r="AM227" s="71"/>
      <c r="AN227" s="101"/>
      <c r="AO227" s="101"/>
      <c r="AP227" s="101"/>
      <c r="AQ227" s="101"/>
      <c r="AR227" s="103"/>
      <c r="AS227" s="103"/>
      <c r="AT227" s="103"/>
      <c r="AU227" s="103"/>
      <c r="AV227" s="103"/>
      <c r="BA227" s="103"/>
      <c r="BF227" s="103"/>
      <c r="BG227" s="103"/>
      <c r="BH227" s="103"/>
      <c r="CK227" s="103"/>
      <c r="CL227" s="103"/>
      <c r="CM227" s="103"/>
      <c r="CN227" s="103"/>
      <c r="CO227" s="103"/>
      <c r="CP227" s="103"/>
      <c r="CQ227" s="103"/>
      <c r="CR227" s="103"/>
      <c r="CS227" s="103"/>
      <c r="CT227" s="103"/>
      <c r="DH227" s="103"/>
      <c r="DI227" s="103"/>
      <c r="DJ227" s="103"/>
      <c r="DK227" s="103"/>
      <c r="DL227" s="103"/>
      <c r="DM227" s="103"/>
      <c r="DN227" s="103"/>
      <c r="DO227" s="103"/>
      <c r="DP227" s="103"/>
      <c r="DQ227" s="103"/>
    </row>
    <row r="228" spans="1:121" s="90" customFormat="1" x14ac:dyDescent="0.25">
      <c r="A228" s="71"/>
      <c r="B228" s="71"/>
      <c r="C228" s="71"/>
      <c r="D228" s="71"/>
      <c r="E228" s="71"/>
      <c r="F228" s="101"/>
      <c r="G228" s="101"/>
      <c r="H228" s="71"/>
      <c r="I228" s="71"/>
      <c r="J228" s="71"/>
      <c r="K228" s="101"/>
      <c r="L228" s="101"/>
      <c r="M228" s="101"/>
      <c r="N228" s="71"/>
      <c r="O228" s="71"/>
      <c r="P228" s="71"/>
      <c r="Q228" s="71"/>
      <c r="R228" s="101"/>
      <c r="S228" s="101"/>
      <c r="T228" s="71"/>
      <c r="U228" s="101"/>
      <c r="V228" s="101"/>
      <c r="W228" s="102"/>
      <c r="X228" s="102"/>
      <c r="Y228" s="102"/>
      <c r="Z228" s="102"/>
      <c r="AA228" s="102"/>
      <c r="AB228" s="102"/>
      <c r="AC228" s="71"/>
      <c r="AD228" s="101"/>
      <c r="AE228" s="101"/>
      <c r="AF228" s="102"/>
      <c r="AG228" s="102"/>
      <c r="AH228" s="102"/>
      <c r="AI228" s="101"/>
      <c r="AJ228" s="88"/>
      <c r="AK228" s="88"/>
      <c r="AM228" s="71"/>
      <c r="AN228" s="101"/>
      <c r="AO228" s="101"/>
      <c r="AP228" s="101"/>
      <c r="AQ228" s="101"/>
      <c r="AR228" s="103"/>
      <c r="AS228" s="103"/>
      <c r="AT228" s="103"/>
      <c r="AU228" s="103"/>
      <c r="AV228" s="103"/>
      <c r="BA228" s="103"/>
      <c r="BF228" s="103"/>
      <c r="BG228" s="103"/>
      <c r="BH228" s="103"/>
      <c r="CK228" s="103"/>
      <c r="CL228" s="103"/>
      <c r="CM228" s="103"/>
      <c r="CN228" s="103"/>
      <c r="CO228" s="103"/>
      <c r="CP228" s="103"/>
      <c r="CQ228" s="103"/>
      <c r="CR228" s="103"/>
      <c r="CS228" s="103"/>
      <c r="CT228" s="103"/>
      <c r="DH228" s="103"/>
      <c r="DI228" s="103"/>
      <c r="DJ228" s="103"/>
      <c r="DK228" s="103"/>
      <c r="DL228" s="103"/>
      <c r="DM228" s="103"/>
      <c r="DN228" s="103"/>
      <c r="DO228" s="103"/>
      <c r="DP228" s="103"/>
      <c r="DQ228" s="103"/>
    </row>
    <row r="229" spans="1:121" s="90" customFormat="1" x14ac:dyDescent="0.25">
      <c r="A229" s="71"/>
      <c r="B229" s="71"/>
      <c r="C229" s="71"/>
      <c r="D229" s="71"/>
      <c r="E229" s="71"/>
      <c r="F229" s="101"/>
      <c r="G229" s="101"/>
      <c r="H229" s="71"/>
      <c r="I229" s="71"/>
      <c r="J229" s="71"/>
      <c r="K229" s="101"/>
      <c r="L229" s="101"/>
      <c r="M229" s="101"/>
      <c r="N229" s="71"/>
      <c r="O229" s="71"/>
      <c r="P229" s="71"/>
      <c r="Q229" s="71"/>
      <c r="R229" s="101"/>
      <c r="S229" s="101"/>
      <c r="T229" s="71"/>
      <c r="U229" s="101"/>
      <c r="V229" s="101"/>
      <c r="W229" s="102"/>
      <c r="X229" s="102"/>
      <c r="Y229" s="102"/>
      <c r="Z229" s="102"/>
      <c r="AA229" s="102"/>
      <c r="AB229" s="102"/>
      <c r="AC229" s="71"/>
      <c r="AD229" s="101"/>
      <c r="AE229" s="101"/>
      <c r="AF229" s="102"/>
      <c r="AG229" s="102"/>
      <c r="AH229" s="102"/>
      <c r="AI229" s="101"/>
      <c r="AJ229" s="88"/>
      <c r="AK229" s="88"/>
      <c r="AM229" s="71"/>
      <c r="AN229" s="101"/>
      <c r="AO229" s="101"/>
      <c r="AP229" s="101"/>
      <c r="AQ229" s="101"/>
      <c r="AR229" s="103"/>
      <c r="AS229" s="103"/>
      <c r="AT229" s="103"/>
      <c r="AU229" s="103"/>
      <c r="AV229" s="103"/>
      <c r="BA229" s="103"/>
      <c r="BF229" s="103"/>
      <c r="BG229" s="103"/>
      <c r="BH229" s="103"/>
      <c r="CK229" s="103"/>
      <c r="CL229" s="103"/>
      <c r="CM229" s="103"/>
      <c r="CN229" s="103"/>
      <c r="CO229" s="103"/>
      <c r="CP229" s="103"/>
      <c r="CQ229" s="103"/>
      <c r="CR229" s="103"/>
      <c r="CS229" s="103"/>
      <c r="CT229" s="103"/>
      <c r="DH229" s="103"/>
      <c r="DI229" s="103"/>
      <c r="DJ229" s="103"/>
      <c r="DK229" s="103"/>
      <c r="DL229" s="103"/>
      <c r="DM229" s="103"/>
      <c r="DN229" s="103"/>
      <c r="DO229" s="103"/>
      <c r="DP229" s="103"/>
      <c r="DQ229" s="103"/>
    </row>
    <row r="230" spans="1:121" s="90" customFormat="1" x14ac:dyDescent="0.25">
      <c r="A230" s="71"/>
      <c r="B230" s="71"/>
      <c r="C230" s="71"/>
      <c r="D230" s="71"/>
      <c r="E230" s="71"/>
      <c r="F230" s="101"/>
      <c r="G230" s="101"/>
      <c r="H230" s="71"/>
      <c r="I230" s="71"/>
      <c r="J230" s="71"/>
      <c r="K230" s="101"/>
      <c r="L230" s="101"/>
      <c r="M230" s="101"/>
      <c r="N230" s="71"/>
      <c r="O230" s="71"/>
      <c r="P230" s="71"/>
      <c r="Q230" s="71"/>
      <c r="R230" s="101"/>
      <c r="S230" s="101"/>
      <c r="T230" s="71"/>
      <c r="U230" s="101"/>
      <c r="V230" s="101"/>
      <c r="W230" s="102"/>
      <c r="X230" s="102"/>
      <c r="Y230" s="102"/>
      <c r="Z230" s="102"/>
      <c r="AA230" s="102"/>
      <c r="AB230" s="102"/>
      <c r="AC230" s="71"/>
      <c r="AD230" s="101"/>
      <c r="AE230" s="101"/>
      <c r="AF230" s="102"/>
      <c r="AG230" s="102"/>
      <c r="AH230" s="102"/>
      <c r="AI230" s="101"/>
      <c r="AJ230" s="88"/>
      <c r="AK230" s="88"/>
      <c r="AM230" s="71"/>
      <c r="AN230" s="101"/>
      <c r="AO230" s="101"/>
      <c r="AP230" s="101"/>
      <c r="AQ230" s="101"/>
      <c r="AR230" s="103"/>
      <c r="AS230" s="103"/>
      <c r="AT230" s="103"/>
      <c r="AU230" s="103"/>
      <c r="AV230" s="103"/>
      <c r="BA230" s="103"/>
      <c r="BF230" s="103"/>
      <c r="BG230" s="103"/>
      <c r="BH230" s="103"/>
      <c r="CK230" s="103"/>
      <c r="CL230" s="103"/>
      <c r="CM230" s="103"/>
      <c r="CN230" s="103"/>
      <c r="CO230" s="103"/>
      <c r="CP230" s="103"/>
      <c r="CQ230" s="103"/>
      <c r="CR230" s="103"/>
      <c r="CS230" s="103"/>
      <c r="CT230" s="103"/>
      <c r="DH230" s="103"/>
      <c r="DI230" s="103"/>
      <c r="DJ230" s="103"/>
      <c r="DK230" s="103"/>
      <c r="DL230" s="103"/>
      <c r="DM230" s="103"/>
      <c r="DN230" s="103"/>
      <c r="DO230" s="103"/>
      <c r="DP230" s="103"/>
      <c r="DQ230" s="103"/>
    </row>
    <row r="231" spans="1:121" s="90" customFormat="1" x14ac:dyDescent="0.25">
      <c r="A231" s="71"/>
      <c r="B231" s="71"/>
      <c r="C231" s="71"/>
      <c r="D231" s="71"/>
      <c r="E231" s="71"/>
      <c r="F231" s="101"/>
      <c r="G231" s="101"/>
      <c r="H231" s="71"/>
      <c r="I231" s="71"/>
      <c r="J231" s="71"/>
      <c r="K231" s="101"/>
      <c r="L231" s="101"/>
      <c r="M231" s="101"/>
      <c r="N231" s="71"/>
      <c r="O231" s="71"/>
      <c r="P231" s="71"/>
      <c r="Q231" s="71"/>
      <c r="R231" s="101"/>
      <c r="S231" s="101"/>
      <c r="T231" s="71"/>
      <c r="U231" s="101"/>
      <c r="V231" s="101"/>
      <c r="W231" s="102"/>
      <c r="X231" s="102"/>
      <c r="Y231" s="102"/>
      <c r="Z231" s="102"/>
      <c r="AA231" s="102"/>
      <c r="AB231" s="102"/>
      <c r="AC231" s="71"/>
      <c r="AD231" s="101"/>
      <c r="AE231" s="101"/>
      <c r="AF231" s="102"/>
      <c r="AG231" s="102"/>
      <c r="AH231" s="102"/>
      <c r="AI231" s="101"/>
      <c r="AJ231" s="88"/>
      <c r="AK231" s="88"/>
      <c r="AM231" s="71"/>
      <c r="AN231" s="101"/>
      <c r="AO231" s="101"/>
      <c r="AP231" s="101"/>
      <c r="AQ231" s="101"/>
      <c r="AR231" s="103"/>
      <c r="AS231" s="103"/>
      <c r="AT231" s="103"/>
      <c r="AU231" s="103"/>
      <c r="AV231" s="103"/>
      <c r="BA231" s="103"/>
      <c r="BF231" s="103"/>
      <c r="BG231" s="103"/>
      <c r="BH231" s="103"/>
      <c r="CK231" s="103"/>
      <c r="CL231" s="103"/>
      <c r="CM231" s="103"/>
      <c r="CN231" s="103"/>
      <c r="CO231" s="103"/>
      <c r="CP231" s="103"/>
      <c r="CQ231" s="103"/>
      <c r="CR231" s="103"/>
      <c r="CS231" s="103"/>
      <c r="CT231" s="103"/>
      <c r="DH231" s="103"/>
      <c r="DI231" s="103"/>
      <c r="DJ231" s="103"/>
      <c r="DK231" s="103"/>
      <c r="DL231" s="103"/>
      <c r="DM231" s="103"/>
      <c r="DN231" s="103"/>
      <c r="DO231" s="103"/>
      <c r="DP231" s="103"/>
      <c r="DQ231" s="103"/>
    </row>
    <row r="232" spans="1:121" s="90" customFormat="1" x14ac:dyDescent="0.25">
      <c r="A232" s="71"/>
      <c r="B232" s="71"/>
      <c r="C232" s="71"/>
      <c r="D232" s="71"/>
      <c r="E232" s="71"/>
      <c r="F232" s="101"/>
      <c r="G232" s="101"/>
      <c r="H232" s="71"/>
      <c r="I232" s="71"/>
      <c r="J232" s="71"/>
      <c r="K232" s="101"/>
      <c r="L232" s="101"/>
      <c r="M232" s="101"/>
      <c r="N232" s="71"/>
      <c r="O232" s="71"/>
      <c r="P232" s="71"/>
      <c r="Q232" s="71"/>
      <c r="R232" s="101"/>
      <c r="S232" s="101"/>
      <c r="T232" s="71"/>
      <c r="U232" s="101"/>
      <c r="V232" s="101"/>
      <c r="W232" s="102"/>
      <c r="X232" s="102"/>
      <c r="Y232" s="102"/>
      <c r="Z232" s="102"/>
      <c r="AA232" s="102"/>
      <c r="AB232" s="102"/>
      <c r="AC232" s="71"/>
      <c r="AD232" s="101"/>
      <c r="AE232" s="101"/>
      <c r="AF232" s="102"/>
      <c r="AG232" s="102"/>
      <c r="AH232" s="102"/>
      <c r="AI232" s="101"/>
      <c r="AJ232" s="88"/>
      <c r="AK232" s="88"/>
      <c r="AM232" s="71"/>
      <c r="AN232" s="101"/>
      <c r="AO232" s="101"/>
      <c r="AP232" s="101"/>
      <c r="AQ232" s="101"/>
      <c r="AR232" s="103"/>
      <c r="AS232" s="103"/>
      <c r="AT232" s="103"/>
      <c r="AU232" s="103"/>
      <c r="AV232" s="103"/>
      <c r="BA232" s="103"/>
      <c r="BF232" s="103"/>
      <c r="BG232" s="103"/>
      <c r="BH232" s="103"/>
      <c r="CK232" s="103"/>
      <c r="CL232" s="103"/>
      <c r="CM232" s="103"/>
      <c r="CN232" s="103"/>
      <c r="CO232" s="103"/>
      <c r="CP232" s="103"/>
      <c r="CQ232" s="103"/>
      <c r="CR232" s="103"/>
      <c r="CS232" s="103"/>
      <c r="CT232" s="103"/>
      <c r="DH232" s="103"/>
      <c r="DI232" s="103"/>
      <c r="DJ232" s="103"/>
      <c r="DK232" s="103"/>
      <c r="DL232" s="103"/>
      <c r="DM232" s="103"/>
      <c r="DN232" s="103"/>
      <c r="DO232" s="103"/>
      <c r="DP232" s="103"/>
      <c r="DQ232" s="103"/>
    </row>
    <row r="233" spans="1:121" s="90" customFormat="1" x14ac:dyDescent="0.25">
      <c r="A233" s="71"/>
      <c r="B233" s="71"/>
      <c r="C233" s="71"/>
      <c r="D233" s="71"/>
      <c r="E233" s="71"/>
      <c r="F233" s="101"/>
      <c r="G233" s="101"/>
      <c r="H233" s="71"/>
      <c r="I233" s="71"/>
      <c r="J233" s="71"/>
      <c r="K233" s="101"/>
      <c r="L233" s="101"/>
      <c r="M233" s="101"/>
      <c r="N233" s="71"/>
      <c r="O233" s="71"/>
      <c r="P233" s="71"/>
      <c r="Q233" s="71"/>
      <c r="R233" s="101"/>
      <c r="S233" s="101"/>
      <c r="T233" s="71"/>
      <c r="U233" s="101"/>
      <c r="V233" s="101"/>
      <c r="W233" s="102"/>
      <c r="X233" s="102"/>
      <c r="Y233" s="102"/>
      <c r="Z233" s="102"/>
      <c r="AA233" s="102"/>
      <c r="AB233" s="102"/>
      <c r="AC233" s="71"/>
      <c r="AD233" s="101"/>
      <c r="AE233" s="101"/>
      <c r="AF233" s="102"/>
      <c r="AG233" s="102"/>
      <c r="AH233" s="102"/>
      <c r="AI233" s="101"/>
      <c r="AJ233" s="88"/>
      <c r="AK233" s="88"/>
      <c r="AM233" s="71"/>
      <c r="AN233" s="101"/>
      <c r="AO233" s="101"/>
      <c r="AP233" s="101"/>
      <c r="AQ233" s="101"/>
      <c r="AR233" s="103"/>
      <c r="AS233" s="103"/>
      <c r="AT233" s="103"/>
      <c r="AU233" s="103"/>
      <c r="AV233" s="103"/>
      <c r="BA233" s="103"/>
      <c r="BF233" s="103"/>
      <c r="BG233" s="103"/>
      <c r="BH233" s="103"/>
      <c r="CK233" s="103"/>
      <c r="CL233" s="103"/>
      <c r="CM233" s="103"/>
      <c r="CN233" s="103"/>
      <c r="CO233" s="103"/>
      <c r="CP233" s="103"/>
      <c r="CQ233" s="103"/>
      <c r="CR233" s="103"/>
      <c r="CS233" s="103"/>
      <c r="CT233" s="103"/>
      <c r="DH233" s="103"/>
      <c r="DI233" s="103"/>
      <c r="DJ233" s="103"/>
      <c r="DK233" s="103"/>
      <c r="DL233" s="103"/>
      <c r="DM233" s="103"/>
      <c r="DN233" s="103"/>
      <c r="DO233" s="103"/>
      <c r="DP233" s="103"/>
      <c r="DQ233" s="103"/>
    </row>
    <row r="234" spans="1:121" s="90" customFormat="1" x14ac:dyDescent="0.25">
      <c r="A234" s="71"/>
      <c r="B234" s="71"/>
      <c r="C234" s="71"/>
      <c r="D234" s="71"/>
      <c r="E234" s="71"/>
      <c r="F234" s="101"/>
      <c r="G234" s="101"/>
      <c r="H234" s="71"/>
      <c r="I234" s="71"/>
      <c r="J234" s="71"/>
      <c r="K234" s="101"/>
      <c r="L234" s="101"/>
      <c r="M234" s="101"/>
      <c r="N234" s="71"/>
      <c r="O234" s="71"/>
      <c r="P234" s="71"/>
      <c r="Q234" s="71"/>
      <c r="R234" s="101"/>
      <c r="S234" s="101"/>
      <c r="T234" s="71"/>
      <c r="U234" s="101"/>
      <c r="V234" s="101"/>
      <c r="W234" s="102"/>
      <c r="X234" s="102"/>
      <c r="Y234" s="102"/>
      <c r="Z234" s="102"/>
      <c r="AA234" s="102"/>
      <c r="AB234" s="102"/>
      <c r="AC234" s="71"/>
      <c r="AD234" s="101"/>
      <c r="AE234" s="101"/>
      <c r="AF234" s="102"/>
      <c r="AG234" s="102"/>
      <c r="AH234" s="102"/>
      <c r="AI234" s="101"/>
      <c r="AJ234" s="88"/>
      <c r="AK234" s="88"/>
      <c r="AM234" s="71"/>
      <c r="AN234" s="101"/>
      <c r="AO234" s="101"/>
      <c r="AP234" s="101"/>
      <c r="AQ234" s="101"/>
      <c r="AR234" s="103"/>
      <c r="AS234" s="103"/>
      <c r="AT234" s="103"/>
      <c r="AU234" s="103"/>
      <c r="AV234" s="103"/>
      <c r="BA234" s="103"/>
      <c r="BF234" s="103"/>
      <c r="BG234" s="103"/>
      <c r="BH234" s="103"/>
      <c r="CK234" s="103"/>
      <c r="CL234" s="103"/>
      <c r="CM234" s="103"/>
      <c r="CN234" s="103"/>
      <c r="CO234" s="103"/>
      <c r="CP234" s="103"/>
      <c r="CQ234" s="103"/>
      <c r="CR234" s="103"/>
      <c r="CS234" s="103"/>
      <c r="CT234" s="103"/>
      <c r="DH234" s="103"/>
      <c r="DI234" s="103"/>
      <c r="DJ234" s="103"/>
      <c r="DK234" s="103"/>
      <c r="DL234" s="103"/>
      <c r="DM234" s="103"/>
      <c r="DN234" s="103"/>
      <c r="DO234" s="103"/>
      <c r="DP234" s="103"/>
      <c r="DQ234" s="103"/>
    </row>
    <row r="235" spans="1:121" s="90" customFormat="1" x14ac:dyDescent="0.25">
      <c r="A235" s="71"/>
      <c r="B235" s="71"/>
      <c r="C235" s="71"/>
      <c r="D235" s="71"/>
      <c r="E235" s="71"/>
      <c r="F235" s="101"/>
      <c r="G235" s="101"/>
      <c r="H235" s="71"/>
      <c r="I235" s="71"/>
      <c r="J235" s="71"/>
      <c r="K235" s="101"/>
      <c r="L235" s="101"/>
      <c r="M235" s="101"/>
      <c r="N235" s="71"/>
      <c r="O235" s="71"/>
      <c r="P235" s="71"/>
      <c r="Q235" s="71"/>
      <c r="R235" s="101"/>
      <c r="S235" s="101"/>
      <c r="T235" s="71"/>
      <c r="U235" s="101"/>
      <c r="V235" s="101"/>
      <c r="W235" s="102"/>
      <c r="X235" s="102"/>
      <c r="Y235" s="102"/>
      <c r="Z235" s="102"/>
      <c r="AA235" s="102"/>
      <c r="AB235" s="102"/>
      <c r="AC235" s="71"/>
      <c r="AD235" s="101"/>
      <c r="AE235" s="101"/>
      <c r="AF235" s="102"/>
      <c r="AG235" s="102"/>
      <c r="AH235" s="102"/>
      <c r="AI235" s="101"/>
      <c r="AJ235" s="88"/>
      <c r="AK235" s="88"/>
      <c r="AM235" s="71"/>
      <c r="AN235" s="101"/>
      <c r="AO235" s="101"/>
      <c r="AP235" s="101"/>
      <c r="AQ235" s="101"/>
      <c r="AR235" s="103"/>
      <c r="AS235" s="103"/>
      <c r="AT235" s="103"/>
      <c r="AU235" s="103"/>
      <c r="AV235" s="103"/>
      <c r="BA235" s="103"/>
      <c r="BF235" s="103"/>
      <c r="BG235" s="103"/>
      <c r="BH235" s="103"/>
      <c r="CK235" s="103"/>
      <c r="CL235" s="103"/>
      <c r="CM235" s="103"/>
      <c r="CN235" s="103"/>
      <c r="CO235" s="103"/>
      <c r="CP235" s="103"/>
      <c r="CQ235" s="103"/>
      <c r="CR235" s="103"/>
      <c r="CS235" s="103"/>
      <c r="CT235" s="103"/>
      <c r="DH235" s="103"/>
      <c r="DI235" s="103"/>
      <c r="DJ235" s="103"/>
      <c r="DK235" s="103"/>
      <c r="DL235" s="103"/>
      <c r="DM235" s="103"/>
      <c r="DN235" s="103"/>
      <c r="DO235" s="103"/>
      <c r="DP235" s="103"/>
      <c r="DQ235" s="103"/>
    </row>
    <row r="236" spans="1:121" s="90" customFormat="1" x14ac:dyDescent="0.25">
      <c r="A236" s="71"/>
      <c r="B236" s="71"/>
      <c r="C236" s="71"/>
      <c r="D236" s="71"/>
      <c r="E236" s="71"/>
      <c r="F236" s="101"/>
      <c r="G236" s="101"/>
      <c r="H236" s="71"/>
      <c r="I236" s="71"/>
      <c r="J236" s="71"/>
      <c r="K236" s="101"/>
      <c r="L236" s="101"/>
      <c r="M236" s="101"/>
      <c r="N236" s="71"/>
      <c r="O236" s="71"/>
      <c r="P236" s="71"/>
      <c r="Q236" s="71"/>
      <c r="R236" s="101"/>
      <c r="S236" s="101"/>
      <c r="T236" s="71"/>
      <c r="U236" s="101"/>
      <c r="V236" s="101"/>
      <c r="W236" s="102"/>
      <c r="X236" s="102"/>
      <c r="Y236" s="102"/>
      <c r="Z236" s="102"/>
      <c r="AA236" s="102"/>
      <c r="AB236" s="102"/>
      <c r="AC236" s="71"/>
      <c r="AD236" s="101"/>
      <c r="AE236" s="101"/>
      <c r="AF236" s="102"/>
      <c r="AG236" s="102"/>
      <c r="AH236" s="102"/>
      <c r="AI236" s="101"/>
      <c r="AJ236" s="88"/>
      <c r="AK236" s="88"/>
      <c r="AM236" s="71"/>
      <c r="AN236" s="101"/>
      <c r="AO236" s="101"/>
      <c r="AP236" s="101"/>
      <c r="AQ236" s="101"/>
      <c r="AR236" s="103"/>
      <c r="AS236" s="103"/>
      <c r="AT236" s="103"/>
      <c r="AU236" s="103"/>
      <c r="AV236" s="103"/>
      <c r="BA236" s="103"/>
      <c r="BF236" s="103"/>
      <c r="BG236" s="103"/>
      <c r="BH236" s="103"/>
      <c r="CK236" s="103"/>
      <c r="CL236" s="103"/>
      <c r="CM236" s="103"/>
      <c r="CN236" s="103"/>
      <c r="CO236" s="103"/>
      <c r="CP236" s="103"/>
      <c r="CQ236" s="103"/>
      <c r="CR236" s="103"/>
      <c r="CS236" s="103"/>
      <c r="CT236" s="103"/>
      <c r="DH236" s="103"/>
      <c r="DI236" s="103"/>
      <c r="DJ236" s="103"/>
      <c r="DK236" s="103"/>
      <c r="DL236" s="103"/>
      <c r="DM236" s="103"/>
      <c r="DN236" s="103"/>
      <c r="DO236" s="103"/>
      <c r="DP236" s="103"/>
      <c r="DQ236" s="103"/>
    </row>
    <row r="237" spans="1:121" s="90" customFormat="1" x14ac:dyDescent="0.25">
      <c r="A237" s="71"/>
      <c r="B237" s="71"/>
      <c r="C237" s="71"/>
      <c r="D237" s="71"/>
      <c r="E237" s="71"/>
      <c r="F237" s="101"/>
      <c r="G237" s="101"/>
      <c r="H237" s="71"/>
      <c r="I237" s="71"/>
      <c r="J237" s="71"/>
      <c r="K237" s="101"/>
      <c r="L237" s="101"/>
      <c r="M237" s="101"/>
      <c r="N237" s="71"/>
      <c r="O237" s="71"/>
      <c r="P237" s="71"/>
      <c r="Q237" s="71"/>
      <c r="R237" s="101"/>
      <c r="S237" s="101"/>
      <c r="T237" s="71"/>
      <c r="U237" s="101"/>
      <c r="V237" s="101"/>
      <c r="W237" s="102"/>
      <c r="X237" s="102"/>
      <c r="Y237" s="102"/>
      <c r="Z237" s="102"/>
      <c r="AA237" s="102"/>
      <c r="AB237" s="102"/>
      <c r="AC237" s="71"/>
      <c r="AD237" s="101"/>
      <c r="AE237" s="101"/>
      <c r="AF237" s="102"/>
      <c r="AG237" s="102"/>
      <c r="AH237" s="102"/>
      <c r="AI237" s="101"/>
      <c r="AJ237" s="88"/>
      <c r="AK237" s="88"/>
      <c r="AM237" s="71"/>
      <c r="AN237" s="101"/>
      <c r="AO237" s="101"/>
      <c r="AP237" s="101"/>
      <c r="AQ237" s="101"/>
      <c r="AR237" s="103"/>
      <c r="AS237" s="103"/>
      <c r="AT237" s="103"/>
      <c r="AU237" s="103"/>
      <c r="AV237" s="103"/>
      <c r="BA237" s="103"/>
      <c r="BF237" s="103"/>
      <c r="BG237" s="103"/>
      <c r="BH237" s="103"/>
      <c r="CK237" s="103"/>
      <c r="CL237" s="103"/>
      <c r="CM237" s="103"/>
      <c r="CN237" s="103"/>
      <c r="CO237" s="103"/>
      <c r="CP237" s="103"/>
      <c r="CQ237" s="103"/>
      <c r="CR237" s="103"/>
      <c r="CS237" s="103"/>
      <c r="CT237" s="103"/>
      <c r="DH237" s="103"/>
      <c r="DI237" s="103"/>
      <c r="DJ237" s="103"/>
      <c r="DK237" s="103"/>
      <c r="DL237" s="103"/>
      <c r="DM237" s="103"/>
      <c r="DN237" s="103"/>
      <c r="DO237" s="103"/>
      <c r="DP237" s="103"/>
      <c r="DQ237" s="103"/>
    </row>
    <row r="238" spans="1:121" s="90" customFormat="1" x14ac:dyDescent="0.25">
      <c r="A238" s="71"/>
      <c r="B238" s="71"/>
      <c r="C238" s="71"/>
      <c r="D238" s="71"/>
      <c r="E238" s="71"/>
      <c r="F238" s="101"/>
      <c r="G238" s="101"/>
      <c r="H238" s="71"/>
      <c r="I238" s="71"/>
      <c r="J238" s="71"/>
      <c r="K238" s="101"/>
      <c r="L238" s="101"/>
      <c r="M238" s="101"/>
      <c r="N238" s="71"/>
      <c r="O238" s="71"/>
      <c r="P238" s="71"/>
      <c r="Q238" s="71"/>
      <c r="R238" s="101"/>
      <c r="S238" s="101"/>
      <c r="T238" s="71"/>
      <c r="U238" s="101"/>
      <c r="V238" s="101"/>
      <c r="W238" s="102"/>
      <c r="X238" s="102"/>
      <c r="Y238" s="102"/>
      <c r="Z238" s="102"/>
      <c r="AA238" s="102"/>
      <c r="AB238" s="102"/>
      <c r="AC238" s="71"/>
      <c r="AD238" s="101"/>
      <c r="AE238" s="101"/>
      <c r="AF238" s="102"/>
      <c r="AG238" s="102"/>
      <c r="AH238" s="102"/>
      <c r="AI238" s="101"/>
      <c r="AJ238" s="88"/>
      <c r="AK238" s="88"/>
      <c r="AM238" s="71"/>
      <c r="AN238" s="101"/>
      <c r="AO238" s="101"/>
      <c r="AP238" s="101"/>
      <c r="AQ238" s="101"/>
      <c r="AR238" s="103"/>
      <c r="AS238" s="103"/>
      <c r="AT238" s="103"/>
      <c r="AU238" s="103"/>
      <c r="AV238" s="103"/>
      <c r="BA238" s="103"/>
      <c r="BF238" s="103"/>
      <c r="BG238" s="103"/>
      <c r="BH238" s="103"/>
      <c r="CK238" s="103"/>
      <c r="CL238" s="103"/>
      <c r="CM238" s="103"/>
      <c r="CN238" s="103"/>
      <c r="CO238" s="103"/>
      <c r="CP238" s="103"/>
      <c r="CQ238" s="103"/>
      <c r="CR238" s="103"/>
      <c r="CS238" s="103"/>
      <c r="CT238" s="103"/>
      <c r="DH238" s="103"/>
      <c r="DI238" s="103"/>
      <c r="DJ238" s="103"/>
      <c r="DK238" s="103"/>
      <c r="DL238" s="103"/>
      <c r="DM238" s="103"/>
      <c r="DN238" s="103"/>
      <c r="DO238" s="103"/>
      <c r="DP238" s="103"/>
      <c r="DQ238" s="103"/>
    </row>
    <row r="239" spans="1:121" s="90" customFormat="1" x14ac:dyDescent="0.25">
      <c r="A239" s="71"/>
      <c r="B239" s="71"/>
      <c r="C239" s="71"/>
      <c r="D239" s="71"/>
      <c r="E239" s="71"/>
      <c r="F239" s="101"/>
      <c r="G239" s="101"/>
      <c r="H239" s="71"/>
      <c r="I239" s="71"/>
      <c r="J239" s="71"/>
      <c r="K239" s="101"/>
      <c r="L239" s="101"/>
      <c r="M239" s="101"/>
      <c r="N239" s="71"/>
      <c r="O239" s="71"/>
      <c r="P239" s="71"/>
      <c r="Q239" s="71"/>
      <c r="R239" s="101"/>
      <c r="S239" s="101"/>
      <c r="T239" s="71"/>
      <c r="U239" s="101"/>
      <c r="V239" s="101"/>
      <c r="W239" s="102"/>
      <c r="X239" s="102"/>
      <c r="Y239" s="102"/>
      <c r="Z239" s="102"/>
      <c r="AA239" s="102"/>
      <c r="AB239" s="102"/>
      <c r="AC239" s="71"/>
      <c r="AD239" s="101"/>
      <c r="AE239" s="101"/>
      <c r="AF239" s="102"/>
      <c r="AG239" s="102"/>
      <c r="AH239" s="102"/>
      <c r="AI239" s="101"/>
      <c r="AJ239" s="88"/>
      <c r="AK239" s="88"/>
      <c r="AM239" s="71"/>
      <c r="AN239" s="101"/>
      <c r="AO239" s="101"/>
      <c r="AP239" s="101"/>
      <c r="AQ239" s="101"/>
      <c r="AR239" s="103"/>
      <c r="AS239" s="103"/>
      <c r="AT239" s="103"/>
      <c r="AU239" s="103"/>
      <c r="AV239" s="103"/>
      <c r="BA239" s="103"/>
      <c r="BF239" s="103"/>
      <c r="BG239" s="103"/>
      <c r="BH239" s="103"/>
      <c r="CK239" s="103"/>
      <c r="CL239" s="103"/>
      <c r="CM239" s="103"/>
      <c r="CN239" s="103"/>
      <c r="CO239" s="103"/>
      <c r="CP239" s="103"/>
      <c r="CQ239" s="103"/>
      <c r="CR239" s="103"/>
      <c r="CS239" s="103"/>
      <c r="CT239" s="103"/>
      <c r="DH239" s="103"/>
      <c r="DI239" s="103"/>
      <c r="DJ239" s="103"/>
      <c r="DK239" s="103"/>
      <c r="DL239" s="103"/>
      <c r="DM239" s="103"/>
      <c r="DN239" s="103"/>
      <c r="DO239" s="103"/>
      <c r="DP239" s="103"/>
      <c r="DQ239" s="103"/>
    </row>
    <row r="240" spans="1:121" s="90" customFormat="1" x14ac:dyDescent="0.25">
      <c r="A240" s="71"/>
      <c r="B240" s="71"/>
      <c r="C240" s="71"/>
      <c r="D240" s="71"/>
      <c r="E240" s="71"/>
      <c r="F240" s="101"/>
      <c r="G240" s="101"/>
      <c r="H240" s="71"/>
      <c r="I240" s="71"/>
      <c r="J240" s="71"/>
      <c r="K240" s="101"/>
      <c r="L240" s="101"/>
      <c r="M240" s="101"/>
      <c r="N240" s="71"/>
      <c r="O240" s="71"/>
      <c r="P240" s="71"/>
      <c r="Q240" s="71"/>
      <c r="R240" s="101"/>
      <c r="S240" s="101"/>
      <c r="T240" s="71"/>
      <c r="U240" s="101"/>
      <c r="V240" s="101"/>
      <c r="W240" s="102"/>
      <c r="X240" s="102"/>
      <c r="Y240" s="102"/>
      <c r="Z240" s="102"/>
      <c r="AA240" s="102"/>
      <c r="AB240" s="102"/>
      <c r="AC240" s="71"/>
      <c r="AD240" s="101"/>
      <c r="AE240" s="101"/>
      <c r="AF240" s="102"/>
      <c r="AG240" s="102"/>
      <c r="AH240" s="102"/>
      <c r="AI240" s="101"/>
      <c r="AJ240" s="88"/>
      <c r="AK240" s="88"/>
      <c r="AM240" s="71"/>
      <c r="AN240" s="101"/>
      <c r="AO240" s="101"/>
      <c r="AP240" s="101"/>
      <c r="AQ240" s="101"/>
      <c r="AR240" s="103"/>
      <c r="AS240" s="103"/>
      <c r="AT240" s="103"/>
      <c r="AU240" s="103"/>
      <c r="AV240" s="103"/>
      <c r="BA240" s="103"/>
      <c r="BF240" s="103"/>
      <c r="BG240" s="103"/>
      <c r="BH240" s="103"/>
      <c r="CK240" s="103"/>
      <c r="CL240" s="103"/>
      <c r="CM240" s="103"/>
      <c r="CN240" s="103"/>
      <c r="CO240" s="103"/>
      <c r="CP240" s="103"/>
      <c r="CQ240" s="103"/>
      <c r="CR240" s="103"/>
      <c r="CS240" s="103"/>
      <c r="CT240" s="103"/>
      <c r="DH240" s="103"/>
      <c r="DI240" s="103"/>
      <c r="DJ240" s="103"/>
      <c r="DK240" s="103"/>
      <c r="DL240" s="103"/>
      <c r="DM240" s="103"/>
      <c r="DN240" s="103"/>
      <c r="DO240" s="103"/>
      <c r="DP240" s="103"/>
      <c r="DQ240" s="103"/>
    </row>
    <row r="241" spans="1:121" s="90" customFormat="1" x14ac:dyDescent="0.25">
      <c r="A241" s="71"/>
      <c r="B241" s="71"/>
      <c r="C241" s="71"/>
      <c r="D241" s="71"/>
      <c r="E241" s="71"/>
      <c r="F241" s="101"/>
      <c r="G241" s="101"/>
      <c r="H241" s="71"/>
      <c r="I241" s="71"/>
      <c r="J241" s="71"/>
      <c r="K241" s="101"/>
      <c r="L241" s="101"/>
      <c r="M241" s="101"/>
      <c r="N241" s="71"/>
      <c r="O241" s="71"/>
      <c r="P241" s="71"/>
      <c r="Q241" s="71"/>
      <c r="R241" s="101"/>
      <c r="S241" s="101"/>
      <c r="T241" s="71"/>
      <c r="U241" s="101"/>
      <c r="V241" s="101"/>
      <c r="W241" s="102"/>
      <c r="X241" s="102"/>
      <c r="Y241" s="102"/>
      <c r="Z241" s="102"/>
      <c r="AA241" s="102"/>
      <c r="AB241" s="102"/>
      <c r="AC241" s="71"/>
      <c r="AD241" s="101"/>
      <c r="AE241" s="101"/>
      <c r="AF241" s="102"/>
      <c r="AG241" s="102"/>
      <c r="AH241" s="102"/>
      <c r="AI241" s="101"/>
      <c r="AJ241" s="88"/>
      <c r="AK241" s="88"/>
      <c r="AM241" s="71"/>
      <c r="AN241" s="101"/>
      <c r="AO241" s="101"/>
      <c r="AP241" s="101"/>
      <c r="AQ241" s="101"/>
      <c r="AR241" s="103"/>
      <c r="AS241" s="103"/>
      <c r="AT241" s="103"/>
      <c r="AU241" s="103"/>
      <c r="AV241" s="103"/>
      <c r="BA241" s="103"/>
      <c r="BF241" s="103"/>
      <c r="BG241" s="103"/>
      <c r="BH241" s="103"/>
      <c r="CK241" s="103"/>
      <c r="CL241" s="103"/>
      <c r="CM241" s="103"/>
      <c r="CN241" s="103"/>
      <c r="CO241" s="103"/>
      <c r="CP241" s="103"/>
      <c r="CQ241" s="103"/>
      <c r="CR241" s="103"/>
      <c r="CS241" s="103"/>
      <c r="CT241" s="103"/>
      <c r="DH241" s="103"/>
      <c r="DI241" s="103"/>
      <c r="DJ241" s="103"/>
      <c r="DK241" s="103"/>
      <c r="DL241" s="103"/>
      <c r="DM241" s="103"/>
      <c r="DN241" s="103"/>
      <c r="DO241" s="103"/>
      <c r="DP241" s="103"/>
      <c r="DQ241" s="103"/>
    </row>
    <row r="242" spans="1:121" s="90" customFormat="1" x14ac:dyDescent="0.25">
      <c r="A242" s="71"/>
      <c r="B242" s="71"/>
      <c r="C242" s="71"/>
      <c r="D242" s="71"/>
      <c r="E242" s="71"/>
      <c r="F242" s="101"/>
      <c r="G242" s="101"/>
      <c r="H242" s="71"/>
      <c r="I242" s="71"/>
      <c r="J242" s="71"/>
      <c r="K242" s="101"/>
      <c r="L242" s="101"/>
      <c r="M242" s="101"/>
      <c r="N242" s="71"/>
      <c r="O242" s="71"/>
      <c r="P242" s="71"/>
      <c r="Q242" s="71"/>
      <c r="R242" s="101"/>
      <c r="S242" s="101"/>
      <c r="T242" s="71"/>
      <c r="U242" s="101"/>
      <c r="V242" s="101"/>
      <c r="W242" s="102"/>
      <c r="X242" s="102"/>
      <c r="Y242" s="102"/>
      <c r="Z242" s="102"/>
      <c r="AA242" s="102"/>
      <c r="AB242" s="102"/>
      <c r="AC242" s="71"/>
      <c r="AD242" s="101"/>
      <c r="AE242" s="101"/>
      <c r="AF242" s="102"/>
      <c r="AG242" s="102"/>
      <c r="AH242" s="102"/>
      <c r="AI242" s="101"/>
      <c r="AJ242" s="88"/>
      <c r="AK242" s="88"/>
      <c r="AM242" s="71"/>
      <c r="AN242" s="101"/>
      <c r="AO242" s="101"/>
      <c r="AP242" s="101"/>
      <c r="AQ242" s="101"/>
      <c r="AR242" s="103"/>
      <c r="AS242" s="103"/>
      <c r="AT242" s="103"/>
      <c r="AU242" s="103"/>
      <c r="AV242" s="103"/>
      <c r="BA242" s="103"/>
      <c r="BF242" s="103"/>
      <c r="BG242" s="103"/>
      <c r="BH242" s="103"/>
      <c r="CK242" s="103"/>
      <c r="CL242" s="103"/>
      <c r="CM242" s="103"/>
      <c r="CN242" s="103"/>
      <c r="CO242" s="103"/>
      <c r="CP242" s="103"/>
      <c r="CQ242" s="103"/>
      <c r="CR242" s="103"/>
      <c r="CS242" s="103"/>
      <c r="CT242" s="103"/>
      <c r="DH242" s="103"/>
      <c r="DI242" s="103"/>
      <c r="DJ242" s="103"/>
      <c r="DK242" s="103"/>
      <c r="DL242" s="103"/>
      <c r="DM242" s="103"/>
      <c r="DN242" s="103"/>
      <c r="DO242" s="103"/>
      <c r="DP242" s="103"/>
      <c r="DQ242" s="103"/>
    </row>
    <row r="243" spans="1:121" s="90" customFormat="1" x14ac:dyDescent="0.25">
      <c r="A243" s="71"/>
      <c r="B243" s="71"/>
      <c r="C243" s="71"/>
      <c r="D243" s="71"/>
      <c r="E243" s="71"/>
      <c r="F243" s="101"/>
      <c r="G243" s="101"/>
      <c r="H243" s="71"/>
      <c r="I243" s="71"/>
      <c r="J243" s="71"/>
      <c r="K243" s="101"/>
      <c r="L243" s="101"/>
      <c r="M243" s="101"/>
      <c r="N243" s="71"/>
      <c r="O243" s="71"/>
      <c r="P243" s="71"/>
      <c r="Q243" s="71"/>
      <c r="R243" s="101"/>
      <c r="S243" s="101"/>
      <c r="T243" s="71"/>
      <c r="U243" s="101"/>
      <c r="V243" s="101"/>
      <c r="W243" s="102"/>
      <c r="X243" s="102"/>
      <c r="Y243" s="102"/>
      <c r="Z243" s="102"/>
      <c r="AA243" s="102"/>
      <c r="AB243" s="102"/>
      <c r="AC243" s="71"/>
      <c r="AD243" s="101"/>
      <c r="AE243" s="101"/>
      <c r="AF243" s="102"/>
      <c r="AG243" s="102"/>
      <c r="AH243" s="102"/>
      <c r="AI243" s="101"/>
      <c r="AJ243" s="88"/>
      <c r="AK243" s="88"/>
      <c r="AM243" s="71"/>
      <c r="AN243" s="101"/>
      <c r="AO243" s="101"/>
      <c r="AP243" s="101"/>
      <c r="AQ243" s="101"/>
      <c r="AR243" s="103"/>
      <c r="AS243" s="103"/>
      <c r="AT243" s="103"/>
      <c r="AU243" s="103"/>
      <c r="AV243" s="103"/>
      <c r="BA243" s="103"/>
      <c r="BF243" s="103"/>
      <c r="BG243" s="103"/>
      <c r="BH243" s="103"/>
      <c r="CK243" s="103"/>
      <c r="CL243" s="103"/>
      <c r="CM243" s="103"/>
      <c r="CN243" s="103"/>
      <c r="CO243" s="103"/>
      <c r="CP243" s="103"/>
      <c r="CQ243" s="103"/>
      <c r="CR243" s="103"/>
      <c r="CS243" s="103"/>
      <c r="CT243" s="103"/>
      <c r="DH243" s="103"/>
      <c r="DI243" s="103"/>
      <c r="DJ243" s="103"/>
      <c r="DK243" s="103"/>
      <c r="DL243" s="103"/>
      <c r="DM243" s="103"/>
      <c r="DN243" s="103"/>
      <c r="DO243" s="103"/>
      <c r="DP243" s="103"/>
      <c r="DQ243" s="103"/>
    </row>
    <row r="244" spans="1:121" s="90" customFormat="1" x14ac:dyDescent="0.25">
      <c r="A244" s="71"/>
      <c r="B244" s="71"/>
      <c r="C244" s="71"/>
      <c r="D244" s="71"/>
      <c r="E244" s="71"/>
      <c r="F244" s="101"/>
      <c r="G244" s="101"/>
      <c r="H244" s="71"/>
      <c r="I244" s="71"/>
      <c r="J244" s="71"/>
      <c r="K244" s="101"/>
      <c r="L244" s="101"/>
      <c r="M244" s="101"/>
      <c r="N244" s="71"/>
      <c r="O244" s="71"/>
      <c r="P244" s="71"/>
      <c r="Q244" s="71"/>
      <c r="R244" s="101"/>
      <c r="S244" s="101"/>
      <c r="T244" s="71"/>
      <c r="U244" s="101"/>
      <c r="V244" s="101"/>
      <c r="W244" s="102"/>
      <c r="X244" s="102"/>
      <c r="Y244" s="102"/>
      <c r="Z244" s="102"/>
      <c r="AA244" s="102"/>
      <c r="AB244" s="102"/>
      <c r="AC244" s="71"/>
      <c r="AD244" s="101"/>
      <c r="AE244" s="101"/>
      <c r="AF244" s="102"/>
      <c r="AG244" s="102"/>
      <c r="AH244" s="102"/>
      <c r="AI244" s="101"/>
      <c r="AJ244" s="88"/>
      <c r="AK244" s="88"/>
      <c r="AM244" s="71"/>
      <c r="AN244" s="101"/>
      <c r="AO244" s="101"/>
      <c r="AP244" s="101"/>
      <c r="AQ244" s="101"/>
      <c r="AR244" s="103"/>
      <c r="AS244" s="103"/>
      <c r="AT244" s="103"/>
      <c r="AU244" s="103"/>
      <c r="AV244" s="103"/>
      <c r="BA244" s="103"/>
      <c r="BF244" s="103"/>
      <c r="BG244" s="103"/>
      <c r="BH244" s="103"/>
      <c r="CK244" s="103"/>
      <c r="CL244" s="103"/>
      <c r="CM244" s="103"/>
      <c r="CN244" s="103"/>
      <c r="CO244" s="103"/>
      <c r="CP244" s="103"/>
      <c r="CQ244" s="103"/>
      <c r="CR244" s="103"/>
      <c r="CS244" s="103"/>
      <c r="CT244" s="103"/>
      <c r="DH244" s="103"/>
      <c r="DI244" s="103"/>
      <c r="DJ244" s="103"/>
      <c r="DK244" s="103"/>
      <c r="DL244" s="103"/>
      <c r="DM244" s="103"/>
      <c r="DN244" s="103"/>
      <c r="DO244" s="103"/>
      <c r="DP244" s="103"/>
      <c r="DQ244" s="103"/>
    </row>
    <row r="245" spans="1:121" s="90" customFormat="1" x14ac:dyDescent="0.25">
      <c r="A245" s="71"/>
      <c r="B245" s="71"/>
      <c r="C245" s="71"/>
      <c r="D245" s="71"/>
      <c r="E245" s="71"/>
      <c r="F245" s="101"/>
      <c r="G245" s="101"/>
      <c r="H245" s="71"/>
      <c r="I245" s="71"/>
      <c r="J245" s="71"/>
      <c r="K245" s="101"/>
      <c r="L245" s="101"/>
      <c r="M245" s="101"/>
      <c r="N245" s="71"/>
      <c r="O245" s="71"/>
      <c r="P245" s="71"/>
      <c r="Q245" s="71"/>
      <c r="R245" s="101"/>
      <c r="S245" s="101"/>
      <c r="T245" s="71"/>
      <c r="U245" s="101"/>
      <c r="V245" s="101"/>
      <c r="W245" s="102"/>
      <c r="X245" s="102"/>
      <c r="Y245" s="102"/>
      <c r="Z245" s="102"/>
      <c r="AA245" s="102"/>
      <c r="AB245" s="102"/>
      <c r="AC245" s="71"/>
      <c r="AD245" s="101"/>
      <c r="AE245" s="101"/>
      <c r="AF245" s="102"/>
      <c r="AG245" s="102"/>
      <c r="AH245" s="102"/>
      <c r="AI245" s="101"/>
      <c r="AJ245" s="88"/>
      <c r="AK245" s="88"/>
      <c r="AM245" s="71"/>
      <c r="AN245" s="101"/>
      <c r="AO245" s="101"/>
      <c r="AP245" s="101"/>
      <c r="AQ245" s="101"/>
      <c r="AR245" s="103"/>
      <c r="AS245" s="103"/>
      <c r="AT245" s="103"/>
      <c r="AU245" s="103"/>
      <c r="AV245" s="103"/>
      <c r="BA245" s="103"/>
      <c r="BF245" s="103"/>
      <c r="BG245" s="103"/>
      <c r="BH245" s="103"/>
      <c r="CK245" s="103"/>
      <c r="CL245" s="103"/>
      <c r="CM245" s="103"/>
      <c r="CN245" s="103"/>
      <c r="CO245" s="103"/>
      <c r="CP245" s="103"/>
      <c r="CQ245" s="103"/>
      <c r="CR245" s="103"/>
      <c r="CS245" s="103"/>
      <c r="CT245" s="103"/>
      <c r="DH245" s="103"/>
      <c r="DI245" s="103"/>
      <c r="DJ245" s="103"/>
      <c r="DK245" s="103"/>
      <c r="DL245" s="103"/>
      <c r="DM245" s="103"/>
      <c r="DN245" s="103"/>
      <c r="DO245" s="103"/>
      <c r="DP245" s="103"/>
      <c r="DQ245" s="103"/>
    </row>
    <row r="246" spans="1:121" s="90" customFormat="1" x14ac:dyDescent="0.25">
      <c r="A246" s="71"/>
      <c r="B246" s="71"/>
      <c r="C246" s="71"/>
      <c r="D246" s="71"/>
      <c r="E246" s="71"/>
      <c r="F246" s="101"/>
      <c r="G246" s="101"/>
      <c r="H246" s="71"/>
      <c r="I246" s="71"/>
      <c r="J246" s="71"/>
      <c r="K246" s="101"/>
      <c r="L246" s="101"/>
      <c r="M246" s="101"/>
      <c r="N246" s="71"/>
      <c r="O246" s="71"/>
      <c r="P246" s="71"/>
      <c r="Q246" s="71"/>
      <c r="R246" s="101"/>
      <c r="S246" s="101"/>
      <c r="T246" s="71"/>
      <c r="U246" s="101"/>
      <c r="V246" s="101"/>
      <c r="W246" s="102"/>
      <c r="X246" s="102"/>
      <c r="Y246" s="102"/>
      <c r="Z246" s="102"/>
      <c r="AA246" s="102"/>
      <c r="AB246" s="102"/>
      <c r="AC246" s="71"/>
      <c r="AD246" s="101"/>
      <c r="AE246" s="101"/>
      <c r="AF246" s="102"/>
      <c r="AG246" s="102"/>
      <c r="AH246" s="102"/>
      <c r="AI246" s="101"/>
      <c r="AJ246" s="88"/>
      <c r="AK246" s="88"/>
      <c r="AM246" s="71"/>
      <c r="AN246" s="101"/>
      <c r="AO246" s="101"/>
      <c r="AP246" s="101"/>
      <c r="AQ246" s="101"/>
      <c r="AR246" s="103"/>
      <c r="AS246" s="103"/>
      <c r="AT246" s="103"/>
      <c r="AU246" s="103"/>
      <c r="AV246" s="103"/>
      <c r="BA246" s="103"/>
      <c r="BF246" s="103"/>
      <c r="BG246" s="103"/>
      <c r="BH246" s="103"/>
      <c r="CK246" s="103"/>
      <c r="CL246" s="103"/>
      <c r="CM246" s="103"/>
      <c r="CN246" s="103"/>
      <c r="CO246" s="103"/>
      <c r="CP246" s="103"/>
      <c r="CQ246" s="103"/>
      <c r="CR246" s="103"/>
      <c r="CS246" s="103"/>
      <c r="CT246" s="103"/>
      <c r="DH246" s="103"/>
      <c r="DI246" s="103"/>
      <c r="DJ246" s="103"/>
      <c r="DK246" s="103"/>
      <c r="DL246" s="103"/>
      <c r="DM246" s="103"/>
      <c r="DN246" s="103"/>
      <c r="DO246" s="103"/>
      <c r="DP246" s="103"/>
      <c r="DQ246" s="103"/>
    </row>
    <row r="247" spans="1:121" s="90" customFormat="1" x14ac:dyDescent="0.25">
      <c r="A247" s="71"/>
      <c r="B247" s="71"/>
      <c r="C247" s="71"/>
      <c r="D247" s="71"/>
      <c r="E247" s="71"/>
      <c r="F247" s="101"/>
      <c r="G247" s="101"/>
      <c r="H247" s="71"/>
      <c r="I247" s="71"/>
      <c r="J247" s="71"/>
      <c r="K247" s="101"/>
      <c r="L247" s="101"/>
      <c r="M247" s="101"/>
      <c r="N247" s="71"/>
      <c r="O247" s="71"/>
      <c r="P247" s="71"/>
      <c r="Q247" s="71"/>
      <c r="R247" s="101"/>
      <c r="S247" s="101"/>
      <c r="T247" s="71"/>
      <c r="U247" s="101"/>
      <c r="V247" s="101"/>
      <c r="W247" s="102"/>
      <c r="X247" s="102"/>
      <c r="Y247" s="102"/>
      <c r="Z247" s="102"/>
      <c r="AA247" s="102"/>
      <c r="AB247" s="102"/>
      <c r="AC247" s="71"/>
      <c r="AD247" s="101"/>
      <c r="AE247" s="101"/>
      <c r="AF247" s="102"/>
      <c r="AG247" s="102"/>
      <c r="AH247" s="102"/>
      <c r="AI247" s="101"/>
      <c r="AJ247" s="88"/>
      <c r="AK247" s="88"/>
      <c r="AM247" s="71"/>
      <c r="AN247" s="101"/>
      <c r="AO247" s="101"/>
      <c r="AP247" s="101"/>
      <c r="AQ247" s="101"/>
      <c r="AR247" s="103"/>
      <c r="AS247" s="103"/>
      <c r="AT247" s="103"/>
      <c r="AU247" s="103"/>
      <c r="AV247" s="103"/>
      <c r="BA247" s="103"/>
      <c r="BF247" s="103"/>
      <c r="BG247" s="103"/>
      <c r="BH247" s="103"/>
      <c r="CK247" s="103"/>
      <c r="CL247" s="103"/>
      <c r="CM247" s="103"/>
      <c r="CN247" s="103"/>
      <c r="CO247" s="103"/>
      <c r="CP247" s="103"/>
      <c r="CQ247" s="103"/>
      <c r="CR247" s="103"/>
      <c r="CS247" s="103"/>
      <c r="CT247" s="103"/>
      <c r="DH247" s="103"/>
      <c r="DI247" s="103"/>
      <c r="DJ247" s="103"/>
      <c r="DK247" s="103"/>
      <c r="DL247" s="103"/>
      <c r="DM247" s="103"/>
      <c r="DN247" s="103"/>
      <c r="DO247" s="103"/>
      <c r="DP247" s="103"/>
      <c r="DQ247" s="103"/>
    </row>
    <row r="248" spans="1:121" s="90" customFormat="1" x14ac:dyDescent="0.25">
      <c r="A248" s="71"/>
      <c r="B248" s="71"/>
      <c r="C248" s="71"/>
      <c r="D248" s="71"/>
      <c r="E248" s="71"/>
      <c r="F248" s="101"/>
      <c r="G248" s="101"/>
      <c r="H248" s="71"/>
      <c r="I248" s="71"/>
      <c r="J248" s="71"/>
      <c r="K248" s="101"/>
      <c r="L248" s="101"/>
      <c r="M248" s="101"/>
      <c r="N248" s="71"/>
      <c r="O248" s="71"/>
      <c r="P248" s="71"/>
      <c r="Q248" s="71"/>
      <c r="R248" s="101"/>
      <c r="S248" s="101"/>
      <c r="T248" s="71"/>
      <c r="U248" s="101"/>
      <c r="V248" s="101"/>
      <c r="W248" s="102"/>
      <c r="X248" s="102"/>
      <c r="Y248" s="102"/>
      <c r="Z248" s="102"/>
      <c r="AA248" s="102"/>
      <c r="AB248" s="102"/>
      <c r="AC248" s="71"/>
      <c r="AD248" s="101"/>
      <c r="AE248" s="101"/>
      <c r="AF248" s="102"/>
      <c r="AG248" s="102"/>
      <c r="AH248" s="102"/>
      <c r="AI248" s="101"/>
      <c r="AJ248" s="88"/>
      <c r="AK248" s="88"/>
      <c r="AM248" s="71"/>
      <c r="AN248" s="101"/>
      <c r="AO248" s="101"/>
      <c r="AP248" s="101"/>
      <c r="AQ248" s="101"/>
      <c r="AR248" s="103"/>
      <c r="AS248" s="103"/>
      <c r="AT248" s="103"/>
      <c r="AU248" s="103"/>
      <c r="AV248" s="103"/>
      <c r="BA248" s="103"/>
      <c r="BF248" s="103"/>
      <c r="BG248" s="103"/>
      <c r="BH248" s="103"/>
      <c r="CK248" s="103"/>
      <c r="CL248" s="103"/>
      <c r="CM248" s="103"/>
      <c r="CN248" s="103"/>
      <c r="CO248" s="103"/>
      <c r="CP248" s="103"/>
      <c r="CQ248" s="103"/>
      <c r="CR248" s="103"/>
      <c r="CS248" s="103"/>
      <c r="CT248" s="103"/>
      <c r="DH248" s="103"/>
      <c r="DI248" s="103"/>
      <c r="DJ248" s="103"/>
      <c r="DK248" s="103"/>
      <c r="DL248" s="103"/>
      <c r="DM248" s="103"/>
      <c r="DN248" s="103"/>
      <c r="DO248" s="103"/>
      <c r="DP248" s="103"/>
      <c r="DQ248" s="103"/>
    </row>
    <row r="249" spans="1:121" s="90" customFormat="1" x14ac:dyDescent="0.25">
      <c r="A249" s="71"/>
      <c r="B249" s="71"/>
      <c r="C249" s="71"/>
      <c r="D249" s="71"/>
      <c r="E249" s="71"/>
      <c r="F249" s="101"/>
      <c r="G249" s="101"/>
      <c r="H249" s="71"/>
      <c r="I249" s="71"/>
      <c r="J249" s="71"/>
      <c r="K249" s="101"/>
      <c r="L249" s="101"/>
      <c r="M249" s="101"/>
      <c r="N249" s="71"/>
      <c r="O249" s="71"/>
      <c r="P249" s="71"/>
      <c r="Q249" s="71"/>
      <c r="R249" s="101"/>
      <c r="S249" s="101"/>
      <c r="T249" s="71"/>
      <c r="U249" s="101"/>
      <c r="V249" s="101"/>
      <c r="W249" s="102"/>
      <c r="X249" s="102"/>
      <c r="Y249" s="102"/>
      <c r="Z249" s="102"/>
      <c r="AA249" s="102"/>
      <c r="AB249" s="102"/>
      <c r="AC249" s="71"/>
      <c r="AD249" s="101"/>
      <c r="AE249" s="101"/>
      <c r="AF249" s="102"/>
      <c r="AG249" s="102"/>
      <c r="AH249" s="102"/>
      <c r="AI249" s="101"/>
      <c r="AJ249" s="88"/>
      <c r="AK249" s="88"/>
      <c r="AM249" s="71"/>
      <c r="AN249" s="101"/>
      <c r="AO249" s="101"/>
      <c r="AP249" s="101"/>
      <c r="AQ249" s="101"/>
      <c r="AR249" s="103"/>
      <c r="AS249" s="103"/>
      <c r="AT249" s="103"/>
      <c r="AU249" s="103"/>
      <c r="AV249" s="103"/>
      <c r="BA249" s="103"/>
      <c r="BF249" s="103"/>
      <c r="BG249" s="103"/>
      <c r="BH249" s="103"/>
      <c r="CK249" s="103"/>
      <c r="CL249" s="103"/>
      <c r="CM249" s="103"/>
      <c r="CN249" s="103"/>
      <c r="CO249" s="103"/>
      <c r="CP249" s="103"/>
      <c r="CQ249" s="103"/>
      <c r="CR249" s="103"/>
      <c r="CS249" s="103"/>
      <c r="CT249" s="103"/>
      <c r="DH249" s="103"/>
      <c r="DI249" s="103"/>
      <c r="DJ249" s="103"/>
      <c r="DK249" s="103"/>
      <c r="DL249" s="103"/>
      <c r="DM249" s="103"/>
      <c r="DN249" s="103"/>
      <c r="DO249" s="103"/>
      <c r="DP249" s="103"/>
      <c r="DQ249" s="103"/>
    </row>
    <row r="250" spans="1:121" s="90" customFormat="1" x14ac:dyDescent="0.25">
      <c r="A250" s="71"/>
      <c r="B250" s="71"/>
      <c r="C250" s="71"/>
      <c r="D250" s="71"/>
      <c r="E250" s="71"/>
      <c r="F250" s="101"/>
      <c r="G250" s="101"/>
      <c r="H250" s="71"/>
      <c r="I250" s="71"/>
      <c r="J250" s="71"/>
      <c r="K250" s="101"/>
      <c r="L250" s="101"/>
      <c r="M250" s="101"/>
      <c r="N250" s="71"/>
      <c r="O250" s="71"/>
      <c r="P250" s="71"/>
      <c r="Q250" s="71"/>
      <c r="R250" s="101"/>
      <c r="S250" s="101"/>
      <c r="T250" s="71"/>
      <c r="U250" s="101"/>
      <c r="V250" s="101"/>
      <c r="W250" s="102"/>
      <c r="X250" s="102"/>
      <c r="Y250" s="102"/>
      <c r="Z250" s="102"/>
      <c r="AA250" s="102"/>
      <c r="AB250" s="102"/>
      <c r="AC250" s="71"/>
      <c r="AD250" s="101"/>
      <c r="AE250" s="101"/>
      <c r="AF250" s="102"/>
      <c r="AG250" s="102"/>
      <c r="AH250" s="102"/>
      <c r="AI250" s="101"/>
      <c r="AJ250" s="88"/>
      <c r="AK250" s="88"/>
      <c r="AM250" s="71"/>
      <c r="AN250" s="101"/>
      <c r="AO250" s="101"/>
      <c r="AP250" s="101"/>
      <c r="AQ250" s="101"/>
      <c r="AR250" s="103"/>
      <c r="AS250" s="103"/>
      <c r="AT250" s="103"/>
      <c r="AU250" s="103"/>
      <c r="AV250" s="103"/>
      <c r="BA250" s="103"/>
      <c r="BF250" s="103"/>
      <c r="BG250" s="103"/>
      <c r="BH250" s="103"/>
      <c r="CK250" s="103"/>
      <c r="CL250" s="103"/>
      <c r="CM250" s="103"/>
      <c r="CN250" s="103"/>
      <c r="CO250" s="103"/>
      <c r="CP250" s="103"/>
      <c r="CQ250" s="103"/>
      <c r="CR250" s="103"/>
      <c r="CS250" s="103"/>
      <c r="CT250" s="103"/>
      <c r="DH250" s="103"/>
      <c r="DI250" s="103"/>
      <c r="DJ250" s="103"/>
      <c r="DK250" s="103"/>
      <c r="DL250" s="103"/>
      <c r="DM250" s="103"/>
      <c r="DN250" s="103"/>
      <c r="DO250" s="103"/>
      <c r="DP250" s="103"/>
      <c r="DQ250" s="103"/>
    </row>
    <row r="251" spans="1:121" s="90" customFormat="1" x14ac:dyDescent="0.25">
      <c r="A251" s="71"/>
      <c r="B251" s="71"/>
      <c r="C251" s="71"/>
      <c r="D251" s="71"/>
      <c r="E251" s="71"/>
      <c r="F251" s="101"/>
      <c r="G251" s="101"/>
      <c r="H251" s="71"/>
      <c r="I251" s="71"/>
      <c r="J251" s="71"/>
      <c r="K251" s="101"/>
      <c r="L251" s="101"/>
      <c r="M251" s="101"/>
      <c r="N251" s="71"/>
      <c r="O251" s="71"/>
      <c r="P251" s="71"/>
      <c r="Q251" s="71"/>
      <c r="R251" s="101"/>
      <c r="S251" s="101"/>
      <c r="T251" s="71"/>
      <c r="U251" s="101"/>
      <c r="V251" s="101"/>
      <c r="W251" s="102"/>
      <c r="X251" s="102"/>
      <c r="Y251" s="102"/>
      <c r="Z251" s="102"/>
      <c r="AA251" s="102"/>
      <c r="AB251" s="102"/>
      <c r="AC251" s="71"/>
      <c r="AD251" s="101"/>
      <c r="AE251" s="101"/>
      <c r="AF251" s="102"/>
      <c r="AG251" s="102"/>
      <c r="AH251" s="102"/>
      <c r="AI251" s="101"/>
      <c r="AJ251" s="88"/>
      <c r="AK251" s="88"/>
      <c r="AM251" s="71"/>
      <c r="AN251" s="101"/>
      <c r="AO251" s="101"/>
      <c r="AP251" s="101"/>
      <c r="AQ251" s="101"/>
      <c r="AR251" s="103"/>
      <c r="AS251" s="103"/>
      <c r="AT251" s="103"/>
      <c r="AU251" s="103"/>
      <c r="AV251" s="103"/>
      <c r="BA251" s="103"/>
      <c r="BF251" s="103"/>
      <c r="BG251" s="103"/>
      <c r="BH251" s="103"/>
      <c r="CK251" s="103"/>
      <c r="CL251" s="103"/>
      <c r="CM251" s="103"/>
      <c r="CN251" s="103"/>
      <c r="CO251" s="103"/>
      <c r="CP251" s="103"/>
      <c r="CQ251" s="103"/>
      <c r="CR251" s="103"/>
      <c r="CS251" s="103"/>
      <c r="CT251" s="103"/>
      <c r="DH251" s="103"/>
      <c r="DI251" s="103"/>
      <c r="DJ251" s="103"/>
      <c r="DK251" s="103"/>
      <c r="DL251" s="103"/>
      <c r="DM251" s="103"/>
      <c r="DN251" s="103"/>
      <c r="DO251" s="103"/>
      <c r="DP251" s="103"/>
      <c r="DQ251" s="103"/>
    </row>
    <row r="252" spans="1:121" s="90" customFormat="1" x14ac:dyDescent="0.25">
      <c r="A252" s="71"/>
      <c r="B252" s="71"/>
      <c r="C252" s="71"/>
      <c r="D252" s="71"/>
      <c r="E252" s="71"/>
      <c r="F252" s="101"/>
      <c r="G252" s="101"/>
      <c r="H252" s="71"/>
      <c r="I252" s="71"/>
      <c r="J252" s="71"/>
      <c r="K252" s="101"/>
      <c r="L252" s="101"/>
      <c r="M252" s="101"/>
      <c r="N252" s="71"/>
      <c r="O252" s="71"/>
      <c r="P252" s="71"/>
      <c r="Q252" s="71"/>
      <c r="R252" s="101"/>
      <c r="S252" s="101"/>
      <c r="T252" s="71"/>
      <c r="U252" s="101"/>
      <c r="V252" s="101"/>
      <c r="W252" s="102"/>
      <c r="X252" s="102"/>
      <c r="Y252" s="102"/>
      <c r="Z252" s="102"/>
      <c r="AA252" s="102"/>
      <c r="AB252" s="102"/>
      <c r="AC252" s="71"/>
      <c r="AD252" s="101"/>
      <c r="AE252" s="101"/>
      <c r="AF252" s="102"/>
      <c r="AG252" s="102"/>
      <c r="AH252" s="102"/>
      <c r="AI252" s="101"/>
      <c r="AJ252" s="88"/>
      <c r="AK252" s="88"/>
      <c r="AM252" s="71"/>
      <c r="AN252" s="101"/>
      <c r="AO252" s="101"/>
      <c r="AP252" s="101"/>
      <c r="AQ252" s="101"/>
      <c r="AR252" s="103"/>
      <c r="AS252" s="103"/>
      <c r="AT252" s="103"/>
      <c r="AU252" s="103"/>
      <c r="AV252" s="103"/>
      <c r="BA252" s="103"/>
      <c r="BF252" s="103"/>
      <c r="BG252" s="103"/>
      <c r="BH252" s="103"/>
      <c r="CK252" s="103"/>
      <c r="CL252" s="103"/>
      <c r="CM252" s="103"/>
      <c r="CN252" s="103"/>
      <c r="CO252" s="103"/>
      <c r="CP252" s="103"/>
      <c r="CQ252" s="103"/>
      <c r="CR252" s="103"/>
      <c r="CS252" s="103"/>
      <c r="CT252" s="103"/>
      <c r="DH252" s="103"/>
      <c r="DI252" s="103"/>
      <c r="DJ252" s="103"/>
      <c r="DK252" s="103"/>
      <c r="DL252" s="103"/>
      <c r="DM252" s="103"/>
      <c r="DN252" s="103"/>
      <c r="DO252" s="103"/>
      <c r="DP252" s="103"/>
      <c r="DQ252" s="103"/>
    </row>
    <row r="253" spans="1:121" s="90" customFormat="1" x14ac:dyDescent="0.25">
      <c r="A253" s="71"/>
      <c r="B253" s="71"/>
      <c r="C253" s="71"/>
      <c r="D253" s="71"/>
      <c r="E253" s="71"/>
      <c r="F253" s="101"/>
      <c r="G253" s="101"/>
      <c r="H253" s="71"/>
      <c r="I253" s="71"/>
      <c r="J253" s="71"/>
      <c r="K253" s="101"/>
      <c r="L253" s="101"/>
      <c r="M253" s="101"/>
      <c r="N253" s="71"/>
      <c r="O253" s="71"/>
      <c r="P253" s="71"/>
      <c r="Q253" s="71"/>
      <c r="R253" s="101"/>
      <c r="S253" s="101"/>
      <c r="T253" s="71"/>
      <c r="U253" s="101"/>
      <c r="V253" s="101"/>
      <c r="W253" s="102"/>
      <c r="X253" s="102"/>
      <c r="Y253" s="102"/>
      <c r="Z253" s="102"/>
      <c r="AA253" s="102"/>
      <c r="AB253" s="102"/>
      <c r="AC253" s="71"/>
      <c r="AD253" s="101"/>
      <c r="AE253" s="101"/>
      <c r="AF253" s="102"/>
      <c r="AG253" s="102"/>
      <c r="AH253" s="102"/>
      <c r="AI253" s="101"/>
      <c r="AJ253" s="88"/>
      <c r="AK253" s="88"/>
      <c r="AM253" s="71"/>
      <c r="AN253" s="101"/>
      <c r="AO253" s="101"/>
      <c r="AP253" s="101"/>
      <c r="AQ253" s="101"/>
      <c r="AR253" s="103"/>
      <c r="AS253" s="103"/>
      <c r="AT253" s="103"/>
      <c r="AU253" s="103"/>
      <c r="AV253" s="103"/>
      <c r="BA253" s="103"/>
      <c r="BF253" s="103"/>
      <c r="BG253" s="103"/>
      <c r="BH253" s="103"/>
      <c r="CK253" s="103"/>
      <c r="CL253" s="103"/>
      <c r="CM253" s="103"/>
      <c r="CN253" s="103"/>
      <c r="CO253" s="103"/>
      <c r="CP253" s="103"/>
      <c r="CQ253" s="103"/>
      <c r="CR253" s="103"/>
      <c r="CS253" s="103"/>
      <c r="CT253" s="103"/>
      <c r="DH253" s="103"/>
      <c r="DI253" s="103"/>
      <c r="DJ253" s="103"/>
      <c r="DK253" s="103"/>
      <c r="DL253" s="103"/>
      <c r="DM253" s="103"/>
      <c r="DN253" s="103"/>
      <c r="DO253" s="103"/>
      <c r="DP253" s="103"/>
      <c r="DQ253" s="103"/>
    </row>
    <row r="254" spans="1:121" s="90" customFormat="1" x14ac:dyDescent="0.25">
      <c r="A254" s="71"/>
      <c r="B254" s="71"/>
      <c r="C254" s="71"/>
      <c r="D254" s="71"/>
      <c r="E254" s="71"/>
      <c r="F254" s="101"/>
      <c r="G254" s="101"/>
      <c r="H254" s="71"/>
      <c r="I254" s="71"/>
      <c r="J254" s="71"/>
      <c r="K254" s="101"/>
      <c r="L254" s="101"/>
      <c r="M254" s="101"/>
      <c r="N254" s="71"/>
      <c r="O254" s="71"/>
      <c r="P254" s="71"/>
      <c r="Q254" s="71"/>
      <c r="R254" s="101"/>
      <c r="S254" s="101"/>
      <c r="T254" s="71"/>
      <c r="U254" s="101"/>
      <c r="V254" s="101"/>
      <c r="W254" s="102"/>
      <c r="X254" s="102"/>
      <c r="Y254" s="102"/>
      <c r="Z254" s="102"/>
      <c r="AA254" s="102"/>
      <c r="AB254" s="102"/>
      <c r="AC254" s="71"/>
      <c r="AD254" s="101"/>
      <c r="AE254" s="101"/>
      <c r="AF254" s="102"/>
      <c r="AG254" s="102"/>
      <c r="AH254" s="102"/>
      <c r="AI254" s="101"/>
      <c r="AJ254" s="88"/>
      <c r="AK254" s="88"/>
      <c r="AM254" s="71"/>
      <c r="AN254" s="101"/>
      <c r="AO254" s="101"/>
      <c r="AP254" s="101"/>
      <c r="AQ254" s="101"/>
      <c r="AR254" s="103"/>
      <c r="AS254" s="103"/>
      <c r="AT254" s="103"/>
      <c r="AU254" s="103"/>
      <c r="AV254" s="103"/>
      <c r="BA254" s="103"/>
      <c r="BF254" s="103"/>
      <c r="BG254" s="103"/>
      <c r="BH254" s="103"/>
      <c r="CK254" s="103"/>
      <c r="CL254" s="103"/>
      <c r="CM254" s="103"/>
      <c r="CN254" s="103"/>
      <c r="CO254" s="103"/>
      <c r="CP254" s="103"/>
      <c r="CQ254" s="103"/>
      <c r="CR254" s="103"/>
      <c r="CS254" s="103"/>
      <c r="CT254" s="103"/>
      <c r="DH254" s="103"/>
      <c r="DI254" s="103"/>
      <c r="DJ254" s="103"/>
      <c r="DK254" s="103"/>
      <c r="DL254" s="103"/>
      <c r="DM254" s="103"/>
      <c r="DN254" s="103"/>
      <c r="DO254" s="103"/>
      <c r="DP254" s="103"/>
      <c r="DQ254" s="103"/>
    </row>
    <row r="255" spans="1:121" s="90" customFormat="1" x14ac:dyDescent="0.25">
      <c r="A255" s="71"/>
      <c r="B255" s="71"/>
      <c r="C255" s="71"/>
      <c r="D255" s="71"/>
      <c r="E255" s="71"/>
      <c r="F255" s="101"/>
      <c r="G255" s="101"/>
      <c r="H255" s="71"/>
      <c r="I255" s="71"/>
      <c r="J255" s="71"/>
      <c r="K255" s="101"/>
      <c r="L255" s="101"/>
      <c r="M255" s="101"/>
      <c r="N255" s="71"/>
      <c r="O255" s="71"/>
      <c r="P255" s="71"/>
      <c r="Q255" s="71"/>
      <c r="R255" s="101"/>
      <c r="S255" s="101"/>
      <c r="T255" s="71"/>
      <c r="U255" s="101"/>
      <c r="V255" s="101"/>
      <c r="W255" s="102"/>
      <c r="X255" s="102"/>
      <c r="Y255" s="102"/>
      <c r="Z255" s="102"/>
      <c r="AA255" s="102"/>
      <c r="AB255" s="102"/>
      <c r="AC255" s="71"/>
      <c r="AD255" s="101"/>
      <c r="AE255" s="101"/>
      <c r="AF255" s="102"/>
      <c r="AG255" s="102"/>
      <c r="AH255" s="102"/>
      <c r="AI255" s="101"/>
      <c r="AJ255" s="88"/>
      <c r="AK255" s="88"/>
      <c r="AM255" s="71"/>
      <c r="AN255" s="101"/>
      <c r="AO255" s="101"/>
      <c r="AP255" s="101"/>
      <c r="AQ255" s="101"/>
      <c r="AR255" s="103"/>
      <c r="AS255" s="103"/>
      <c r="AT255" s="103"/>
      <c r="AU255" s="103"/>
      <c r="AV255" s="103"/>
      <c r="BA255" s="103"/>
      <c r="BF255" s="103"/>
      <c r="BG255" s="103"/>
      <c r="BH255" s="103"/>
      <c r="CK255" s="103"/>
      <c r="CL255" s="103"/>
      <c r="CM255" s="103"/>
      <c r="CN255" s="103"/>
      <c r="CO255" s="103"/>
      <c r="CP255" s="103"/>
      <c r="CQ255" s="103"/>
      <c r="CR255" s="103"/>
      <c r="CS255" s="103"/>
      <c r="CT255" s="103"/>
      <c r="DH255" s="103"/>
      <c r="DI255" s="103"/>
      <c r="DJ255" s="103"/>
      <c r="DK255" s="103"/>
      <c r="DL255" s="103"/>
      <c r="DM255" s="103"/>
      <c r="DN255" s="103"/>
      <c r="DO255" s="103"/>
      <c r="DP255" s="103"/>
      <c r="DQ255" s="103"/>
    </row>
    <row r="256" spans="1:121" s="90" customFormat="1" x14ac:dyDescent="0.25">
      <c r="A256" s="71"/>
      <c r="B256" s="71"/>
      <c r="C256" s="71"/>
      <c r="D256" s="71"/>
      <c r="E256" s="71"/>
      <c r="F256" s="101"/>
      <c r="G256" s="101"/>
      <c r="H256" s="71"/>
      <c r="I256" s="71"/>
      <c r="J256" s="71"/>
      <c r="K256" s="101"/>
      <c r="L256" s="101"/>
      <c r="M256" s="101"/>
      <c r="N256" s="71"/>
      <c r="O256" s="71"/>
      <c r="P256" s="71"/>
      <c r="Q256" s="71"/>
      <c r="R256" s="101"/>
      <c r="S256" s="101"/>
      <c r="T256" s="71"/>
      <c r="U256" s="101"/>
      <c r="V256" s="101"/>
      <c r="W256" s="102"/>
      <c r="X256" s="102"/>
      <c r="Y256" s="102"/>
      <c r="Z256" s="102"/>
      <c r="AA256" s="102"/>
      <c r="AB256" s="102"/>
      <c r="AC256" s="71"/>
      <c r="AD256" s="101"/>
      <c r="AE256" s="101"/>
      <c r="AF256" s="102"/>
      <c r="AG256" s="102"/>
      <c r="AH256" s="102"/>
      <c r="AI256" s="101"/>
      <c r="AJ256" s="88"/>
      <c r="AK256" s="88"/>
      <c r="AM256" s="71"/>
      <c r="AN256" s="101"/>
      <c r="AO256" s="101"/>
      <c r="AP256" s="101"/>
      <c r="AQ256" s="101"/>
      <c r="AR256" s="103"/>
      <c r="AS256" s="103"/>
      <c r="AT256" s="103"/>
      <c r="AU256" s="103"/>
      <c r="AV256" s="103"/>
      <c r="BA256" s="103"/>
      <c r="BF256" s="103"/>
      <c r="BG256" s="103"/>
      <c r="BH256" s="103"/>
      <c r="CK256" s="103"/>
      <c r="CL256" s="103"/>
      <c r="CM256" s="103"/>
      <c r="CN256" s="103"/>
      <c r="CO256" s="103"/>
      <c r="CP256" s="103"/>
      <c r="CQ256" s="103"/>
      <c r="CR256" s="103"/>
      <c r="CS256" s="103"/>
      <c r="CT256" s="103"/>
      <c r="DH256" s="103"/>
      <c r="DI256" s="103"/>
      <c r="DJ256" s="103"/>
      <c r="DK256" s="103"/>
      <c r="DL256" s="103"/>
      <c r="DM256" s="103"/>
      <c r="DN256" s="103"/>
      <c r="DO256" s="103"/>
      <c r="DP256" s="103"/>
      <c r="DQ256" s="103"/>
    </row>
    <row r="257" spans="1:121" s="90" customFormat="1" x14ac:dyDescent="0.25">
      <c r="A257" s="71"/>
      <c r="B257" s="71"/>
      <c r="C257" s="71"/>
      <c r="D257" s="71"/>
      <c r="E257" s="71"/>
      <c r="F257" s="101"/>
      <c r="G257" s="101"/>
      <c r="H257" s="71"/>
      <c r="I257" s="71"/>
      <c r="J257" s="71"/>
      <c r="K257" s="101"/>
      <c r="L257" s="101"/>
      <c r="M257" s="101"/>
      <c r="N257" s="71"/>
      <c r="O257" s="71"/>
      <c r="P257" s="71"/>
      <c r="Q257" s="71"/>
      <c r="R257" s="101"/>
      <c r="S257" s="101"/>
      <c r="T257" s="71"/>
      <c r="U257" s="101"/>
      <c r="V257" s="101"/>
      <c r="W257" s="102"/>
      <c r="X257" s="102"/>
      <c r="Y257" s="102"/>
      <c r="Z257" s="102"/>
      <c r="AA257" s="102"/>
      <c r="AB257" s="102"/>
      <c r="AC257" s="71"/>
      <c r="AD257" s="101"/>
      <c r="AE257" s="101"/>
      <c r="AF257" s="102"/>
      <c r="AG257" s="102"/>
      <c r="AH257" s="102"/>
      <c r="AI257" s="101"/>
      <c r="AJ257" s="88"/>
      <c r="AK257" s="88"/>
      <c r="AM257" s="71"/>
      <c r="AN257" s="101"/>
      <c r="AO257" s="101"/>
      <c r="AP257" s="101"/>
      <c r="AQ257" s="101"/>
      <c r="AR257" s="103"/>
      <c r="AS257" s="103"/>
      <c r="AT257" s="103"/>
      <c r="AU257" s="103"/>
      <c r="AV257" s="103"/>
      <c r="BA257" s="103"/>
      <c r="BF257" s="103"/>
      <c r="BG257" s="103"/>
      <c r="BH257" s="103"/>
      <c r="CK257" s="103"/>
      <c r="CL257" s="103"/>
      <c r="CM257" s="103"/>
      <c r="CN257" s="103"/>
      <c r="CO257" s="103"/>
      <c r="CP257" s="103"/>
      <c r="CQ257" s="103"/>
      <c r="CR257" s="103"/>
      <c r="CS257" s="103"/>
      <c r="CT257" s="103"/>
      <c r="DH257" s="103"/>
      <c r="DI257" s="103"/>
      <c r="DJ257" s="103"/>
      <c r="DK257" s="103"/>
      <c r="DL257" s="103"/>
      <c r="DM257" s="103"/>
      <c r="DN257" s="103"/>
      <c r="DO257" s="103"/>
      <c r="DP257" s="103"/>
      <c r="DQ257" s="103"/>
    </row>
    <row r="258" spans="1:121" s="90" customFormat="1" x14ac:dyDescent="0.25">
      <c r="A258" s="71"/>
      <c r="B258" s="71"/>
      <c r="C258" s="71"/>
      <c r="D258" s="71"/>
      <c r="E258" s="71"/>
      <c r="F258" s="101"/>
      <c r="G258" s="101"/>
      <c r="H258" s="71"/>
      <c r="I258" s="71"/>
      <c r="J258" s="71"/>
      <c r="K258" s="101"/>
      <c r="L258" s="101"/>
      <c r="M258" s="101"/>
      <c r="N258" s="71"/>
      <c r="O258" s="71"/>
      <c r="P258" s="71"/>
      <c r="Q258" s="71"/>
      <c r="R258" s="101"/>
      <c r="S258" s="101"/>
      <c r="T258" s="71"/>
      <c r="U258" s="101"/>
      <c r="V258" s="101"/>
      <c r="W258" s="102"/>
      <c r="X258" s="102"/>
      <c r="Y258" s="102"/>
      <c r="Z258" s="102"/>
      <c r="AA258" s="102"/>
      <c r="AB258" s="102"/>
      <c r="AC258" s="71"/>
      <c r="AD258" s="101"/>
      <c r="AE258" s="101"/>
      <c r="AF258" s="102"/>
      <c r="AG258" s="102"/>
      <c r="AH258" s="102"/>
      <c r="AI258" s="101"/>
      <c r="AJ258" s="88"/>
      <c r="AK258" s="88"/>
      <c r="AM258" s="71"/>
      <c r="AN258" s="101"/>
      <c r="AO258" s="101"/>
      <c r="AP258" s="101"/>
      <c r="AQ258" s="101"/>
      <c r="AR258" s="103"/>
      <c r="AS258" s="103"/>
      <c r="AT258" s="103"/>
      <c r="AU258" s="103"/>
      <c r="AV258" s="103"/>
      <c r="BA258" s="103"/>
      <c r="BF258" s="103"/>
      <c r="BG258" s="103"/>
      <c r="BH258" s="103"/>
      <c r="CK258" s="103"/>
      <c r="CL258" s="103"/>
      <c r="CM258" s="103"/>
      <c r="CN258" s="103"/>
      <c r="CO258" s="103"/>
      <c r="CP258" s="103"/>
      <c r="CQ258" s="103"/>
      <c r="CR258" s="103"/>
      <c r="CS258" s="103"/>
      <c r="CT258" s="103"/>
      <c r="DH258" s="103"/>
      <c r="DI258" s="103"/>
      <c r="DJ258" s="103"/>
      <c r="DK258" s="103"/>
      <c r="DL258" s="103"/>
      <c r="DM258" s="103"/>
      <c r="DN258" s="103"/>
      <c r="DO258" s="103"/>
      <c r="DP258" s="103"/>
      <c r="DQ258" s="103"/>
    </row>
    <row r="259" spans="1:121" s="90" customFormat="1" x14ac:dyDescent="0.25">
      <c r="A259" s="71"/>
      <c r="B259" s="71"/>
      <c r="C259" s="71"/>
      <c r="D259" s="71"/>
      <c r="E259" s="71"/>
      <c r="F259" s="101"/>
      <c r="G259" s="101"/>
      <c r="H259" s="71"/>
      <c r="I259" s="71"/>
      <c r="J259" s="71"/>
      <c r="K259" s="101"/>
      <c r="L259" s="101"/>
      <c r="M259" s="101"/>
      <c r="N259" s="71"/>
      <c r="O259" s="71"/>
      <c r="P259" s="71"/>
      <c r="Q259" s="71"/>
      <c r="R259" s="101"/>
      <c r="S259" s="101"/>
      <c r="T259" s="71"/>
      <c r="U259" s="101"/>
      <c r="V259" s="101"/>
      <c r="W259" s="102"/>
      <c r="X259" s="102"/>
      <c r="Y259" s="102"/>
      <c r="Z259" s="102"/>
      <c r="AA259" s="102"/>
      <c r="AB259" s="102"/>
      <c r="AC259" s="71"/>
      <c r="AD259" s="101"/>
      <c r="AE259" s="101"/>
      <c r="AF259" s="102"/>
      <c r="AG259" s="102"/>
      <c r="AH259" s="102"/>
      <c r="AI259" s="101"/>
      <c r="AJ259" s="88"/>
      <c r="AK259" s="88"/>
      <c r="AM259" s="71"/>
      <c r="AN259" s="101"/>
      <c r="AO259" s="101"/>
      <c r="AP259" s="101"/>
      <c r="AQ259" s="101"/>
      <c r="AR259" s="103"/>
      <c r="AS259" s="103"/>
      <c r="AT259" s="103"/>
      <c r="AU259" s="103"/>
      <c r="AV259" s="103"/>
      <c r="BA259" s="103"/>
      <c r="BF259" s="103"/>
      <c r="BG259" s="103"/>
      <c r="BH259" s="103"/>
      <c r="CK259" s="103"/>
      <c r="CL259" s="103"/>
      <c r="CM259" s="103"/>
      <c r="CN259" s="103"/>
      <c r="CO259" s="103"/>
      <c r="CP259" s="103"/>
      <c r="CQ259" s="103"/>
      <c r="CR259" s="103"/>
      <c r="CS259" s="103"/>
      <c r="CT259" s="103"/>
      <c r="DH259" s="103"/>
      <c r="DI259" s="103"/>
      <c r="DJ259" s="103"/>
      <c r="DK259" s="103"/>
      <c r="DL259" s="103"/>
      <c r="DM259" s="103"/>
      <c r="DN259" s="103"/>
      <c r="DO259" s="103"/>
      <c r="DP259" s="103"/>
      <c r="DQ259" s="103"/>
    </row>
    <row r="260" spans="1:121" s="90" customFormat="1" x14ac:dyDescent="0.25">
      <c r="A260" s="71"/>
      <c r="B260" s="71"/>
      <c r="C260" s="71"/>
      <c r="D260" s="71"/>
      <c r="E260" s="71"/>
      <c r="F260" s="101"/>
      <c r="G260" s="101"/>
      <c r="H260" s="71"/>
      <c r="I260" s="71"/>
      <c r="J260" s="71"/>
      <c r="K260" s="101"/>
      <c r="L260" s="101"/>
      <c r="M260" s="101"/>
      <c r="N260" s="71"/>
      <c r="O260" s="71"/>
      <c r="P260" s="71"/>
      <c r="Q260" s="71"/>
      <c r="R260" s="101"/>
      <c r="S260" s="101"/>
      <c r="T260" s="71"/>
      <c r="U260" s="101"/>
      <c r="V260" s="101"/>
      <c r="W260" s="102"/>
      <c r="X260" s="102"/>
      <c r="Y260" s="102"/>
      <c r="Z260" s="102"/>
      <c r="AA260" s="102"/>
      <c r="AB260" s="102"/>
      <c r="AC260" s="71"/>
      <c r="AD260" s="101"/>
      <c r="AE260" s="101"/>
      <c r="AF260" s="102"/>
      <c r="AG260" s="102"/>
      <c r="AH260" s="102"/>
      <c r="AI260" s="101"/>
      <c r="AJ260" s="88"/>
      <c r="AK260" s="88"/>
      <c r="AM260" s="71"/>
      <c r="AN260" s="101"/>
      <c r="AO260" s="101"/>
      <c r="AP260" s="101"/>
      <c r="AQ260" s="101"/>
      <c r="AR260" s="103"/>
      <c r="AS260" s="103"/>
      <c r="AT260" s="103"/>
      <c r="AU260" s="103"/>
      <c r="AV260" s="103"/>
      <c r="BA260" s="103"/>
      <c r="BF260" s="103"/>
      <c r="BG260" s="103"/>
      <c r="BH260" s="103"/>
      <c r="CK260" s="103"/>
      <c r="CL260" s="103"/>
      <c r="CM260" s="103"/>
      <c r="CN260" s="103"/>
      <c r="CO260" s="103"/>
      <c r="CP260" s="103"/>
      <c r="CQ260" s="103"/>
      <c r="CR260" s="103"/>
      <c r="CS260" s="103"/>
      <c r="CT260" s="103"/>
      <c r="DH260" s="103"/>
      <c r="DI260" s="103"/>
      <c r="DJ260" s="103"/>
      <c r="DK260" s="103"/>
      <c r="DL260" s="103"/>
      <c r="DM260" s="103"/>
      <c r="DN260" s="103"/>
      <c r="DO260" s="103"/>
      <c r="DP260" s="103"/>
      <c r="DQ260" s="103"/>
    </row>
    <row r="261" spans="1:121" s="90" customFormat="1" x14ac:dyDescent="0.25">
      <c r="A261" s="71"/>
      <c r="B261" s="71"/>
      <c r="C261" s="71"/>
      <c r="D261" s="71"/>
      <c r="E261" s="71"/>
      <c r="F261" s="101"/>
      <c r="G261" s="101"/>
      <c r="H261" s="71"/>
      <c r="I261" s="71"/>
      <c r="J261" s="71"/>
      <c r="K261" s="101"/>
      <c r="L261" s="101"/>
      <c r="M261" s="101"/>
      <c r="N261" s="71"/>
      <c r="O261" s="71"/>
      <c r="P261" s="71"/>
      <c r="Q261" s="71"/>
      <c r="R261" s="101"/>
      <c r="S261" s="101"/>
      <c r="T261" s="71"/>
      <c r="U261" s="101"/>
      <c r="V261" s="101"/>
      <c r="W261" s="102"/>
      <c r="X261" s="102"/>
      <c r="Y261" s="102"/>
      <c r="Z261" s="102"/>
      <c r="AA261" s="102"/>
      <c r="AB261" s="102"/>
      <c r="AC261" s="71"/>
      <c r="AD261" s="101"/>
      <c r="AE261" s="101"/>
      <c r="AF261" s="102"/>
      <c r="AG261" s="102"/>
      <c r="AH261" s="102"/>
      <c r="AI261" s="101"/>
      <c r="AJ261" s="88"/>
      <c r="AK261" s="88"/>
      <c r="AM261" s="71"/>
      <c r="AN261" s="101"/>
      <c r="AO261" s="101"/>
      <c r="AP261" s="101"/>
      <c r="AQ261" s="101"/>
      <c r="AR261" s="103"/>
      <c r="AS261" s="103"/>
      <c r="AT261" s="103"/>
      <c r="AU261" s="103"/>
      <c r="AV261" s="103"/>
      <c r="BA261" s="103"/>
      <c r="BF261" s="103"/>
      <c r="BG261" s="103"/>
      <c r="BH261" s="103"/>
      <c r="CK261" s="103"/>
      <c r="CL261" s="103"/>
      <c r="CM261" s="103"/>
      <c r="CN261" s="103"/>
      <c r="CO261" s="103"/>
      <c r="CP261" s="103"/>
      <c r="CQ261" s="103"/>
      <c r="CR261" s="103"/>
      <c r="CS261" s="103"/>
      <c r="CT261" s="103"/>
      <c r="DH261" s="103"/>
      <c r="DI261" s="103"/>
      <c r="DJ261" s="103"/>
      <c r="DK261" s="103"/>
      <c r="DL261" s="103"/>
      <c r="DM261" s="103"/>
      <c r="DN261" s="103"/>
      <c r="DO261" s="103"/>
      <c r="DP261" s="103"/>
      <c r="DQ261" s="103"/>
    </row>
    <row r="262" spans="1:121" s="90" customFormat="1" x14ac:dyDescent="0.25">
      <c r="A262" s="71"/>
      <c r="B262" s="71"/>
      <c r="C262" s="71"/>
      <c r="D262" s="71"/>
      <c r="E262" s="71"/>
      <c r="F262" s="101"/>
      <c r="G262" s="101"/>
      <c r="H262" s="71"/>
      <c r="I262" s="71"/>
      <c r="J262" s="71"/>
      <c r="K262" s="101"/>
      <c r="L262" s="101"/>
      <c r="M262" s="101"/>
      <c r="N262" s="71"/>
      <c r="O262" s="71"/>
      <c r="P262" s="71"/>
      <c r="Q262" s="71"/>
      <c r="R262" s="101"/>
      <c r="S262" s="101"/>
      <c r="T262" s="71"/>
      <c r="U262" s="101"/>
      <c r="V262" s="101"/>
      <c r="W262" s="102"/>
      <c r="X262" s="102"/>
      <c r="Y262" s="102"/>
      <c r="Z262" s="102"/>
      <c r="AA262" s="102"/>
      <c r="AB262" s="102"/>
      <c r="AC262" s="71"/>
      <c r="AD262" s="101"/>
      <c r="AE262" s="101"/>
      <c r="AF262" s="102"/>
      <c r="AG262" s="102"/>
      <c r="AH262" s="102"/>
      <c r="AI262" s="101"/>
      <c r="AJ262" s="88"/>
      <c r="AK262" s="88"/>
      <c r="AM262" s="71"/>
      <c r="AN262" s="101"/>
      <c r="AO262" s="101"/>
      <c r="AP262" s="101"/>
      <c r="AQ262" s="101"/>
      <c r="AR262" s="103"/>
      <c r="AS262" s="103"/>
      <c r="AT262" s="103"/>
      <c r="AU262" s="103"/>
      <c r="AV262" s="103"/>
      <c r="BA262" s="103"/>
      <c r="BF262" s="103"/>
      <c r="BG262" s="103"/>
      <c r="BH262" s="103"/>
      <c r="CK262" s="103"/>
      <c r="CL262" s="103"/>
      <c r="CM262" s="103"/>
      <c r="CN262" s="103"/>
      <c r="CO262" s="103"/>
      <c r="CP262" s="103"/>
      <c r="CQ262" s="103"/>
      <c r="CR262" s="103"/>
      <c r="CS262" s="103"/>
      <c r="CT262" s="103"/>
      <c r="DH262" s="103"/>
      <c r="DI262" s="103"/>
      <c r="DJ262" s="103"/>
      <c r="DK262" s="103"/>
      <c r="DL262" s="103"/>
      <c r="DM262" s="103"/>
      <c r="DN262" s="103"/>
      <c r="DO262" s="103"/>
      <c r="DP262" s="103"/>
      <c r="DQ262" s="103"/>
    </row>
    <row r="263" spans="1:121" s="90" customFormat="1" x14ac:dyDescent="0.25">
      <c r="A263" s="71"/>
      <c r="B263" s="71"/>
      <c r="C263" s="71"/>
      <c r="D263" s="71"/>
      <c r="E263" s="71"/>
      <c r="F263" s="101"/>
      <c r="G263" s="101"/>
      <c r="H263" s="71"/>
      <c r="I263" s="71"/>
      <c r="J263" s="71"/>
      <c r="K263" s="101"/>
      <c r="L263" s="101"/>
      <c r="M263" s="101"/>
      <c r="N263" s="71"/>
      <c r="O263" s="71"/>
      <c r="P263" s="71"/>
      <c r="Q263" s="71"/>
      <c r="R263" s="101"/>
      <c r="S263" s="101"/>
      <c r="T263" s="71"/>
      <c r="U263" s="101"/>
      <c r="V263" s="101"/>
      <c r="W263" s="102"/>
      <c r="X263" s="102"/>
      <c r="Y263" s="102"/>
      <c r="Z263" s="102"/>
      <c r="AA263" s="102"/>
      <c r="AB263" s="102"/>
      <c r="AC263" s="71"/>
      <c r="AD263" s="101"/>
      <c r="AE263" s="101"/>
      <c r="AF263" s="102"/>
      <c r="AG263" s="102"/>
      <c r="AH263" s="102"/>
      <c r="AI263" s="101"/>
      <c r="AJ263" s="88"/>
      <c r="AK263" s="88"/>
      <c r="AM263" s="71"/>
      <c r="AN263" s="101"/>
      <c r="AO263" s="101"/>
      <c r="AP263" s="101"/>
      <c r="AQ263" s="101"/>
      <c r="AR263" s="103"/>
      <c r="AS263" s="103"/>
      <c r="AT263" s="103"/>
      <c r="AU263" s="103"/>
      <c r="AV263" s="103"/>
      <c r="BA263" s="103"/>
      <c r="BF263" s="103"/>
      <c r="BG263" s="103"/>
      <c r="BH263" s="103"/>
      <c r="CK263" s="103"/>
      <c r="CL263" s="103"/>
      <c r="CM263" s="103"/>
      <c r="CN263" s="103"/>
      <c r="CO263" s="103"/>
      <c r="CP263" s="103"/>
      <c r="CQ263" s="103"/>
      <c r="CR263" s="103"/>
      <c r="CS263" s="103"/>
      <c r="CT263" s="103"/>
      <c r="DH263" s="103"/>
      <c r="DI263" s="103"/>
      <c r="DJ263" s="103"/>
      <c r="DK263" s="103"/>
      <c r="DL263" s="103"/>
      <c r="DM263" s="103"/>
      <c r="DN263" s="103"/>
      <c r="DO263" s="103"/>
      <c r="DP263" s="103"/>
      <c r="DQ263" s="103"/>
    </row>
    <row r="264" spans="1:121" s="90" customFormat="1" x14ac:dyDescent="0.25">
      <c r="A264" s="71"/>
      <c r="B264" s="71"/>
      <c r="C264" s="71"/>
      <c r="D264" s="71"/>
      <c r="E264" s="71"/>
      <c r="F264" s="101"/>
      <c r="G264" s="101"/>
      <c r="H264" s="71"/>
      <c r="I264" s="71"/>
      <c r="J264" s="71"/>
      <c r="K264" s="101"/>
      <c r="L264" s="101"/>
      <c r="M264" s="101"/>
      <c r="N264" s="71"/>
      <c r="O264" s="71"/>
      <c r="P264" s="71"/>
      <c r="Q264" s="71"/>
      <c r="R264" s="101"/>
      <c r="S264" s="101"/>
      <c r="T264" s="71"/>
      <c r="U264" s="101"/>
      <c r="V264" s="101"/>
      <c r="W264" s="102"/>
      <c r="X264" s="102"/>
      <c r="Y264" s="102"/>
      <c r="Z264" s="102"/>
      <c r="AA264" s="102"/>
      <c r="AB264" s="102"/>
      <c r="AC264" s="71"/>
      <c r="AD264" s="101"/>
      <c r="AE264" s="101"/>
      <c r="AF264" s="102"/>
      <c r="AG264" s="102"/>
      <c r="AH264" s="102"/>
      <c r="AI264" s="101"/>
      <c r="AJ264" s="88"/>
      <c r="AK264" s="88"/>
      <c r="AM264" s="71"/>
      <c r="AN264" s="101"/>
      <c r="AO264" s="101"/>
      <c r="AP264" s="101"/>
      <c r="AQ264" s="101"/>
      <c r="AR264" s="103"/>
      <c r="AS264" s="103"/>
      <c r="AT264" s="103"/>
      <c r="AU264" s="103"/>
      <c r="AV264" s="103"/>
      <c r="BA264" s="103"/>
      <c r="BF264" s="103"/>
      <c r="BG264" s="103"/>
      <c r="BH264" s="103"/>
      <c r="CK264" s="103"/>
      <c r="CL264" s="103"/>
      <c r="CM264" s="103"/>
      <c r="CN264" s="103"/>
      <c r="CO264" s="103"/>
      <c r="CP264" s="103"/>
      <c r="CQ264" s="103"/>
      <c r="CR264" s="103"/>
      <c r="CS264" s="103"/>
      <c r="CT264" s="103"/>
      <c r="DH264" s="103"/>
      <c r="DI264" s="103"/>
      <c r="DJ264" s="103"/>
      <c r="DK264" s="103"/>
      <c r="DL264" s="103"/>
      <c r="DM264" s="103"/>
      <c r="DN264" s="103"/>
      <c r="DO264" s="103"/>
      <c r="DP264" s="103"/>
      <c r="DQ264" s="103"/>
    </row>
    <row r="265" spans="1:121" s="90" customFormat="1" x14ac:dyDescent="0.25">
      <c r="A265" s="71"/>
      <c r="B265" s="71"/>
      <c r="C265" s="71"/>
      <c r="D265" s="71"/>
      <c r="E265" s="71"/>
      <c r="F265" s="101"/>
      <c r="G265" s="101"/>
      <c r="H265" s="71"/>
      <c r="I265" s="71"/>
      <c r="J265" s="71"/>
      <c r="K265" s="101"/>
      <c r="L265" s="101"/>
      <c r="M265" s="101"/>
      <c r="N265" s="71"/>
      <c r="O265" s="71"/>
      <c r="P265" s="71"/>
      <c r="Q265" s="71"/>
      <c r="R265" s="101"/>
      <c r="S265" s="101"/>
      <c r="T265" s="71"/>
      <c r="U265" s="101"/>
      <c r="V265" s="101"/>
      <c r="W265" s="102"/>
      <c r="X265" s="102"/>
      <c r="Y265" s="102"/>
      <c r="Z265" s="102"/>
      <c r="AA265" s="102"/>
      <c r="AB265" s="102"/>
      <c r="AC265" s="71"/>
      <c r="AD265" s="101"/>
      <c r="AE265" s="101"/>
      <c r="AF265" s="102"/>
      <c r="AG265" s="102"/>
      <c r="AH265" s="102"/>
      <c r="AI265" s="101"/>
      <c r="AJ265" s="88"/>
      <c r="AK265" s="88"/>
      <c r="AM265" s="71"/>
      <c r="AN265" s="101"/>
      <c r="AO265" s="101"/>
      <c r="AP265" s="101"/>
      <c r="AQ265" s="101"/>
      <c r="AR265" s="103"/>
      <c r="AS265" s="103"/>
      <c r="AT265" s="103"/>
      <c r="AU265" s="103"/>
      <c r="AV265" s="103"/>
      <c r="BA265" s="103"/>
      <c r="BF265" s="103"/>
      <c r="BG265" s="103"/>
      <c r="BH265" s="103"/>
      <c r="CK265" s="103"/>
      <c r="CL265" s="103"/>
      <c r="CM265" s="103"/>
      <c r="CN265" s="103"/>
      <c r="CO265" s="103"/>
      <c r="CP265" s="103"/>
      <c r="CQ265" s="103"/>
      <c r="CR265" s="103"/>
      <c r="CS265" s="103"/>
      <c r="CT265" s="103"/>
      <c r="DH265" s="103"/>
      <c r="DI265" s="103"/>
      <c r="DJ265" s="103"/>
      <c r="DK265" s="103"/>
      <c r="DL265" s="103"/>
      <c r="DM265" s="103"/>
      <c r="DN265" s="103"/>
      <c r="DO265" s="103"/>
      <c r="DP265" s="103"/>
      <c r="DQ265" s="103"/>
    </row>
    <row r="266" spans="1:121" s="90" customFormat="1" x14ac:dyDescent="0.25">
      <c r="A266" s="71"/>
      <c r="B266" s="71"/>
      <c r="C266" s="71"/>
      <c r="D266" s="71"/>
      <c r="E266" s="71"/>
      <c r="F266" s="101"/>
      <c r="G266" s="101"/>
      <c r="H266" s="71"/>
      <c r="I266" s="71"/>
      <c r="J266" s="71"/>
      <c r="K266" s="101"/>
      <c r="L266" s="101"/>
      <c r="M266" s="101"/>
      <c r="N266" s="71"/>
      <c r="O266" s="71"/>
      <c r="P266" s="71"/>
      <c r="Q266" s="71"/>
      <c r="R266" s="101"/>
      <c r="S266" s="101"/>
      <c r="T266" s="71"/>
      <c r="U266" s="101"/>
      <c r="V266" s="101"/>
      <c r="W266" s="102"/>
      <c r="X266" s="102"/>
      <c r="Y266" s="102"/>
      <c r="Z266" s="102"/>
      <c r="AA266" s="102"/>
      <c r="AB266" s="102"/>
      <c r="AC266" s="71"/>
      <c r="AD266" s="101"/>
      <c r="AE266" s="101"/>
      <c r="AF266" s="102"/>
      <c r="AG266" s="102"/>
      <c r="AH266" s="102"/>
      <c r="AI266" s="101"/>
      <c r="AJ266" s="88"/>
      <c r="AK266" s="88"/>
      <c r="AM266" s="71"/>
      <c r="AN266" s="101"/>
      <c r="AO266" s="101"/>
      <c r="AP266" s="101"/>
      <c r="AQ266" s="101"/>
      <c r="AR266" s="103"/>
      <c r="AS266" s="103"/>
      <c r="AT266" s="103"/>
      <c r="AU266" s="103"/>
      <c r="AV266" s="103"/>
      <c r="BA266" s="103"/>
      <c r="BF266" s="103"/>
      <c r="BG266" s="103"/>
      <c r="BH266" s="103"/>
      <c r="CK266" s="103"/>
      <c r="CL266" s="103"/>
      <c r="CM266" s="103"/>
      <c r="CN266" s="103"/>
      <c r="CO266" s="103"/>
      <c r="CP266" s="103"/>
      <c r="CQ266" s="103"/>
      <c r="CR266" s="103"/>
      <c r="CS266" s="103"/>
      <c r="CT266" s="103"/>
      <c r="DH266" s="103"/>
      <c r="DI266" s="103"/>
      <c r="DJ266" s="103"/>
      <c r="DK266" s="103"/>
      <c r="DL266" s="103"/>
      <c r="DM266" s="103"/>
      <c r="DN266" s="103"/>
      <c r="DO266" s="103"/>
      <c r="DP266" s="103"/>
      <c r="DQ266" s="103"/>
    </row>
    <row r="267" spans="1:121" s="90" customFormat="1" x14ac:dyDescent="0.25">
      <c r="A267" s="71"/>
      <c r="B267" s="71"/>
      <c r="C267" s="71"/>
      <c r="D267" s="71"/>
      <c r="E267" s="71"/>
      <c r="F267" s="101"/>
      <c r="G267" s="101"/>
      <c r="H267" s="71"/>
      <c r="I267" s="71"/>
      <c r="J267" s="71"/>
      <c r="K267" s="101"/>
      <c r="L267" s="101"/>
      <c r="M267" s="101"/>
      <c r="N267" s="71"/>
      <c r="O267" s="71"/>
      <c r="P267" s="71"/>
      <c r="Q267" s="71"/>
      <c r="R267" s="101"/>
      <c r="S267" s="101"/>
      <c r="T267" s="71"/>
      <c r="U267" s="101"/>
      <c r="V267" s="101"/>
      <c r="W267" s="102"/>
      <c r="X267" s="102"/>
      <c r="Y267" s="102"/>
      <c r="Z267" s="102"/>
      <c r="AA267" s="102"/>
      <c r="AB267" s="102"/>
      <c r="AC267" s="71"/>
      <c r="AD267" s="101"/>
      <c r="AE267" s="101"/>
      <c r="AF267" s="102"/>
      <c r="AG267" s="102"/>
      <c r="AH267" s="102"/>
      <c r="AI267" s="101"/>
      <c r="AJ267" s="88"/>
      <c r="AK267" s="88"/>
      <c r="AM267" s="71"/>
      <c r="AN267" s="101"/>
      <c r="AO267" s="101"/>
      <c r="AP267" s="101"/>
      <c r="AQ267" s="101"/>
      <c r="AR267" s="103"/>
      <c r="AS267" s="103"/>
      <c r="AT267" s="103"/>
      <c r="AU267" s="103"/>
      <c r="AV267" s="103"/>
      <c r="BA267" s="103"/>
      <c r="BF267" s="103"/>
      <c r="BG267" s="103"/>
      <c r="BH267" s="103"/>
      <c r="CK267" s="103"/>
      <c r="CL267" s="103"/>
      <c r="CM267" s="103"/>
      <c r="CN267" s="103"/>
      <c r="CO267" s="103"/>
      <c r="CP267" s="103"/>
      <c r="CQ267" s="103"/>
      <c r="CR267" s="103"/>
      <c r="CS267" s="103"/>
      <c r="CT267" s="103"/>
      <c r="DH267" s="103"/>
      <c r="DI267" s="103"/>
      <c r="DJ267" s="103"/>
      <c r="DK267" s="103"/>
      <c r="DL267" s="103"/>
      <c r="DM267" s="103"/>
      <c r="DN267" s="103"/>
      <c r="DO267" s="103"/>
      <c r="DP267" s="103"/>
      <c r="DQ267" s="103"/>
    </row>
    <row r="268" spans="1:121" s="90" customFormat="1" x14ac:dyDescent="0.25">
      <c r="A268" s="71"/>
      <c r="B268" s="71"/>
      <c r="C268" s="71"/>
      <c r="D268" s="71"/>
      <c r="E268" s="71"/>
      <c r="F268" s="101"/>
      <c r="G268" s="101"/>
      <c r="H268" s="71"/>
      <c r="I268" s="71"/>
      <c r="J268" s="71"/>
      <c r="K268" s="101"/>
      <c r="L268" s="101"/>
      <c r="M268" s="101"/>
      <c r="N268" s="71"/>
      <c r="O268" s="71"/>
      <c r="P268" s="71"/>
      <c r="Q268" s="71"/>
      <c r="R268" s="101"/>
      <c r="S268" s="101"/>
      <c r="T268" s="71"/>
      <c r="U268" s="101"/>
      <c r="V268" s="101"/>
      <c r="W268" s="102"/>
      <c r="X268" s="102"/>
      <c r="Y268" s="102"/>
      <c r="Z268" s="102"/>
      <c r="AA268" s="102"/>
      <c r="AB268" s="102"/>
      <c r="AC268" s="71"/>
      <c r="AD268" s="101"/>
      <c r="AE268" s="101"/>
      <c r="AF268" s="102"/>
      <c r="AG268" s="102"/>
      <c r="AH268" s="102"/>
      <c r="AI268" s="101"/>
      <c r="AJ268" s="88"/>
      <c r="AK268" s="88"/>
      <c r="AM268" s="71"/>
      <c r="AN268" s="101"/>
      <c r="AO268" s="101"/>
      <c r="AP268" s="101"/>
      <c r="AQ268" s="101"/>
      <c r="AR268" s="103"/>
      <c r="AS268" s="103"/>
      <c r="AT268" s="103"/>
      <c r="AU268" s="103"/>
      <c r="AV268" s="103"/>
      <c r="BA268" s="103"/>
      <c r="BF268" s="103"/>
      <c r="BG268" s="103"/>
      <c r="BH268" s="103"/>
      <c r="CK268" s="103"/>
      <c r="CL268" s="103"/>
      <c r="CM268" s="103"/>
      <c r="CN268" s="103"/>
      <c r="CO268" s="103"/>
      <c r="CP268" s="103"/>
      <c r="CQ268" s="103"/>
      <c r="CR268" s="103"/>
      <c r="CS268" s="103"/>
      <c r="CT268" s="103"/>
      <c r="DH268" s="103"/>
      <c r="DI268" s="103"/>
      <c r="DJ268" s="103"/>
      <c r="DK268" s="103"/>
      <c r="DL268" s="103"/>
      <c r="DM268" s="103"/>
      <c r="DN268" s="103"/>
      <c r="DO268" s="103"/>
      <c r="DP268" s="103"/>
      <c r="DQ268" s="103"/>
    </row>
    <row r="269" spans="1:121" s="90" customFormat="1" x14ac:dyDescent="0.25">
      <c r="A269" s="71"/>
      <c r="B269" s="71"/>
      <c r="C269" s="71"/>
      <c r="D269" s="71"/>
      <c r="E269" s="71"/>
      <c r="F269" s="101"/>
      <c r="G269" s="101"/>
      <c r="H269" s="71"/>
      <c r="I269" s="71"/>
      <c r="J269" s="71"/>
      <c r="K269" s="101"/>
      <c r="L269" s="101"/>
      <c r="M269" s="101"/>
      <c r="N269" s="71"/>
      <c r="O269" s="71"/>
      <c r="P269" s="71"/>
      <c r="Q269" s="71"/>
      <c r="R269" s="101"/>
      <c r="S269" s="101"/>
      <c r="T269" s="71"/>
      <c r="U269" s="101"/>
      <c r="V269" s="101"/>
      <c r="W269" s="102"/>
      <c r="X269" s="102"/>
      <c r="Y269" s="102"/>
      <c r="Z269" s="102"/>
      <c r="AA269" s="102"/>
      <c r="AB269" s="102"/>
      <c r="AC269" s="71"/>
      <c r="AD269" s="101"/>
      <c r="AE269" s="101"/>
      <c r="AF269" s="102"/>
      <c r="AG269" s="102"/>
      <c r="AH269" s="102"/>
      <c r="AI269" s="101"/>
      <c r="AJ269" s="88"/>
      <c r="AK269" s="88"/>
      <c r="AM269" s="71"/>
      <c r="AN269" s="101"/>
      <c r="AO269" s="101"/>
      <c r="AP269" s="101"/>
      <c r="AQ269" s="101"/>
      <c r="AR269" s="103"/>
      <c r="AS269" s="103"/>
      <c r="AT269" s="103"/>
      <c r="AU269" s="103"/>
      <c r="AV269" s="103"/>
      <c r="BA269" s="103"/>
      <c r="BF269" s="103"/>
      <c r="BG269" s="103"/>
      <c r="BH269" s="103"/>
      <c r="CK269" s="103"/>
      <c r="CL269" s="103"/>
      <c r="CM269" s="103"/>
      <c r="CN269" s="103"/>
      <c r="CO269" s="103"/>
      <c r="CP269" s="103"/>
      <c r="CQ269" s="103"/>
      <c r="CR269" s="103"/>
      <c r="CS269" s="103"/>
      <c r="CT269" s="103"/>
      <c r="DH269" s="103"/>
      <c r="DI269" s="103"/>
      <c r="DJ269" s="103"/>
      <c r="DK269" s="103"/>
      <c r="DL269" s="103"/>
      <c r="DM269" s="103"/>
      <c r="DN269" s="103"/>
      <c r="DO269" s="103"/>
      <c r="DP269" s="103"/>
      <c r="DQ269" s="103"/>
    </row>
    <row r="270" spans="1:121" s="90" customFormat="1" x14ac:dyDescent="0.25">
      <c r="A270" s="71"/>
      <c r="B270" s="71"/>
      <c r="C270" s="71"/>
      <c r="D270" s="71"/>
      <c r="E270" s="71"/>
      <c r="F270" s="101"/>
      <c r="G270" s="101"/>
      <c r="H270" s="71"/>
      <c r="I270" s="71"/>
      <c r="J270" s="71"/>
      <c r="K270" s="101"/>
      <c r="L270" s="101"/>
      <c r="M270" s="101"/>
      <c r="N270" s="71"/>
      <c r="O270" s="71"/>
      <c r="P270" s="71"/>
      <c r="Q270" s="71"/>
      <c r="R270" s="101"/>
      <c r="S270" s="101"/>
      <c r="T270" s="71"/>
      <c r="U270" s="101"/>
      <c r="V270" s="101"/>
      <c r="W270" s="102"/>
      <c r="X270" s="102"/>
      <c r="Y270" s="102"/>
      <c r="Z270" s="102"/>
      <c r="AA270" s="102"/>
      <c r="AB270" s="102"/>
      <c r="AC270" s="71"/>
      <c r="AD270" s="101"/>
      <c r="AE270" s="101"/>
      <c r="AF270" s="102"/>
      <c r="AG270" s="102"/>
      <c r="AH270" s="102"/>
      <c r="AI270" s="101"/>
      <c r="AJ270" s="88"/>
      <c r="AK270" s="88"/>
      <c r="AM270" s="71"/>
      <c r="AN270" s="101"/>
      <c r="AO270" s="101"/>
      <c r="AP270" s="101"/>
      <c r="AQ270" s="101"/>
      <c r="AR270" s="103"/>
      <c r="AS270" s="103"/>
      <c r="AT270" s="103"/>
      <c r="AU270" s="103"/>
      <c r="AV270" s="103"/>
      <c r="BA270" s="103"/>
      <c r="BF270" s="103"/>
      <c r="BG270" s="103"/>
      <c r="BH270" s="103"/>
      <c r="CK270" s="103"/>
      <c r="CL270" s="103"/>
      <c r="CM270" s="103"/>
      <c r="CN270" s="103"/>
      <c r="CO270" s="103"/>
      <c r="CP270" s="103"/>
      <c r="CQ270" s="103"/>
      <c r="CR270" s="103"/>
      <c r="CS270" s="103"/>
      <c r="CT270" s="103"/>
      <c r="DH270" s="103"/>
      <c r="DI270" s="103"/>
      <c r="DJ270" s="103"/>
      <c r="DK270" s="103"/>
      <c r="DL270" s="103"/>
      <c r="DM270" s="103"/>
      <c r="DN270" s="103"/>
      <c r="DO270" s="103"/>
      <c r="DP270" s="103"/>
      <c r="DQ270" s="103"/>
    </row>
    <row r="271" spans="1:121" s="90" customFormat="1" x14ac:dyDescent="0.25">
      <c r="A271" s="71"/>
      <c r="B271" s="71"/>
      <c r="C271" s="71"/>
      <c r="D271" s="71"/>
      <c r="E271" s="71"/>
      <c r="F271" s="101"/>
      <c r="G271" s="101"/>
      <c r="H271" s="71"/>
      <c r="I271" s="71"/>
      <c r="J271" s="71"/>
      <c r="K271" s="101"/>
      <c r="L271" s="101"/>
      <c r="M271" s="101"/>
      <c r="N271" s="71"/>
      <c r="O271" s="71"/>
      <c r="P271" s="71"/>
      <c r="Q271" s="71"/>
      <c r="R271" s="101"/>
      <c r="S271" s="101"/>
      <c r="T271" s="71"/>
      <c r="U271" s="101"/>
      <c r="V271" s="101"/>
      <c r="W271" s="102"/>
      <c r="X271" s="102"/>
      <c r="Y271" s="102"/>
      <c r="Z271" s="102"/>
      <c r="AA271" s="102"/>
      <c r="AB271" s="102"/>
      <c r="AC271" s="71"/>
      <c r="AD271" s="101"/>
      <c r="AE271" s="101"/>
      <c r="AF271" s="102"/>
      <c r="AG271" s="102"/>
      <c r="AH271" s="102"/>
      <c r="AI271" s="101"/>
      <c r="AJ271" s="88"/>
      <c r="AK271" s="88"/>
      <c r="AM271" s="71"/>
      <c r="AN271" s="101"/>
      <c r="AO271" s="101"/>
      <c r="AP271" s="101"/>
      <c r="AQ271" s="101"/>
      <c r="AR271" s="103"/>
      <c r="AS271" s="103"/>
      <c r="AT271" s="103"/>
      <c r="AU271" s="103"/>
      <c r="AV271" s="103"/>
      <c r="BA271" s="103"/>
      <c r="BF271" s="103"/>
      <c r="BG271" s="103"/>
      <c r="BH271" s="103"/>
      <c r="CK271" s="103"/>
      <c r="CL271" s="103"/>
      <c r="CM271" s="103"/>
      <c r="CN271" s="103"/>
      <c r="CO271" s="103"/>
      <c r="CP271" s="103"/>
      <c r="CQ271" s="103"/>
      <c r="CR271" s="103"/>
      <c r="CS271" s="103"/>
      <c r="CT271" s="103"/>
      <c r="DH271" s="103"/>
      <c r="DI271" s="103"/>
      <c r="DJ271" s="103"/>
      <c r="DK271" s="103"/>
      <c r="DL271" s="103"/>
      <c r="DM271" s="103"/>
      <c r="DN271" s="103"/>
      <c r="DO271" s="103"/>
      <c r="DP271" s="103"/>
      <c r="DQ271" s="103"/>
    </row>
    <row r="272" spans="1:121" s="90" customFormat="1" x14ac:dyDescent="0.25">
      <c r="A272" s="71"/>
      <c r="B272" s="71"/>
      <c r="C272" s="71"/>
      <c r="D272" s="71"/>
      <c r="E272" s="71"/>
      <c r="F272" s="101"/>
      <c r="G272" s="101"/>
      <c r="H272" s="71"/>
      <c r="I272" s="71"/>
      <c r="J272" s="71"/>
      <c r="K272" s="101"/>
      <c r="L272" s="101"/>
      <c r="M272" s="101"/>
      <c r="N272" s="71"/>
      <c r="O272" s="71"/>
      <c r="P272" s="71"/>
      <c r="Q272" s="71"/>
      <c r="R272" s="101"/>
      <c r="S272" s="101"/>
      <c r="T272" s="71"/>
      <c r="U272" s="101"/>
      <c r="V272" s="101"/>
      <c r="W272" s="102"/>
      <c r="X272" s="102"/>
      <c r="Y272" s="102"/>
      <c r="Z272" s="102"/>
      <c r="AA272" s="102"/>
      <c r="AB272" s="102"/>
      <c r="AC272" s="71"/>
      <c r="AD272" s="101"/>
      <c r="AE272" s="101"/>
      <c r="AF272" s="102"/>
      <c r="AG272" s="102"/>
      <c r="AH272" s="102"/>
      <c r="AI272" s="101"/>
      <c r="AJ272" s="88"/>
      <c r="AK272" s="88"/>
      <c r="AM272" s="71"/>
      <c r="AN272" s="101"/>
      <c r="AO272" s="101"/>
      <c r="AP272" s="101"/>
      <c r="AQ272" s="101"/>
      <c r="AR272" s="103"/>
      <c r="AS272" s="103"/>
      <c r="AT272" s="103"/>
      <c r="AU272" s="103"/>
      <c r="AV272" s="103"/>
      <c r="BA272" s="103"/>
      <c r="BF272" s="103"/>
      <c r="BG272" s="103"/>
      <c r="BH272" s="103"/>
      <c r="CK272" s="103"/>
      <c r="CL272" s="103"/>
      <c r="CM272" s="103"/>
      <c r="CN272" s="103"/>
      <c r="CO272" s="103"/>
      <c r="CP272" s="103"/>
      <c r="CQ272" s="103"/>
      <c r="CR272" s="103"/>
      <c r="CS272" s="103"/>
      <c r="CT272" s="103"/>
      <c r="DH272" s="103"/>
      <c r="DI272" s="103"/>
      <c r="DJ272" s="103"/>
      <c r="DK272" s="103"/>
      <c r="DL272" s="103"/>
      <c r="DM272" s="103"/>
      <c r="DN272" s="103"/>
      <c r="DO272" s="103"/>
      <c r="DP272" s="103"/>
      <c r="DQ272" s="103"/>
    </row>
    <row r="273" spans="1:121" s="90" customFormat="1" x14ac:dyDescent="0.25">
      <c r="A273" s="71"/>
      <c r="B273" s="71"/>
      <c r="C273" s="71"/>
      <c r="D273" s="71"/>
      <c r="E273" s="71"/>
      <c r="F273" s="101"/>
      <c r="G273" s="101"/>
      <c r="H273" s="71"/>
      <c r="I273" s="71"/>
      <c r="J273" s="71"/>
      <c r="K273" s="101"/>
      <c r="L273" s="101"/>
      <c r="M273" s="101"/>
      <c r="N273" s="71"/>
      <c r="O273" s="71"/>
      <c r="P273" s="71"/>
      <c r="Q273" s="71"/>
      <c r="R273" s="101"/>
      <c r="S273" s="101"/>
      <c r="T273" s="71"/>
      <c r="U273" s="101"/>
      <c r="V273" s="101"/>
      <c r="W273" s="102"/>
      <c r="X273" s="102"/>
      <c r="Y273" s="102"/>
      <c r="Z273" s="102"/>
      <c r="AA273" s="102"/>
      <c r="AB273" s="102"/>
      <c r="AC273" s="71"/>
      <c r="AD273" s="101"/>
      <c r="AE273" s="101"/>
      <c r="AF273" s="102"/>
      <c r="AG273" s="102"/>
      <c r="AH273" s="102"/>
      <c r="AI273" s="101"/>
      <c r="AJ273" s="88"/>
      <c r="AK273" s="88"/>
      <c r="AM273" s="71"/>
      <c r="AN273" s="101"/>
      <c r="AO273" s="101"/>
      <c r="AP273" s="101"/>
      <c r="AQ273" s="101"/>
      <c r="AR273" s="103"/>
      <c r="AS273" s="103"/>
      <c r="AT273" s="103"/>
      <c r="AU273" s="103"/>
      <c r="AV273" s="103"/>
      <c r="BA273" s="103"/>
      <c r="BF273" s="103"/>
      <c r="BG273" s="103"/>
      <c r="BH273" s="103"/>
      <c r="CK273" s="103"/>
      <c r="CL273" s="103"/>
      <c r="CM273" s="103"/>
      <c r="CN273" s="103"/>
      <c r="CO273" s="103"/>
      <c r="CP273" s="103"/>
      <c r="CQ273" s="103"/>
      <c r="CR273" s="103"/>
      <c r="CS273" s="103"/>
      <c r="CT273" s="103"/>
      <c r="DH273" s="103"/>
      <c r="DI273" s="103"/>
      <c r="DJ273" s="103"/>
      <c r="DK273" s="103"/>
      <c r="DL273" s="103"/>
      <c r="DM273" s="103"/>
      <c r="DN273" s="103"/>
      <c r="DO273" s="103"/>
      <c r="DP273" s="103"/>
      <c r="DQ273" s="103"/>
    </row>
    <row r="274" spans="1:121" s="90" customFormat="1" x14ac:dyDescent="0.25">
      <c r="A274" s="71"/>
      <c r="B274" s="71"/>
      <c r="C274" s="71"/>
      <c r="D274" s="71"/>
      <c r="E274" s="71"/>
      <c r="F274" s="101"/>
      <c r="G274" s="101"/>
      <c r="H274" s="71"/>
      <c r="I274" s="71"/>
      <c r="J274" s="71"/>
      <c r="K274" s="101"/>
      <c r="L274" s="101"/>
      <c r="M274" s="101"/>
      <c r="N274" s="71"/>
      <c r="O274" s="71"/>
      <c r="P274" s="71"/>
      <c r="Q274" s="71"/>
      <c r="R274" s="101"/>
      <c r="S274" s="101"/>
      <c r="T274" s="71"/>
      <c r="U274" s="101"/>
      <c r="V274" s="101"/>
      <c r="W274" s="102"/>
      <c r="X274" s="102"/>
      <c r="Y274" s="102"/>
      <c r="Z274" s="102"/>
      <c r="AA274" s="102"/>
      <c r="AB274" s="102"/>
      <c r="AC274" s="71"/>
      <c r="AD274" s="101"/>
      <c r="AE274" s="101"/>
      <c r="AF274" s="102"/>
      <c r="AG274" s="102"/>
      <c r="AH274" s="102"/>
      <c r="AI274" s="101"/>
      <c r="AJ274" s="88"/>
      <c r="AK274" s="88"/>
      <c r="AM274" s="71"/>
      <c r="AN274" s="101"/>
      <c r="AO274" s="101"/>
      <c r="AP274" s="101"/>
      <c r="AQ274" s="101"/>
      <c r="AR274" s="103"/>
      <c r="AS274" s="103"/>
      <c r="AT274" s="103"/>
      <c r="AU274" s="103"/>
      <c r="AV274" s="103"/>
      <c r="BA274" s="103"/>
      <c r="BF274" s="103"/>
      <c r="BG274" s="103"/>
      <c r="BH274" s="103"/>
      <c r="CK274" s="103"/>
      <c r="CL274" s="103"/>
      <c r="CM274" s="103"/>
      <c r="CN274" s="103"/>
      <c r="CO274" s="103"/>
      <c r="CP274" s="103"/>
      <c r="CQ274" s="103"/>
      <c r="CR274" s="103"/>
      <c r="CS274" s="103"/>
      <c r="CT274" s="103"/>
      <c r="DH274" s="103"/>
      <c r="DI274" s="103"/>
      <c r="DJ274" s="103"/>
      <c r="DK274" s="103"/>
      <c r="DL274" s="103"/>
      <c r="DM274" s="103"/>
      <c r="DN274" s="103"/>
      <c r="DO274" s="103"/>
      <c r="DP274" s="103"/>
      <c r="DQ274" s="103"/>
    </row>
    <row r="275" spans="1:121" s="90" customFormat="1" x14ac:dyDescent="0.25">
      <c r="A275" s="71"/>
      <c r="B275" s="71"/>
      <c r="C275" s="71"/>
      <c r="D275" s="71"/>
      <c r="E275" s="71"/>
      <c r="F275" s="101"/>
      <c r="G275" s="101"/>
      <c r="H275" s="71"/>
      <c r="I275" s="71"/>
      <c r="J275" s="71"/>
      <c r="K275" s="101"/>
      <c r="L275" s="101"/>
      <c r="M275" s="101"/>
      <c r="N275" s="71"/>
      <c r="O275" s="71"/>
      <c r="P275" s="71"/>
      <c r="Q275" s="71"/>
      <c r="R275" s="101"/>
      <c r="S275" s="101"/>
      <c r="T275" s="71"/>
      <c r="U275" s="101"/>
      <c r="V275" s="101"/>
      <c r="W275" s="102"/>
      <c r="X275" s="102"/>
      <c r="Y275" s="102"/>
      <c r="Z275" s="102"/>
      <c r="AA275" s="102"/>
      <c r="AB275" s="102"/>
      <c r="AC275" s="71"/>
      <c r="AD275" s="101"/>
      <c r="AE275" s="101"/>
      <c r="AF275" s="102"/>
      <c r="AG275" s="102"/>
      <c r="AH275" s="102"/>
      <c r="AI275" s="101"/>
      <c r="AJ275" s="88"/>
      <c r="AK275" s="88"/>
      <c r="AM275" s="71"/>
      <c r="AN275" s="101"/>
      <c r="AO275" s="101"/>
      <c r="AP275" s="101"/>
      <c r="AQ275" s="101"/>
      <c r="AR275" s="103"/>
      <c r="AS275" s="103"/>
      <c r="AT275" s="103"/>
      <c r="AU275" s="103"/>
      <c r="AV275" s="103"/>
      <c r="BA275" s="103"/>
      <c r="BF275" s="103"/>
      <c r="BG275" s="103"/>
      <c r="BH275" s="103"/>
      <c r="CK275" s="103"/>
      <c r="CL275" s="103"/>
      <c r="CM275" s="103"/>
      <c r="CN275" s="103"/>
      <c r="CO275" s="103"/>
      <c r="CP275" s="103"/>
      <c r="CQ275" s="103"/>
      <c r="CR275" s="103"/>
      <c r="CS275" s="103"/>
      <c r="CT275" s="103"/>
      <c r="DH275" s="103"/>
      <c r="DI275" s="103"/>
      <c r="DJ275" s="103"/>
      <c r="DK275" s="103"/>
      <c r="DL275" s="103"/>
      <c r="DM275" s="103"/>
      <c r="DN275" s="103"/>
      <c r="DO275" s="103"/>
      <c r="DP275" s="103"/>
      <c r="DQ275" s="103"/>
    </row>
    <row r="276" spans="1:121" s="90" customFormat="1" x14ac:dyDescent="0.25">
      <c r="A276" s="71"/>
      <c r="B276" s="71"/>
      <c r="C276" s="71"/>
      <c r="D276" s="71"/>
      <c r="E276" s="71"/>
      <c r="F276" s="101"/>
      <c r="G276" s="101"/>
      <c r="H276" s="71"/>
      <c r="I276" s="71"/>
      <c r="J276" s="71"/>
      <c r="K276" s="101"/>
      <c r="L276" s="101"/>
      <c r="M276" s="101"/>
      <c r="N276" s="71"/>
      <c r="O276" s="71"/>
      <c r="P276" s="71"/>
      <c r="Q276" s="71"/>
      <c r="R276" s="101"/>
      <c r="S276" s="101"/>
      <c r="T276" s="71"/>
      <c r="U276" s="101"/>
      <c r="V276" s="101"/>
      <c r="W276" s="102"/>
      <c r="X276" s="102"/>
      <c r="Y276" s="102"/>
      <c r="Z276" s="102"/>
      <c r="AA276" s="102"/>
      <c r="AB276" s="102"/>
      <c r="AC276" s="71"/>
      <c r="AD276" s="101"/>
      <c r="AE276" s="101"/>
      <c r="AF276" s="102"/>
      <c r="AG276" s="102"/>
      <c r="AH276" s="102"/>
      <c r="AI276" s="101"/>
      <c r="AJ276" s="88"/>
      <c r="AK276" s="88"/>
      <c r="AM276" s="71"/>
      <c r="AN276" s="101"/>
      <c r="AO276" s="101"/>
      <c r="AP276" s="101"/>
      <c r="AQ276" s="101"/>
      <c r="AR276" s="103"/>
      <c r="AS276" s="103"/>
      <c r="AT276" s="103"/>
      <c r="AU276" s="103"/>
      <c r="AV276" s="103"/>
      <c r="BA276" s="103"/>
      <c r="BF276" s="103"/>
      <c r="BG276" s="103"/>
      <c r="BH276" s="103"/>
      <c r="CK276" s="103"/>
      <c r="CL276" s="103"/>
      <c r="CM276" s="103"/>
      <c r="CN276" s="103"/>
      <c r="CO276" s="103"/>
      <c r="CP276" s="103"/>
      <c r="CQ276" s="103"/>
      <c r="CR276" s="103"/>
      <c r="CS276" s="103"/>
      <c r="CT276" s="103"/>
      <c r="DH276" s="103"/>
      <c r="DI276" s="103"/>
      <c r="DJ276" s="103"/>
      <c r="DK276" s="103"/>
      <c r="DL276" s="103"/>
      <c r="DM276" s="103"/>
      <c r="DN276" s="103"/>
      <c r="DO276" s="103"/>
      <c r="DP276" s="103"/>
      <c r="DQ276" s="103"/>
    </row>
    <row r="277" spans="1:121" s="90" customFormat="1" x14ac:dyDescent="0.25">
      <c r="A277" s="71"/>
      <c r="B277" s="71"/>
      <c r="C277" s="71"/>
      <c r="D277" s="71"/>
      <c r="E277" s="71"/>
      <c r="F277" s="101"/>
      <c r="G277" s="101"/>
      <c r="H277" s="71"/>
      <c r="I277" s="71"/>
      <c r="J277" s="71"/>
      <c r="K277" s="101"/>
      <c r="L277" s="101"/>
      <c r="M277" s="101"/>
      <c r="N277" s="71"/>
      <c r="O277" s="71"/>
      <c r="P277" s="71"/>
      <c r="Q277" s="71"/>
      <c r="R277" s="101"/>
      <c r="S277" s="101"/>
      <c r="T277" s="71"/>
      <c r="U277" s="101"/>
      <c r="V277" s="101"/>
      <c r="W277" s="102"/>
      <c r="X277" s="102"/>
      <c r="Y277" s="102"/>
      <c r="Z277" s="102"/>
      <c r="AA277" s="102"/>
      <c r="AB277" s="102"/>
      <c r="AC277" s="71"/>
      <c r="AD277" s="101"/>
      <c r="AE277" s="101"/>
      <c r="AF277" s="102"/>
      <c r="AG277" s="102"/>
      <c r="AH277" s="102"/>
      <c r="AI277" s="101"/>
      <c r="AJ277" s="88"/>
      <c r="AK277" s="88"/>
      <c r="AM277" s="71"/>
      <c r="AN277" s="101"/>
      <c r="AO277" s="101"/>
      <c r="AP277" s="101"/>
      <c r="AQ277" s="101"/>
      <c r="AR277" s="103"/>
      <c r="AS277" s="103"/>
      <c r="AT277" s="103"/>
      <c r="AU277" s="103"/>
      <c r="AV277" s="103"/>
      <c r="BA277" s="103"/>
      <c r="BF277" s="103"/>
      <c r="BG277" s="103"/>
      <c r="BH277" s="103"/>
      <c r="CK277" s="103"/>
      <c r="CL277" s="103"/>
      <c r="CM277" s="103"/>
      <c r="CN277" s="103"/>
      <c r="CO277" s="103"/>
      <c r="CP277" s="103"/>
      <c r="CQ277" s="103"/>
      <c r="CR277" s="103"/>
      <c r="CS277" s="103"/>
      <c r="CT277" s="103"/>
      <c r="DH277" s="103"/>
      <c r="DI277" s="103"/>
      <c r="DJ277" s="103"/>
      <c r="DK277" s="103"/>
      <c r="DL277" s="103"/>
      <c r="DM277" s="103"/>
      <c r="DN277" s="103"/>
      <c r="DO277" s="103"/>
      <c r="DP277" s="103"/>
      <c r="DQ277" s="103"/>
    </row>
    <row r="278" spans="1:121" s="90" customFormat="1" x14ac:dyDescent="0.25">
      <c r="A278" s="71"/>
      <c r="B278" s="71"/>
      <c r="C278" s="71"/>
      <c r="D278" s="71"/>
      <c r="E278" s="71"/>
      <c r="F278" s="101"/>
      <c r="G278" s="101"/>
      <c r="H278" s="71"/>
      <c r="I278" s="71"/>
      <c r="J278" s="71"/>
      <c r="K278" s="101"/>
      <c r="L278" s="101"/>
      <c r="M278" s="101"/>
      <c r="N278" s="71"/>
      <c r="O278" s="71"/>
      <c r="P278" s="71"/>
      <c r="Q278" s="71"/>
      <c r="R278" s="101"/>
      <c r="S278" s="101"/>
      <c r="T278" s="71"/>
      <c r="U278" s="101"/>
      <c r="V278" s="101"/>
      <c r="W278" s="102"/>
      <c r="X278" s="102"/>
      <c r="Y278" s="102"/>
      <c r="Z278" s="102"/>
      <c r="AA278" s="102"/>
      <c r="AB278" s="102"/>
      <c r="AC278" s="71"/>
      <c r="AD278" s="101"/>
      <c r="AE278" s="101"/>
      <c r="AF278" s="102"/>
      <c r="AG278" s="102"/>
      <c r="AH278" s="102"/>
      <c r="AI278" s="101"/>
      <c r="AJ278" s="88"/>
      <c r="AK278" s="88"/>
      <c r="AM278" s="71"/>
      <c r="AN278" s="101"/>
      <c r="AO278" s="101"/>
      <c r="AP278" s="101"/>
      <c r="AQ278" s="101"/>
      <c r="AR278" s="103"/>
      <c r="AS278" s="103"/>
      <c r="AT278" s="103"/>
      <c r="AU278" s="103"/>
      <c r="AV278" s="103"/>
      <c r="BA278" s="103"/>
      <c r="BF278" s="103"/>
      <c r="BG278" s="103"/>
      <c r="BH278" s="103"/>
      <c r="CK278" s="103"/>
      <c r="CL278" s="103"/>
      <c r="CM278" s="103"/>
      <c r="CN278" s="103"/>
      <c r="CO278" s="103"/>
      <c r="CP278" s="103"/>
      <c r="CQ278" s="103"/>
      <c r="CR278" s="103"/>
      <c r="CS278" s="103"/>
      <c r="CT278" s="103"/>
      <c r="DH278" s="103"/>
      <c r="DI278" s="103"/>
      <c r="DJ278" s="103"/>
      <c r="DK278" s="103"/>
      <c r="DL278" s="103"/>
      <c r="DM278" s="103"/>
      <c r="DN278" s="103"/>
      <c r="DO278" s="103"/>
      <c r="DP278" s="103"/>
      <c r="DQ278" s="103"/>
    </row>
    <row r="279" spans="1:121" s="90" customFormat="1" x14ac:dyDescent="0.25">
      <c r="A279" s="71"/>
      <c r="B279" s="71"/>
      <c r="C279" s="71"/>
      <c r="D279" s="71"/>
      <c r="E279" s="71"/>
      <c r="F279" s="101"/>
      <c r="G279" s="101"/>
      <c r="H279" s="71"/>
      <c r="I279" s="71"/>
      <c r="J279" s="71"/>
      <c r="K279" s="101"/>
      <c r="L279" s="101"/>
      <c r="M279" s="101"/>
      <c r="N279" s="71"/>
      <c r="O279" s="71"/>
      <c r="P279" s="71"/>
      <c r="Q279" s="71"/>
      <c r="R279" s="101"/>
      <c r="S279" s="101"/>
      <c r="T279" s="71"/>
      <c r="U279" s="101"/>
      <c r="V279" s="101"/>
      <c r="W279" s="102"/>
      <c r="X279" s="102"/>
      <c r="Y279" s="102"/>
      <c r="Z279" s="102"/>
      <c r="AA279" s="102"/>
      <c r="AB279" s="102"/>
      <c r="AC279" s="71"/>
      <c r="AD279" s="101"/>
      <c r="AE279" s="101"/>
      <c r="AF279" s="102"/>
      <c r="AG279" s="102"/>
      <c r="AH279" s="102"/>
      <c r="AI279" s="101"/>
      <c r="AJ279" s="88"/>
      <c r="AK279" s="88"/>
      <c r="AM279" s="71"/>
      <c r="AN279" s="101"/>
      <c r="AO279" s="101"/>
      <c r="AP279" s="101"/>
      <c r="AQ279" s="101"/>
      <c r="AR279" s="103"/>
      <c r="AS279" s="103"/>
      <c r="AT279" s="103"/>
      <c r="AU279" s="103"/>
      <c r="AV279" s="103"/>
      <c r="BA279" s="103"/>
      <c r="BF279" s="103"/>
      <c r="BG279" s="103"/>
      <c r="BH279" s="103"/>
      <c r="CK279" s="103"/>
      <c r="CL279" s="103"/>
      <c r="CM279" s="103"/>
      <c r="CN279" s="103"/>
      <c r="CO279" s="103"/>
      <c r="CP279" s="103"/>
      <c r="CQ279" s="103"/>
      <c r="CR279" s="103"/>
      <c r="CS279" s="103"/>
      <c r="CT279" s="103"/>
      <c r="DH279" s="103"/>
      <c r="DI279" s="103"/>
      <c r="DJ279" s="103"/>
      <c r="DK279" s="103"/>
      <c r="DL279" s="103"/>
      <c r="DM279" s="103"/>
      <c r="DN279" s="103"/>
      <c r="DO279" s="103"/>
      <c r="DP279" s="103"/>
      <c r="DQ279" s="103"/>
    </row>
    <row r="280" spans="1:121" s="90" customFormat="1" x14ac:dyDescent="0.25">
      <c r="A280" s="71"/>
      <c r="B280" s="71"/>
      <c r="C280" s="71"/>
      <c r="D280" s="71"/>
      <c r="E280" s="71"/>
      <c r="F280" s="101"/>
      <c r="G280" s="101"/>
      <c r="H280" s="71"/>
      <c r="I280" s="71"/>
      <c r="J280" s="71"/>
      <c r="K280" s="101"/>
      <c r="L280" s="101"/>
      <c r="M280" s="101"/>
      <c r="N280" s="71"/>
      <c r="O280" s="71"/>
      <c r="P280" s="71"/>
      <c r="Q280" s="71"/>
      <c r="R280" s="101"/>
      <c r="S280" s="101"/>
      <c r="T280" s="71"/>
      <c r="U280" s="101"/>
      <c r="V280" s="101"/>
      <c r="W280" s="102"/>
      <c r="X280" s="102"/>
      <c r="Y280" s="102"/>
      <c r="Z280" s="102"/>
      <c r="AA280" s="102"/>
      <c r="AB280" s="102"/>
      <c r="AC280" s="71"/>
      <c r="AD280" s="101"/>
      <c r="AE280" s="101"/>
      <c r="AF280" s="102"/>
      <c r="AG280" s="102"/>
      <c r="AH280" s="102"/>
      <c r="AI280" s="101"/>
      <c r="AJ280" s="88"/>
      <c r="AK280" s="88"/>
      <c r="AM280" s="71"/>
      <c r="AN280" s="101"/>
      <c r="AO280" s="101"/>
      <c r="AP280" s="101"/>
      <c r="AQ280" s="101"/>
      <c r="AR280" s="103"/>
      <c r="AS280" s="103"/>
      <c r="AT280" s="103"/>
      <c r="AU280" s="103"/>
      <c r="AV280" s="103"/>
      <c r="BA280" s="103"/>
      <c r="BF280" s="103"/>
      <c r="BG280" s="103"/>
      <c r="BH280" s="103"/>
      <c r="CK280" s="103"/>
      <c r="CL280" s="103"/>
      <c r="CM280" s="103"/>
      <c r="CN280" s="103"/>
      <c r="CO280" s="103"/>
      <c r="CP280" s="103"/>
      <c r="CQ280" s="103"/>
      <c r="CR280" s="103"/>
      <c r="CS280" s="103"/>
      <c r="CT280" s="103"/>
      <c r="DH280" s="103"/>
      <c r="DI280" s="103"/>
      <c r="DJ280" s="103"/>
      <c r="DK280" s="103"/>
      <c r="DL280" s="103"/>
      <c r="DM280" s="103"/>
      <c r="DN280" s="103"/>
      <c r="DO280" s="103"/>
      <c r="DP280" s="103"/>
      <c r="DQ280" s="103"/>
    </row>
    <row r="281" spans="1:121" s="90" customFormat="1" x14ac:dyDescent="0.25">
      <c r="A281" s="71"/>
      <c r="B281" s="71"/>
      <c r="C281" s="71"/>
      <c r="D281" s="71"/>
      <c r="E281" s="71"/>
      <c r="F281" s="101"/>
      <c r="G281" s="101"/>
      <c r="H281" s="71"/>
      <c r="I281" s="71"/>
      <c r="J281" s="71"/>
      <c r="K281" s="101"/>
      <c r="L281" s="101"/>
      <c r="M281" s="101"/>
      <c r="N281" s="71"/>
      <c r="O281" s="71"/>
      <c r="P281" s="71"/>
      <c r="Q281" s="71"/>
      <c r="R281" s="101"/>
      <c r="S281" s="101"/>
      <c r="T281" s="71"/>
      <c r="U281" s="101"/>
      <c r="V281" s="101"/>
      <c r="W281" s="102"/>
      <c r="X281" s="102"/>
      <c r="Y281" s="102"/>
      <c r="Z281" s="102"/>
      <c r="AA281" s="102"/>
      <c r="AB281" s="102"/>
      <c r="AC281" s="71"/>
      <c r="AD281" s="101"/>
      <c r="AE281" s="101"/>
      <c r="AF281" s="102"/>
      <c r="AG281" s="102"/>
      <c r="AH281" s="102"/>
      <c r="AI281" s="101"/>
      <c r="AJ281" s="88"/>
      <c r="AK281" s="88"/>
      <c r="AM281" s="71"/>
      <c r="AN281" s="101"/>
      <c r="AO281" s="101"/>
      <c r="AP281" s="101"/>
      <c r="AQ281" s="101"/>
      <c r="AR281" s="103"/>
      <c r="AS281" s="103"/>
      <c r="AT281" s="103"/>
      <c r="AU281" s="103"/>
      <c r="AV281" s="103"/>
      <c r="BA281" s="103"/>
      <c r="BF281" s="103"/>
      <c r="BG281" s="103"/>
      <c r="BH281" s="103"/>
      <c r="CK281" s="103"/>
      <c r="CL281" s="103"/>
      <c r="CM281" s="103"/>
      <c r="CN281" s="103"/>
      <c r="CO281" s="103"/>
      <c r="CP281" s="103"/>
      <c r="CQ281" s="103"/>
      <c r="CR281" s="103"/>
      <c r="CS281" s="103"/>
      <c r="CT281" s="103"/>
      <c r="DH281" s="103"/>
      <c r="DI281" s="103"/>
      <c r="DJ281" s="103"/>
      <c r="DK281" s="103"/>
      <c r="DL281" s="103"/>
      <c r="DM281" s="103"/>
      <c r="DN281" s="103"/>
      <c r="DO281" s="103"/>
      <c r="DP281" s="103"/>
      <c r="DQ281" s="103"/>
    </row>
    <row r="282" spans="1:121" s="90" customFormat="1" x14ac:dyDescent="0.25">
      <c r="A282" s="71"/>
      <c r="B282" s="71"/>
      <c r="C282" s="71"/>
      <c r="D282" s="71"/>
      <c r="E282" s="71"/>
      <c r="F282" s="101"/>
      <c r="G282" s="101"/>
      <c r="H282" s="71"/>
      <c r="I282" s="71"/>
      <c r="J282" s="71"/>
      <c r="K282" s="101"/>
      <c r="L282" s="101"/>
      <c r="M282" s="101"/>
      <c r="N282" s="71"/>
      <c r="O282" s="71"/>
      <c r="P282" s="71"/>
      <c r="Q282" s="71"/>
      <c r="R282" s="101"/>
      <c r="S282" s="101"/>
      <c r="T282" s="71"/>
      <c r="U282" s="101"/>
      <c r="V282" s="101"/>
      <c r="W282" s="102"/>
      <c r="X282" s="102"/>
      <c r="Y282" s="102"/>
      <c r="Z282" s="102"/>
      <c r="AA282" s="102"/>
      <c r="AB282" s="102"/>
      <c r="AC282" s="71"/>
      <c r="AD282" s="101"/>
      <c r="AE282" s="101"/>
      <c r="AF282" s="102"/>
      <c r="AG282" s="102"/>
      <c r="AH282" s="102"/>
      <c r="AI282" s="101"/>
      <c r="AJ282" s="88"/>
      <c r="AK282" s="88"/>
      <c r="AM282" s="71"/>
      <c r="AN282" s="101"/>
      <c r="AO282" s="101"/>
      <c r="AP282" s="101"/>
      <c r="AQ282" s="101"/>
      <c r="AR282" s="103"/>
      <c r="AS282" s="103"/>
      <c r="AT282" s="103"/>
      <c r="AU282" s="103"/>
      <c r="AV282" s="103"/>
      <c r="BA282" s="103"/>
      <c r="BF282" s="103"/>
      <c r="BG282" s="103"/>
      <c r="BH282" s="103"/>
      <c r="CK282" s="103"/>
      <c r="CL282" s="103"/>
      <c r="CM282" s="103"/>
      <c r="CN282" s="103"/>
      <c r="CO282" s="103"/>
      <c r="CP282" s="103"/>
      <c r="CQ282" s="103"/>
      <c r="CR282" s="103"/>
      <c r="CS282" s="103"/>
      <c r="CT282" s="103"/>
      <c r="DH282" s="103"/>
      <c r="DI282" s="103"/>
      <c r="DJ282" s="103"/>
      <c r="DK282" s="103"/>
      <c r="DL282" s="103"/>
      <c r="DM282" s="103"/>
      <c r="DN282" s="103"/>
      <c r="DO282" s="103"/>
      <c r="DP282" s="103"/>
      <c r="DQ282" s="103"/>
    </row>
    <row r="283" spans="1:121" s="90" customFormat="1" x14ac:dyDescent="0.25">
      <c r="A283" s="71"/>
      <c r="B283" s="71"/>
      <c r="C283" s="71"/>
      <c r="D283" s="71"/>
      <c r="E283" s="71"/>
      <c r="F283" s="101"/>
      <c r="G283" s="101"/>
      <c r="H283" s="71"/>
      <c r="I283" s="71"/>
      <c r="J283" s="71"/>
      <c r="K283" s="101"/>
      <c r="L283" s="101"/>
      <c r="M283" s="101"/>
      <c r="N283" s="71"/>
      <c r="O283" s="71"/>
      <c r="P283" s="71"/>
      <c r="Q283" s="71"/>
      <c r="R283" s="101"/>
      <c r="S283" s="101"/>
      <c r="T283" s="71"/>
      <c r="U283" s="101"/>
      <c r="V283" s="101"/>
      <c r="W283" s="102"/>
      <c r="X283" s="102"/>
      <c r="Y283" s="102"/>
      <c r="Z283" s="102"/>
      <c r="AA283" s="102"/>
      <c r="AB283" s="102"/>
      <c r="AC283" s="71"/>
      <c r="AD283" s="101"/>
      <c r="AE283" s="101"/>
      <c r="AF283" s="102"/>
      <c r="AG283" s="102"/>
      <c r="AH283" s="102"/>
      <c r="AI283" s="101"/>
      <c r="AJ283" s="88"/>
      <c r="AK283" s="88"/>
      <c r="AM283" s="71"/>
      <c r="AN283" s="101"/>
      <c r="AO283" s="101"/>
      <c r="AP283" s="101"/>
      <c r="AQ283" s="101"/>
      <c r="AR283" s="103"/>
      <c r="AS283" s="103"/>
      <c r="AT283" s="103"/>
      <c r="AU283" s="103"/>
      <c r="AV283" s="103"/>
      <c r="BA283" s="103"/>
      <c r="BF283" s="103"/>
      <c r="BG283" s="103"/>
      <c r="BH283" s="103"/>
      <c r="CK283" s="103"/>
      <c r="CL283" s="103"/>
      <c r="CM283" s="103"/>
      <c r="CN283" s="103"/>
      <c r="CO283" s="103"/>
      <c r="CP283" s="103"/>
      <c r="CQ283" s="103"/>
      <c r="CR283" s="103"/>
      <c r="CS283" s="103"/>
      <c r="CT283" s="103"/>
      <c r="DH283" s="103"/>
      <c r="DI283" s="103"/>
      <c r="DJ283" s="103"/>
      <c r="DK283" s="103"/>
      <c r="DL283" s="103"/>
      <c r="DM283" s="103"/>
      <c r="DN283" s="103"/>
      <c r="DO283" s="103"/>
      <c r="DP283" s="103"/>
      <c r="DQ283" s="103"/>
    </row>
    <row r="284" spans="1:121" s="90" customFormat="1" x14ac:dyDescent="0.25">
      <c r="A284" s="71"/>
      <c r="B284" s="71"/>
      <c r="C284" s="71"/>
      <c r="D284" s="71"/>
      <c r="E284" s="71"/>
      <c r="F284" s="101"/>
      <c r="G284" s="101"/>
      <c r="H284" s="71"/>
      <c r="I284" s="71"/>
      <c r="J284" s="71"/>
      <c r="K284" s="101"/>
      <c r="L284" s="101"/>
      <c r="M284" s="101"/>
      <c r="N284" s="71"/>
      <c r="O284" s="71"/>
      <c r="P284" s="71"/>
      <c r="Q284" s="71"/>
      <c r="R284" s="101"/>
      <c r="S284" s="101"/>
      <c r="T284" s="71"/>
      <c r="U284" s="101"/>
      <c r="V284" s="101"/>
      <c r="W284" s="102"/>
      <c r="X284" s="102"/>
      <c r="Y284" s="102"/>
      <c r="Z284" s="102"/>
      <c r="AA284" s="102"/>
      <c r="AB284" s="102"/>
      <c r="AC284" s="71"/>
      <c r="AD284" s="101"/>
      <c r="AE284" s="101"/>
      <c r="AF284" s="102"/>
      <c r="AG284" s="102"/>
      <c r="AH284" s="102"/>
      <c r="AI284" s="101"/>
      <c r="AJ284" s="88"/>
      <c r="AK284" s="88"/>
      <c r="AM284" s="71"/>
      <c r="AN284" s="101"/>
      <c r="AO284" s="101"/>
      <c r="AP284" s="101"/>
      <c r="AQ284" s="101"/>
      <c r="AR284" s="103"/>
      <c r="AS284" s="103"/>
      <c r="AT284" s="103"/>
      <c r="AU284" s="103"/>
      <c r="AV284" s="103"/>
      <c r="BA284" s="103"/>
      <c r="BF284" s="103"/>
      <c r="BG284" s="103"/>
      <c r="BH284" s="103"/>
      <c r="CK284" s="103"/>
      <c r="CL284" s="103"/>
      <c r="CM284" s="103"/>
      <c r="CN284" s="103"/>
      <c r="CO284" s="103"/>
      <c r="CP284" s="103"/>
      <c r="CQ284" s="103"/>
      <c r="CR284" s="103"/>
      <c r="CS284" s="103"/>
      <c r="CT284" s="103"/>
      <c r="DH284" s="103"/>
      <c r="DI284" s="103"/>
      <c r="DJ284" s="103"/>
      <c r="DK284" s="103"/>
      <c r="DL284" s="103"/>
      <c r="DM284" s="103"/>
      <c r="DN284" s="103"/>
      <c r="DO284" s="103"/>
      <c r="DP284" s="103"/>
      <c r="DQ284" s="103"/>
    </row>
    <row r="285" spans="1:121" s="90" customFormat="1" x14ac:dyDescent="0.25">
      <c r="A285" s="71"/>
      <c r="B285" s="71"/>
      <c r="C285" s="71"/>
      <c r="D285" s="71"/>
      <c r="E285" s="71"/>
      <c r="F285" s="101"/>
      <c r="G285" s="101"/>
      <c r="H285" s="71"/>
      <c r="I285" s="71"/>
      <c r="J285" s="71"/>
      <c r="K285" s="101"/>
      <c r="L285" s="101"/>
      <c r="M285" s="101"/>
      <c r="N285" s="71"/>
      <c r="O285" s="71"/>
      <c r="P285" s="71"/>
      <c r="Q285" s="71"/>
      <c r="R285" s="101"/>
      <c r="S285" s="101"/>
      <c r="T285" s="71"/>
      <c r="U285" s="101"/>
      <c r="V285" s="101"/>
      <c r="W285" s="102"/>
      <c r="X285" s="102"/>
      <c r="Y285" s="102"/>
      <c r="Z285" s="102"/>
      <c r="AA285" s="102"/>
      <c r="AB285" s="102"/>
      <c r="AC285" s="71"/>
      <c r="AD285" s="101"/>
      <c r="AE285" s="101"/>
      <c r="AF285" s="102"/>
      <c r="AG285" s="102"/>
      <c r="AH285" s="102"/>
      <c r="AI285" s="101"/>
      <c r="AJ285" s="88"/>
      <c r="AK285" s="88"/>
      <c r="AM285" s="71"/>
      <c r="AN285" s="101"/>
      <c r="AO285" s="101"/>
      <c r="AP285" s="101"/>
      <c r="AQ285" s="101"/>
      <c r="AR285" s="103"/>
      <c r="AS285" s="103"/>
      <c r="AT285" s="103"/>
      <c r="AU285" s="103"/>
      <c r="AV285" s="103"/>
      <c r="BA285" s="103"/>
      <c r="BF285" s="103"/>
      <c r="BG285" s="103"/>
      <c r="BH285" s="103"/>
      <c r="CK285" s="103"/>
      <c r="CL285" s="103"/>
      <c r="CM285" s="103"/>
      <c r="CN285" s="103"/>
      <c r="CO285" s="103"/>
      <c r="CP285" s="103"/>
      <c r="CQ285" s="103"/>
      <c r="CR285" s="103"/>
      <c r="CS285" s="103"/>
      <c r="CT285" s="103"/>
      <c r="DH285" s="103"/>
      <c r="DI285" s="103"/>
      <c r="DJ285" s="103"/>
      <c r="DK285" s="103"/>
      <c r="DL285" s="103"/>
      <c r="DM285" s="103"/>
      <c r="DN285" s="103"/>
      <c r="DO285" s="103"/>
      <c r="DP285" s="103"/>
      <c r="DQ285" s="103"/>
    </row>
    <row r="286" spans="1:121" s="90" customFormat="1" x14ac:dyDescent="0.25">
      <c r="A286" s="71"/>
      <c r="B286" s="71"/>
      <c r="C286" s="71"/>
      <c r="D286" s="71"/>
      <c r="E286" s="71"/>
      <c r="F286" s="101"/>
      <c r="G286" s="101"/>
      <c r="H286" s="71"/>
      <c r="I286" s="71"/>
      <c r="J286" s="71"/>
      <c r="K286" s="101"/>
      <c r="L286" s="101"/>
      <c r="M286" s="101"/>
      <c r="N286" s="71"/>
      <c r="O286" s="71"/>
      <c r="P286" s="71"/>
      <c r="Q286" s="71"/>
      <c r="R286" s="101"/>
      <c r="S286" s="101"/>
      <c r="T286" s="71"/>
      <c r="U286" s="101"/>
      <c r="V286" s="101"/>
      <c r="W286" s="102"/>
      <c r="X286" s="102"/>
      <c r="Y286" s="102"/>
      <c r="Z286" s="102"/>
      <c r="AA286" s="102"/>
      <c r="AB286" s="102"/>
      <c r="AC286" s="71"/>
      <c r="AD286" s="101"/>
      <c r="AE286" s="101"/>
      <c r="AF286" s="102"/>
      <c r="AG286" s="102"/>
      <c r="AH286" s="102"/>
      <c r="AI286" s="101"/>
      <c r="AJ286" s="88"/>
      <c r="AK286" s="88"/>
      <c r="AM286" s="71"/>
      <c r="AN286" s="101"/>
      <c r="AO286" s="101"/>
      <c r="AP286" s="101"/>
      <c r="AQ286" s="101"/>
      <c r="AR286" s="103"/>
      <c r="AS286" s="103"/>
      <c r="AT286" s="103"/>
      <c r="AU286" s="103"/>
      <c r="AV286" s="103"/>
      <c r="BA286" s="103"/>
      <c r="BF286" s="103"/>
      <c r="BG286" s="103"/>
      <c r="BH286" s="103"/>
      <c r="CK286" s="103"/>
      <c r="CL286" s="103"/>
      <c r="CM286" s="103"/>
      <c r="CN286" s="103"/>
      <c r="CO286" s="103"/>
      <c r="CP286" s="103"/>
      <c r="CQ286" s="103"/>
      <c r="CR286" s="103"/>
      <c r="CS286" s="103"/>
      <c r="CT286" s="103"/>
      <c r="DH286" s="103"/>
      <c r="DI286" s="103"/>
      <c r="DJ286" s="103"/>
      <c r="DK286" s="103"/>
      <c r="DL286" s="103"/>
      <c r="DM286" s="103"/>
      <c r="DN286" s="103"/>
      <c r="DO286" s="103"/>
      <c r="DP286" s="103"/>
      <c r="DQ286" s="103"/>
    </row>
    <row r="287" spans="1:121" s="90" customFormat="1" x14ac:dyDescent="0.25">
      <c r="A287" s="71"/>
      <c r="B287" s="71"/>
      <c r="C287" s="71"/>
      <c r="D287" s="71"/>
      <c r="E287" s="71"/>
      <c r="F287" s="101"/>
      <c r="G287" s="101"/>
      <c r="H287" s="71"/>
      <c r="I287" s="71"/>
      <c r="J287" s="71"/>
      <c r="K287" s="101"/>
      <c r="L287" s="101"/>
      <c r="M287" s="101"/>
      <c r="N287" s="71"/>
      <c r="O287" s="71"/>
      <c r="P287" s="71"/>
      <c r="Q287" s="71"/>
      <c r="R287" s="101"/>
      <c r="S287" s="101"/>
      <c r="T287" s="71"/>
      <c r="U287" s="101"/>
      <c r="V287" s="101"/>
      <c r="W287" s="102"/>
      <c r="X287" s="102"/>
      <c r="Y287" s="102"/>
      <c r="Z287" s="102"/>
      <c r="AA287" s="102"/>
      <c r="AB287" s="102"/>
      <c r="AC287" s="71"/>
      <c r="AD287" s="101"/>
      <c r="AE287" s="101"/>
      <c r="AF287" s="102"/>
      <c r="AG287" s="102"/>
      <c r="AH287" s="102"/>
      <c r="AI287" s="101"/>
      <c r="AJ287" s="88"/>
      <c r="AK287" s="88"/>
      <c r="AM287" s="71"/>
      <c r="AN287" s="101"/>
      <c r="AO287" s="101"/>
      <c r="AP287" s="101"/>
      <c r="AQ287" s="101"/>
      <c r="AR287" s="103"/>
      <c r="AS287" s="103"/>
      <c r="AT287" s="103"/>
      <c r="AU287" s="103"/>
      <c r="AV287" s="103"/>
      <c r="BA287" s="103"/>
      <c r="BF287" s="103"/>
      <c r="BG287" s="103"/>
      <c r="BH287" s="103"/>
      <c r="CK287" s="103"/>
      <c r="CL287" s="103"/>
      <c r="CM287" s="103"/>
      <c r="CN287" s="103"/>
      <c r="CO287" s="103"/>
      <c r="CP287" s="103"/>
      <c r="CQ287" s="103"/>
      <c r="CR287" s="103"/>
      <c r="CS287" s="103"/>
      <c r="CT287" s="103"/>
      <c r="DH287" s="103"/>
      <c r="DI287" s="103"/>
      <c r="DJ287" s="103"/>
      <c r="DK287" s="103"/>
      <c r="DL287" s="103"/>
      <c r="DM287" s="103"/>
      <c r="DN287" s="103"/>
      <c r="DO287" s="103"/>
      <c r="DP287" s="103"/>
      <c r="DQ287" s="103"/>
    </row>
    <row r="288" spans="1:121" s="90" customFormat="1" x14ac:dyDescent="0.25">
      <c r="A288" s="71"/>
      <c r="B288" s="71"/>
      <c r="C288" s="71"/>
      <c r="D288" s="71"/>
      <c r="E288" s="71"/>
      <c r="F288" s="101"/>
      <c r="G288" s="101"/>
      <c r="H288" s="71"/>
      <c r="I288" s="71"/>
      <c r="J288" s="71"/>
      <c r="K288" s="101"/>
      <c r="L288" s="101"/>
      <c r="M288" s="101"/>
      <c r="N288" s="71"/>
      <c r="O288" s="71"/>
      <c r="P288" s="71"/>
      <c r="Q288" s="71"/>
      <c r="R288" s="101"/>
      <c r="S288" s="101"/>
      <c r="T288" s="71"/>
      <c r="U288" s="101"/>
      <c r="V288" s="101"/>
      <c r="W288" s="102"/>
      <c r="X288" s="102"/>
      <c r="Y288" s="102"/>
      <c r="Z288" s="102"/>
      <c r="AA288" s="102"/>
      <c r="AB288" s="102"/>
      <c r="AC288" s="71"/>
      <c r="AD288" s="101"/>
      <c r="AE288" s="101"/>
      <c r="AF288" s="102"/>
      <c r="AG288" s="102"/>
      <c r="AH288" s="102"/>
      <c r="AI288" s="101"/>
      <c r="AJ288" s="88"/>
      <c r="AK288" s="88"/>
      <c r="AM288" s="71"/>
      <c r="AN288" s="101"/>
      <c r="AO288" s="101"/>
      <c r="AP288" s="101"/>
      <c r="AQ288" s="101"/>
      <c r="AR288" s="103"/>
      <c r="AS288" s="103"/>
      <c r="AT288" s="103"/>
      <c r="AU288" s="103"/>
      <c r="AV288" s="103"/>
      <c r="BA288" s="103"/>
      <c r="BF288" s="103"/>
      <c r="BG288" s="103"/>
      <c r="BH288" s="103"/>
      <c r="CK288" s="103"/>
      <c r="CL288" s="103"/>
      <c r="CM288" s="103"/>
      <c r="CN288" s="103"/>
      <c r="CO288" s="103"/>
      <c r="CP288" s="103"/>
      <c r="CQ288" s="103"/>
      <c r="CR288" s="103"/>
      <c r="CS288" s="103"/>
      <c r="CT288" s="103"/>
      <c r="DH288" s="103"/>
      <c r="DI288" s="103"/>
      <c r="DJ288" s="103"/>
      <c r="DK288" s="103"/>
      <c r="DL288" s="103"/>
      <c r="DM288" s="103"/>
      <c r="DN288" s="103"/>
      <c r="DO288" s="103"/>
      <c r="DP288" s="103"/>
      <c r="DQ288" s="103"/>
    </row>
    <row r="289" spans="1:121" s="90" customFormat="1" x14ac:dyDescent="0.25">
      <c r="A289" s="71"/>
      <c r="B289" s="71"/>
      <c r="C289" s="71"/>
      <c r="D289" s="71"/>
      <c r="E289" s="71"/>
      <c r="F289" s="101"/>
      <c r="G289" s="101"/>
      <c r="H289" s="71"/>
      <c r="I289" s="71"/>
      <c r="J289" s="71"/>
      <c r="K289" s="101"/>
      <c r="L289" s="101"/>
      <c r="M289" s="101"/>
      <c r="N289" s="71"/>
      <c r="O289" s="71"/>
      <c r="P289" s="71"/>
      <c r="Q289" s="71"/>
      <c r="R289" s="101"/>
      <c r="S289" s="101"/>
      <c r="T289" s="71"/>
      <c r="U289" s="101"/>
      <c r="V289" s="101"/>
      <c r="W289" s="102"/>
      <c r="X289" s="102"/>
      <c r="Y289" s="102"/>
      <c r="Z289" s="102"/>
      <c r="AA289" s="102"/>
      <c r="AB289" s="102"/>
      <c r="AC289" s="71"/>
      <c r="AD289" s="101"/>
      <c r="AE289" s="101"/>
      <c r="AF289" s="102"/>
      <c r="AG289" s="102"/>
      <c r="AH289" s="102"/>
      <c r="AI289" s="101"/>
      <c r="AJ289" s="88"/>
      <c r="AK289" s="88"/>
      <c r="AM289" s="71"/>
      <c r="AN289" s="101"/>
      <c r="AO289" s="101"/>
      <c r="AP289" s="101"/>
      <c r="AQ289" s="101"/>
      <c r="AR289" s="103"/>
      <c r="AS289" s="103"/>
      <c r="AT289" s="103"/>
      <c r="AU289" s="103"/>
      <c r="AV289" s="103"/>
      <c r="BA289" s="103"/>
      <c r="BF289" s="103"/>
      <c r="BG289" s="103"/>
      <c r="BH289" s="103"/>
      <c r="CK289" s="103"/>
      <c r="CL289" s="103"/>
      <c r="CM289" s="103"/>
      <c r="CN289" s="103"/>
      <c r="CO289" s="103"/>
      <c r="CP289" s="103"/>
      <c r="CQ289" s="103"/>
      <c r="CR289" s="103"/>
      <c r="CS289" s="103"/>
      <c r="CT289" s="103"/>
      <c r="DH289" s="103"/>
      <c r="DI289" s="103"/>
      <c r="DJ289" s="103"/>
      <c r="DK289" s="103"/>
      <c r="DL289" s="103"/>
      <c r="DM289" s="103"/>
      <c r="DN289" s="103"/>
      <c r="DO289" s="103"/>
      <c r="DP289" s="103"/>
      <c r="DQ289" s="103"/>
    </row>
    <row r="290" spans="1:121" s="90" customFormat="1" x14ac:dyDescent="0.25">
      <c r="A290" s="71"/>
      <c r="B290" s="71"/>
      <c r="C290" s="71"/>
      <c r="D290" s="71"/>
      <c r="E290" s="71"/>
      <c r="F290" s="101"/>
      <c r="G290" s="101"/>
      <c r="H290" s="71"/>
      <c r="I290" s="71"/>
      <c r="J290" s="71"/>
      <c r="K290" s="101"/>
      <c r="L290" s="101"/>
      <c r="M290" s="101"/>
      <c r="N290" s="71"/>
      <c r="O290" s="71"/>
      <c r="P290" s="71"/>
      <c r="Q290" s="71"/>
      <c r="R290" s="101"/>
      <c r="S290" s="101"/>
      <c r="T290" s="71"/>
      <c r="U290" s="101"/>
      <c r="V290" s="101"/>
      <c r="W290" s="102"/>
      <c r="X290" s="102"/>
      <c r="Y290" s="102"/>
      <c r="Z290" s="102"/>
      <c r="AA290" s="102"/>
      <c r="AB290" s="102"/>
      <c r="AC290" s="71"/>
      <c r="AD290" s="101"/>
      <c r="AE290" s="101"/>
      <c r="AF290" s="102"/>
      <c r="AG290" s="102"/>
      <c r="AH290" s="102"/>
      <c r="AI290" s="101"/>
      <c r="AJ290" s="88"/>
      <c r="AK290" s="88"/>
      <c r="AM290" s="71"/>
      <c r="AN290" s="101"/>
      <c r="AO290" s="101"/>
      <c r="AP290" s="101"/>
      <c r="AQ290" s="101"/>
      <c r="AR290" s="103"/>
      <c r="AS290" s="103"/>
      <c r="AT290" s="103"/>
      <c r="AU290" s="103"/>
      <c r="AV290" s="103"/>
      <c r="BA290" s="103"/>
      <c r="BF290" s="103"/>
      <c r="BG290" s="103"/>
      <c r="BH290" s="103"/>
      <c r="CK290" s="103"/>
      <c r="CL290" s="103"/>
      <c r="CM290" s="103"/>
      <c r="CN290" s="103"/>
      <c r="CO290" s="103"/>
      <c r="CP290" s="103"/>
      <c r="CQ290" s="103"/>
      <c r="CR290" s="103"/>
      <c r="CS290" s="103"/>
      <c r="CT290" s="103"/>
      <c r="DH290" s="103"/>
      <c r="DI290" s="103"/>
      <c r="DJ290" s="103"/>
      <c r="DK290" s="103"/>
      <c r="DL290" s="103"/>
      <c r="DM290" s="103"/>
      <c r="DN290" s="103"/>
      <c r="DO290" s="103"/>
      <c r="DP290" s="103"/>
      <c r="DQ290" s="103"/>
    </row>
    <row r="291" spans="1:121" s="90" customFormat="1" x14ac:dyDescent="0.25">
      <c r="A291" s="71"/>
      <c r="B291" s="71"/>
      <c r="C291" s="71"/>
      <c r="D291" s="71"/>
      <c r="E291" s="71"/>
      <c r="F291" s="101"/>
      <c r="G291" s="101"/>
      <c r="H291" s="71"/>
      <c r="I291" s="71"/>
      <c r="J291" s="71"/>
      <c r="K291" s="101"/>
      <c r="L291" s="101"/>
      <c r="M291" s="101"/>
      <c r="N291" s="71"/>
      <c r="O291" s="71"/>
      <c r="P291" s="71"/>
      <c r="Q291" s="71"/>
      <c r="R291" s="101"/>
      <c r="S291" s="101"/>
      <c r="T291" s="71"/>
      <c r="U291" s="101"/>
      <c r="V291" s="101"/>
      <c r="W291" s="102"/>
      <c r="X291" s="102"/>
      <c r="Y291" s="102"/>
      <c r="Z291" s="102"/>
      <c r="AA291" s="102"/>
      <c r="AB291" s="102"/>
      <c r="AC291" s="71"/>
      <c r="AD291" s="101"/>
      <c r="AE291" s="101"/>
      <c r="AF291" s="102"/>
      <c r="AG291" s="102"/>
      <c r="AH291" s="102"/>
      <c r="AI291" s="101"/>
      <c r="AJ291" s="88"/>
      <c r="AK291" s="88"/>
      <c r="AM291" s="71"/>
      <c r="AN291" s="101"/>
      <c r="AO291" s="101"/>
      <c r="AP291" s="101"/>
      <c r="AQ291" s="101"/>
      <c r="AR291" s="103"/>
      <c r="AS291" s="103"/>
      <c r="AT291" s="103"/>
      <c r="AU291" s="103"/>
      <c r="AV291" s="103"/>
      <c r="BA291" s="103"/>
      <c r="BF291" s="103"/>
      <c r="BG291" s="103"/>
      <c r="BH291" s="103"/>
      <c r="CK291" s="103"/>
      <c r="CL291" s="103"/>
      <c r="CM291" s="103"/>
      <c r="CN291" s="103"/>
      <c r="CO291" s="103"/>
      <c r="CP291" s="103"/>
      <c r="CQ291" s="103"/>
      <c r="CR291" s="103"/>
      <c r="CS291" s="103"/>
      <c r="CT291" s="103"/>
      <c r="DH291" s="103"/>
      <c r="DI291" s="103"/>
      <c r="DJ291" s="103"/>
      <c r="DK291" s="103"/>
      <c r="DL291" s="103"/>
      <c r="DM291" s="103"/>
      <c r="DN291" s="103"/>
      <c r="DO291" s="103"/>
      <c r="DP291" s="103"/>
      <c r="DQ291" s="103"/>
    </row>
    <row r="292" spans="1:121" s="90" customFormat="1" x14ac:dyDescent="0.25">
      <c r="A292" s="71"/>
      <c r="B292" s="71"/>
      <c r="C292" s="71"/>
      <c r="D292" s="71"/>
      <c r="E292" s="71"/>
      <c r="F292" s="101"/>
      <c r="G292" s="101"/>
      <c r="H292" s="71"/>
      <c r="I292" s="71"/>
      <c r="J292" s="71"/>
      <c r="K292" s="101"/>
      <c r="L292" s="101"/>
      <c r="M292" s="101"/>
      <c r="N292" s="71"/>
      <c r="O292" s="71"/>
      <c r="P292" s="71"/>
      <c r="Q292" s="71"/>
      <c r="R292" s="101"/>
      <c r="S292" s="101"/>
      <c r="T292" s="71"/>
      <c r="U292" s="101"/>
      <c r="V292" s="101"/>
      <c r="W292" s="102"/>
      <c r="X292" s="102"/>
      <c r="Y292" s="102"/>
      <c r="Z292" s="102"/>
      <c r="AA292" s="102"/>
      <c r="AB292" s="102"/>
      <c r="AC292" s="71"/>
      <c r="AD292" s="101"/>
      <c r="AE292" s="101"/>
      <c r="AF292" s="102"/>
      <c r="AG292" s="102"/>
      <c r="AH292" s="102"/>
      <c r="AI292" s="101"/>
      <c r="AJ292" s="88"/>
      <c r="AK292" s="88"/>
      <c r="AM292" s="71"/>
      <c r="AN292" s="101"/>
      <c r="AO292" s="101"/>
      <c r="AP292" s="101"/>
      <c r="AQ292" s="101"/>
      <c r="AR292" s="103"/>
      <c r="AS292" s="103"/>
      <c r="AT292" s="103"/>
      <c r="AU292" s="103"/>
      <c r="AV292" s="103"/>
      <c r="BA292" s="103"/>
      <c r="BF292" s="103"/>
      <c r="BG292" s="103"/>
      <c r="BH292" s="103"/>
      <c r="CK292" s="103"/>
      <c r="CL292" s="103"/>
      <c r="CM292" s="103"/>
      <c r="CN292" s="103"/>
      <c r="CO292" s="103"/>
      <c r="CP292" s="103"/>
      <c r="CQ292" s="103"/>
      <c r="CR292" s="103"/>
      <c r="CS292" s="103"/>
      <c r="CT292" s="103"/>
      <c r="DH292" s="103"/>
      <c r="DI292" s="103"/>
      <c r="DJ292" s="103"/>
      <c r="DK292" s="103"/>
      <c r="DL292" s="103"/>
      <c r="DM292" s="103"/>
      <c r="DN292" s="103"/>
      <c r="DO292" s="103"/>
      <c r="DP292" s="103"/>
      <c r="DQ292" s="103"/>
    </row>
    <row r="293" spans="1:121" s="90" customFormat="1" x14ac:dyDescent="0.25">
      <c r="A293" s="71"/>
      <c r="B293" s="71"/>
      <c r="C293" s="71"/>
      <c r="D293" s="71"/>
      <c r="E293" s="71"/>
      <c r="F293" s="101"/>
      <c r="G293" s="101"/>
      <c r="H293" s="71"/>
      <c r="I293" s="71"/>
      <c r="J293" s="71"/>
      <c r="K293" s="101"/>
      <c r="L293" s="101"/>
      <c r="M293" s="101"/>
      <c r="N293" s="71"/>
      <c r="O293" s="71"/>
      <c r="P293" s="71"/>
      <c r="Q293" s="71"/>
      <c r="R293" s="101"/>
      <c r="S293" s="101"/>
      <c r="T293" s="71"/>
      <c r="U293" s="101"/>
      <c r="V293" s="101"/>
      <c r="W293" s="102"/>
      <c r="X293" s="102"/>
      <c r="Y293" s="102"/>
      <c r="Z293" s="102"/>
      <c r="AA293" s="102"/>
      <c r="AB293" s="102"/>
      <c r="AC293" s="71"/>
      <c r="AD293" s="101"/>
      <c r="AE293" s="101"/>
      <c r="AF293" s="102"/>
      <c r="AG293" s="102"/>
      <c r="AH293" s="102"/>
      <c r="AI293" s="101"/>
      <c r="AJ293" s="88"/>
      <c r="AK293" s="88"/>
      <c r="AM293" s="71"/>
      <c r="AN293" s="101"/>
      <c r="AO293" s="101"/>
      <c r="AP293" s="101"/>
      <c r="AQ293" s="101"/>
      <c r="AR293" s="103"/>
      <c r="AS293" s="103"/>
      <c r="AT293" s="103"/>
      <c r="AU293" s="103"/>
      <c r="AV293" s="103"/>
      <c r="BA293" s="103"/>
      <c r="BF293" s="103"/>
      <c r="BG293" s="103"/>
      <c r="BH293" s="103"/>
      <c r="CK293" s="103"/>
      <c r="CL293" s="103"/>
      <c r="CM293" s="103"/>
      <c r="CN293" s="103"/>
      <c r="CO293" s="103"/>
      <c r="CP293" s="103"/>
      <c r="CQ293" s="103"/>
      <c r="CR293" s="103"/>
      <c r="CS293" s="103"/>
      <c r="CT293" s="103"/>
      <c r="DH293" s="103"/>
      <c r="DI293" s="103"/>
      <c r="DJ293" s="103"/>
      <c r="DK293" s="103"/>
      <c r="DL293" s="103"/>
      <c r="DM293" s="103"/>
      <c r="DN293" s="103"/>
      <c r="DO293" s="103"/>
      <c r="DP293" s="103"/>
      <c r="DQ293" s="103"/>
    </row>
    <row r="294" spans="1:121" s="90" customFormat="1" x14ac:dyDescent="0.25">
      <c r="A294" s="71"/>
      <c r="B294" s="71"/>
      <c r="C294" s="71"/>
      <c r="D294" s="71"/>
      <c r="E294" s="71"/>
      <c r="F294" s="101"/>
      <c r="G294" s="101"/>
      <c r="H294" s="71"/>
      <c r="I294" s="71"/>
      <c r="J294" s="71"/>
      <c r="K294" s="101"/>
      <c r="L294" s="101"/>
      <c r="M294" s="101"/>
      <c r="N294" s="71"/>
      <c r="O294" s="71"/>
      <c r="P294" s="71"/>
      <c r="Q294" s="71"/>
      <c r="R294" s="101"/>
      <c r="S294" s="101"/>
      <c r="T294" s="71"/>
      <c r="U294" s="101"/>
      <c r="V294" s="101"/>
      <c r="W294" s="102"/>
      <c r="X294" s="102"/>
      <c r="Y294" s="102"/>
      <c r="Z294" s="102"/>
      <c r="AA294" s="102"/>
      <c r="AB294" s="102"/>
      <c r="AC294" s="71"/>
      <c r="AD294" s="101"/>
      <c r="AE294" s="101"/>
      <c r="AF294" s="102"/>
      <c r="AG294" s="102"/>
      <c r="AH294" s="102"/>
      <c r="AI294" s="101"/>
      <c r="AJ294" s="88"/>
      <c r="AK294" s="88"/>
      <c r="AM294" s="71"/>
      <c r="AN294" s="101"/>
      <c r="AO294" s="101"/>
      <c r="AP294" s="101"/>
      <c r="AQ294" s="101"/>
      <c r="AR294" s="103"/>
      <c r="AS294" s="103"/>
      <c r="AT294" s="103"/>
      <c r="AU294" s="103"/>
      <c r="AV294" s="103"/>
      <c r="BA294" s="103"/>
      <c r="BF294" s="103"/>
      <c r="BG294" s="103"/>
      <c r="BH294" s="103"/>
      <c r="CK294" s="103"/>
      <c r="CL294" s="103"/>
      <c r="CM294" s="103"/>
      <c r="CN294" s="103"/>
      <c r="CO294" s="103"/>
      <c r="CP294" s="103"/>
      <c r="CQ294" s="103"/>
      <c r="CR294" s="103"/>
      <c r="CS294" s="103"/>
      <c r="CT294" s="103"/>
      <c r="DH294" s="103"/>
      <c r="DI294" s="103"/>
      <c r="DJ294" s="103"/>
      <c r="DK294" s="103"/>
      <c r="DL294" s="103"/>
      <c r="DM294" s="103"/>
      <c r="DN294" s="103"/>
      <c r="DO294" s="103"/>
      <c r="DP294" s="103"/>
      <c r="DQ294" s="103"/>
    </row>
    <row r="295" spans="1:121" s="90" customFormat="1" x14ac:dyDescent="0.25">
      <c r="A295" s="71"/>
      <c r="B295" s="71"/>
      <c r="C295" s="71"/>
      <c r="D295" s="71"/>
      <c r="E295" s="71"/>
      <c r="F295" s="101"/>
      <c r="G295" s="101"/>
      <c r="H295" s="71"/>
      <c r="I295" s="71"/>
      <c r="J295" s="71"/>
      <c r="K295" s="101"/>
      <c r="L295" s="101"/>
      <c r="M295" s="101"/>
      <c r="N295" s="71"/>
      <c r="O295" s="71"/>
      <c r="P295" s="71"/>
      <c r="Q295" s="71"/>
      <c r="R295" s="101"/>
      <c r="S295" s="101"/>
      <c r="T295" s="71"/>
      <c r="U295" s="101"/>
      <c r="V295" s="101"/>
      <c r="W295" s="102"/>
      <c r="X295" s="102"/>
      <c r="Y295" s="102"/>
      <c r="Z295" s="102"/>
      <c r="AA295" s="102"/>
      <c r="AB295" s="102"/>
      <c r="AC295" s="71"/>
      <c r="AD295" s="101"/>
      <c r="AE295" s="101"/>
      <c r="AF295" s="102"/>
      <c r="AG295" s="102"/>
      <c r="AH295" s="102"/>
      <c r="AI295" s="101"/>
      <c r="AJ295" s="88"/>
      <c r="AK295" s="88"/>
      <c r="AM295" s="71"/>
      <c r="AN295" s="101"/>
      <c r="AO295" s="101"/>
      <c r="AP295" s="101"/>
      <c r="AQ295" s="101"/>
      <c r="AR295" s="103"/>
      <c r="AS295" s="103"/>
      <c r="AT295" s="103"/>
      <c r="AU295" s="103"/>
      <c r="AV295" s="103"/>
      <c r="BA295" s="103"/>
      <c r="BF295" s="103"/>
      <c r="BG295" s="103"/>
      <c r="BH295" s="103"/>
      <c r="CK295" s="103"/>
      <c r="CL295" s="103"/>
      <c r="CM295" s="103"/>
      <c r="CN295" s="103"/>
      <c r="CO295" s="103"/>
      <c r="CP295" s="103"/>
      <c r="CQ295" s="103"/>
      <c r="CR295" s="103"/>
      <c r="CS295" s="103"/>
      <c r="CT295" s="103"/>
      <c r="DH295" s="103"/>
      <c r="DI295" s="103"/>
      <c r="DJ295" s="103"/>
      <c r="DK295" s="103"/>
      <c r="DL295" s="103"/>
      <c r="DM295" s="103"/>
      <c r="DN295" s="103"/>
      <c r="DO295" s="103"/>
      <c r="DP295" s="103"/>
      <c r="DQ295" s="103"/>
    </row>
    <row r="296" spans="1:121" s="90" customFormat="1" x14ac:dyDescent="0.25">
      <c r="A296" s="71"/>
      <c r="B296" s="71"/>
      <c r="C296" s="71"/>
      <c r="D296" s="71"/>
      <c r="E296" s="71"/>
      <c r="F296" s="101"/>
      <c r="G296" s="101"/>
      <c r="H296" s="71"/>
      <c r="I296" s="71"/>
      <c r="J296" s="71"/>
      <c r="K296" s="101"/>
      <c r="L296" s="101"/>
      <c r="M296" s="101"/>
      <c r="N296" s="71"/>
      <c r="O296" s="71"/>
      <c r="P296" s="71"/>
      <c r="Q296" s="71"/>
      <c r="R296" s="101"/>
      <c r="S296" s="101"/>
      <c r="T296" s="71"/>
      <c r="U296" s="101"/>
      <c r="V296" s="101"/>
      <c r="W296" s="102"/>
      <c r="X296" s="102"/>
      <c r="Y296" s="102"/>
      <c r="Z296" s="102"/>
      <c r="AA296" s="102"/>
      <c r="AB296" s="102"/>
      <c r="AC296" s="71"/>
      <c r="AD296" s="101"/>
      <c r="AE296" s="101"/>
      <c r="AF296" s="102"/>
      <c r="AG296" s="102"/>
      <c r="AH296" s="102"/>
      <c r="AI296" s="101"/>
      <c r="AJ296" s="88"/>
      <c r="AK296" s="88"/>
      <c r="AM296" s="71"/>
      <c r="AN296" s="101"/>
      <c r="AO296" s="101"/>
      <c r="AP296" s="101"/>
      <c r="AQ296" s="101"/>
      <c r="AR296" s="103"/>
      <c r="AS296" s="103"/>
      <c r="AT296" s="103"/>
      <c r="AU296" s="103"/>
      <c r="AV296" s="103"/>
      <c r="BA296" s="103"/>
      <c r="BF296" s="103"/>
      <c r="BG296" s="103"/>
      <c r="BH296" s="103"/>
      <c r="CK296" s="103"/>
      <c r="CL296" s="103"/>
      <c r="CM296" s="103"/>
      <c r="CN296" s="103"/>
      <c r="CO296" s="103"/>
      <c r="CP296" s="103"/>
      <c r="CQ296" s="103"/>
      <c r="CR296" s="103"/>
      <c r="CS296" s="103"/>
      <c r="CT296" s="103"/>
      <c r="DH296" s="103"/>
      <c r="DI296" s="103"/>
      <c r="DJ296" s="103"/>
      <c r="DK296" s="103"/>
      <c r="DL296" s="103"/>
      <c r="DM296" s="103"/>
      <c r="DN296" s="103"/>
      <c r="DO296" s="103"/>
      <c r="DP296" s="103"/>
      <c r="DQ296" s="103"/>
    </row>
    <row r="297" spans="1:121" s="90" customFormat="1" x14ac:dyDescent="0.25">
      <c r="A297" s="71"/>
      <c r="B297" s="71"/>
      <c r="C297" s="71"/>
      <c r="D297" s="71"/>
      <c r="E297" s="71"/>
      <c r="F297" s="101"/>
      <c r="G297" s="101"/>
      <c r="H297" s="71"/>
      <c r="I297" s="71"/>
      <c r="J297" s="71"/>
      <c r="K297" s="101"/>
      <c r="L297" s="101"/>
      <c r="M297" s="101"/>
      <c r="N297" s="71"/>
      <c r="O297" s="71"/>
      <c r="P297" s="71"/>
      <c r="Q297" s="71"/>
      <c r="R297" s="101"/>
      <c r="S297" s="101"/>
      <c r="T297" s="71"/>
      <c r="U297" s="101"/>
      <c r="V297" s="101"/>
      <c r="W297" s="102"/>
      <c r="X297" s="102"/>
      <c r="Y297" s="102"/>
      <c r="Z297" s="102"/>
      <c r="AA297" s="102"/>
      <c r="AB297" s="102"/>
      <c r="AC297" s="71"/>
      <c r="AD297" s="101"/>
      <c r="AE297" s="101"/>
      <c r="AF297" s="102"/>
      <c r="AG297" s="102"/>
      <c r="AH297" s="102"/>
      <c r="AI297" s="101"/>
      <c r="AJ297" s="88"/>
      <c r="AK297" s="88"/>
      <c r="AM297" s="71"/>
      <c r="AN297" s="101"/>
      <c r="AO297" s="101"/>
      <c r="AP297" s="101"/>
      <c r="AQ297" s="101"/>
      <c r="AR297" s="103"/>
      <c r="AS297" s="103"/>
      <c r="AT297" s="103"/>
      <c r="AU297" s="103"/>
      <c r="AV297" s="103"/>
      <c r="BA297" s="103"/>
      <c r="BF297" s="103"/>
      <c r="BG297" s="103"/>
      <c r="BH297" s="103"/>
      <c r="CK297" s="103"/>
      <c r="CL297" s="103"/>
      <c r="CM297" s="103"/>
      <c r="CN297" s="103"/>
      <c r="CO297" s="103"/>
      <c r="CP297" s="103"/>
      <c r="CQ297" s="103"/>
      <c r="CR297" s="103"/>
      <c r="CS297" s="103"/>
      <c r="CT297" s="103"/>
      <c r="DH297" s="103"/>
      <c r="DI297" s="103"/>
      <c r="DJ297" s="103"/>
      <c r="DK297" s="103"/>
      <c r="DL297" s="103"/>
      <c r="DM297" s="103"/>
      <c r="DN297" s="103"/>
      <c r="DO297" s="103"/>
      <c r="DP297" s="103"/>
      <c r="DQ297" s="103"/>
    </row>
    <row r="298" spans="1:121" s="90" customFormat="1" x14ac:dyDescent="0.25">
      <c r="A298" s="71"/>
      <c r="B298" s="71"/>
      <c r="C298" s="71"/>
      <c r="D298" s="71"/>
      <c r="E298" s="71"/>
      <c r="F298" s="101"/>
      <c r="G298" s="101"/>
      <c r="H298" s="71"/>
      <c r="I298" s="71"/>
      <c r="J298" s="71"/>
      <c r="K298" s="101"/>
      <c r="L298" s="101"/>
      <c r="M298" s="101"/>
      <c r="N298" s="71"/>
      <c r="O298" s="71"/>
      <c r="P298" s="71"/>
      <c r="Q298" s="71"/>
      <c r="R298" s="101"/>
      <c r="S298" s="101"/>
      <c r="T298" s="71"/>
      <c r="U298" s="101"/>
      <c r="V298" s="101"/>
      <c r="W298" s="102"/>
      <c r="X298" s="102"/>
      <c r="Y298" s="102"/>
      <c r="Z298" s="102"/>
      <c r="AA298" s="102"/>
      <c r="AB298" s="102"/>
      <c r="AC298" s="71"/>
      <c r="AD298" s="101"/>
      <c r="AE298" s="101"/>
      <c r="AF298" s="102"/>
      <c r="AG298" s="102"/>
      <c r="AH298" s="102"/>
      <c r="AI298" s="101"/>
      <c r="AJ298" s="88"/>
      <c r="AK298" s="88"/>
      <c r="AM298" s="71"/>
      <c r="AN298" s="101"/>
      <c r="AO298" s="101"/>
      <c r="AP298" s="101"/>
      <c r="AQ298" s="101"/>
      <c r="AR298" s="103"/>
      <c r="AS298" s="103"/>
      <c r="AT298" s="103"/>
      <c r="AU298" s="103"/>
      <c r="AV298" s="103"/>
      <c r="BA298" s="103"/>
      <c r="BF298" s="103"/>
      <c r="BG298" s="103"/>
      <c r="BH298" s="103"/>
      <c r="CK298" s="103"/>
      <c r="CL298" s="103"/>
      <c r="CM298" s="103"/>
      <c r="CN298" s="103"/>
      <c r="CO298" s="103"/>
      <c r="CP298" s="103"/>
      <c r="CQ298" s="103"/>
      <c r="CR298" s="103"/>
      <c r="CS298" s="103"/>
      <c r="CT298" s="103"/>
      <c r="DH298" s="103"/>
      <c r="DI298" s="103"/>
      <c r="DJ298" s="103"/>
      <c r="DK298" s="103"/>
      <c r="DL298" s="103"/>
      <c r="DM298" s="103"/>
      <c r="DN298" s="103"/>
      <c r="DO298" s="103"/>
      <c r="DP298" s="103"/>
      <c r="DQ298" s="103"/>
    </row>
    <row r="299" spans="1:121" s="90" customFormat="1" x14ac:dyDescent="0.25">
      <c r="A299" s="71"/>
      <c r="B299" s="71"/>
      <c r="C299" s="71"/>
      <c r="D299" s="71"/>
      <c r="E299" s="71"/>
      <c r="F299" s="101"/>
      <c r="G299" s="101"/>
      <c r="H299" s="71"/>
      <c r="I299" s="71"/>
      <c r="J299" s="71"/>
      <c r="K299" s="101"/>
      <c r="L299" s="101"/>
      <c r="M299" s="101"/>
      <c r="N299" s="71"/>
      <c r="O299" s="71"/>
      <c r="P299" s="71"/>
      <c r="Q299" s="71"/>
      <c r="R299" s="101"/>
      <c r="S299" s="101"/>
      <c r="T299" s="71"/>
      <c r="U299" s="101"/>
      <c r="V299" s="101"/>
      <c r="W299" s="102"/>
      <c r="X299" s="102"/>
      <c r="Y299" s="102"/>
      <c r="Z299" s="102"/>
      <c r="AA299" s="102"/>
      <c r="AB299" s="102"/>
      <c r="AC299" s="71"/>
      <c r="AD299" s="101"/>
      <c r="AE299" s="101"/>
      <c r="AF299" s="102"/>
      <c r="AG299" s="102"/>
      <c r="AH299" s="102"/>
      <c r="AI299" s="101"/>
      <c r="AJ299" s="88"/>
      <c r="AK299" s="88"/>
      <c r="AM299" s="71"/>
      <c r="AN299" s="101"/>
      <c r="AO299" s="101"/>
      <c r="AP299" s="101"/>
      <c r="AQ299" s="101"/>
      <c r="AR299" s="103"/>
      <c r="AS299" s="103"/>
      <c r="AT299" s="103"/>
      <c r="AU299" s="103"/>
      <c r="AV299" s="103"/>
      <c r="BA299" s="103"/>
      <c r="BF299" s="103"/>
      <c r="BG299" s="103"/>
      <c r="BH299" s="103"/>
      <c r="CK299" s="103"/>
      <c r="CL299" s="103"/>
      <c r="CM299" s="103"/>
      <c r="CN299" s="103"/>
      <c r="CO299" s="103"/>
      <c r="CP299" s="103"/>
      <c r="CQ299" s="103"/>
      <c r="CR299" s="103"/>
      <c r="CS299" s="103"/>
      <c r="CT299" s="103"/>
      <c r="DH299" s="103"/>
      <c r="DI299" s="103"/>
      <c r="DJ299" s="103"/>
      <c r="DK299" s="103"/>
      <c r="DL299" s="103"/>
      <c r="DM299" s="103"/>
      <c r="DN299" s="103"/>
      <c r="DO299" s="103"/>
      <c r="DP299" s="103"/>
      <c r="DQ299" s="103"/>
    </row>
    <row r="300" spans="1:121" s="90" customFormat="1" x14ac:dyDescent="0.25">
      <c r="A300" s="71"/>
      <c r="B300" s="71"/>
      <c r="C300" s="71"/>
      <c r="D300" s="71"/>
      <c r="E300" s="71"/>
      <c r="F300" s="101"/>
      <c r="G300" s="101"/>
      <c r="H300" s="71"/>
      <c r="I300" s="71"/>
      <c r="J300" s="71"/>
      <c r="K300" s="101"/>
      <c r="L300" s="101"/>
      <c r="M300" s="101"/>
      <c r="N300" s="71"/>
      <c r="O300" s="71"/>
      <c r="P300" s="71"/>
      <c r="Q300" s="71"/>
      <c r="R300" s="101"/>
      <c r="S300" s="101"/>
      <c r="T300" s="71"/>
      <c r="U300" s="101"/>
      <c r="V300" s="101"/>
      <c r="W300" s="102"/>
      <c r="X300" s="102"/>
      <c r="Y300" s="102"/>
      <c r="Z300" s="102"/>
      <c r="AA300" s="102"/>
      <c r="AB300" s="102"/>
      <c r="AC300" s="71"/>
      <c r="AD300" s="101"/>
      <c r="AE300" s="101"/>
      <c r="AF300" s="102"/>
      <c r="AG300" s="102"/>
      <c r="AH300" s="102"/>
      <c r="AI300" s="101"/>
      <c r="AJ300" s="88"/>
      <c r="AK300" s="88"/>
      <c r="AM300" s="71"/>
      <c r="AN300" s="101"/>
      <c r="AO300" s="101"/>
      <c r="AP300" s="101"/>
      <c r="AQ300" s="101"/>
      <c r="AR300" s="103"/>
      <c r="AS300" s="103"/>
      <c r="AT300" s="103"/>
      <c r="AU300" s="103"/>
      <c r="AV300" s="103"/>
      <c r="BA300" s="103"/>
      <c r="BF300" s="103"/>
      <c r="BG300" s="103"/>
      <c r="BH300" s="103"/>
      <c r="CK300" s="103"/>
      <c r="CL300" s="103"/>
      <c r="CM300" s="103"/>
      <c r="CN300" s="103"/>
      <c r="CO300" s="103"/>
      <c r="CP300" s="103"/>
      <c r="CQ300" s="103"/>
      <c r="CR300" s="103"/>
      <c r="CS300" s="103"/>
      <c r="CT300" s="103"/>
      <c r="DH300" s="103"/>
      <c r="DI300" s="103"/>
      <c r="DJ300" s="103"/>
      <c r="DK300" s="103"/>
      <c r="DL300" s="103"/>
      <c r="DM300" s="103"/>
      <c r="DN300" s="103"/>
      <c r="DO300" s="103"/>
      <c r="DP300" s="103"/>
      <c r="DQ300" s="103"/>
    </row>
    <row r="301" spans="1:121" s="90" customFormat="1" x14ac:dyDescent="0.25">
      <c r="A301" s="71"/>
      <c r="B301" s="71"/>
      <c r="C301" s="71"/>
      <c r="D301" s="71"/>
      <c r="E301" s="71"/>
      <c r="F301" s="101"/>
      <c r="G301" s="101"/>
      <c r="H301" s="71"/>
      <c r="I301" s="71"/>
      <c r="J301" s="71"/>
      <c r="K301" s="101"/>
      <c r="L301" s="101"/>
      <c r="M301" s="101"/>
      <c r="N301" s="71"/>
      <c r="O301" s="71"/>
      <c r="P301" s="71"/>
      <c r="Q301" s="71"/>
      <c r="R301" s="101"/>
      <c r="S301" s="101"/>
      <c r="T301" s="71"/>
      <c r="U301" s="101"/>
      <c r="V301" s="101"/>
      <c r="W301" s="102"/>
      <c r="X301" s="102"/>
      <c r="Y301" s="102"/>
      <c r="Z301" s="102"/>
      <c r="AA301" s="102"/>
      <c r="AB301" s="102"/>
      <c r="AC301" s="71"/>
      <c r="AD301" s="101"/>
      <c r="AE301" s="101"/>
      <c r="AF301" s="102"/>
      <c r="AG301" s="102"/>
      <c r="AH301" s="102"/>
      <c r="AI301" s="101"/>
      <c r="AJ301" s="88"/>
      <c r="AK301" s="88"/>
      <c r="AM301" s="71"/>
      <c r="AN301" s="101"/>
      <c r="AO301" s="101"/>
      <c r="AP301" s="101"/>
      <c r="AQ301" s="101"/>
      <c r="AR301" s="103"/>
      <c r="AS301" s="103"/>
      <c r="AT301" s="103"/>
      <c r="AU301" s="103"/>
      <c r="AV301" s="103"/>
      <c r="BA301" s="103"/>
      <c r="BF301" s="103"/>
      <c r="BG301" s="103"/>
      <c r="BH301" s="103"/>
      <c r="CK301" s="103"/>
      <c r="CL301" s="103"/>
      <c r="CM301" s="103"/>
      <c r="CN301" s="103"/>
      <c r="CO301" s="103"/>
      <c r="CP301" s="103"/>
      <c r="CQ301" s="103"/>
      <c r="CR301" s="103"/>
      <c r="CS301" s="103"/>
      <c r="CT301" s="103"/>
      <c r="DH301" s="103"/>
      <c r="DI301" s="103"/>
      <c r="DJ301" s="103"/>
      <c r="DK301" s="103"/>
      <c r="DL301" s="103"/>
      <c r="DM301" s="103"/>
      <c r="DN301" s="103"/>
      <c r="DO301" s="103"/>
      <c r="DP301" s="103"/>
      <c r="DQ301" s="103"/>
    </row>
    <row r="302" spans="1:121" s="90" customFormat="1" x14ac:dyDescent="0.25">
      <c r="A302" s="71"/>
      <c r="B302" s="71"/>
      <c r="C302" s="71"/>
      <c r="D302" s="71"/>
      <c r="E302" s="71"/>
      <c r="F302" s="101"/>
      <c r="G302" s="101"/>
      <c r="H302" s="71"/>
      <c r="I302" s="71"/>
      <c r="J302" s="71"/>
      <c r="K302" s="101"/>
      <c r="L302" s="101"/>
      <c r="M302" s="101"/>
      <c r="N302" s="71"/>
      <c r="O302" s="71"/>
      <c r="P302" s="71"/>
      <c r="Q302" s="71"/>
      <c r="R302" s="101"/>
      <c r="S302" s="101"/>
      <c r="T302" s="71"/>
      <c r="U302" s="101"/>
      <c r="V302" s="101"/>
      <c r="W302" s="102"/>
      <c r="X302" s="102"/>
      <c r="Y302" s="102"/>
      <c r="Z302" s="102"/>
      <c r="AA302" s="102"/>
      <c r="AB302" s="102"/>
      <c r="AC302" s="71"/>
      <c r="AD302" s="101"/>
      <c r="AE302" s="101"/>
      <c r="AF302" s="102"/>
      <c r="AG302" s="102"/>
      <c r="AH302" s="102"/>
      <c r="AI302" s="101"/>
      <c r="AJ302" s="88"/>
      <c r="AK302" s="88"/>
      <c r="AM302" s="71"/>
      <c r="AN302" s="101"/>
      <c r="AO302" s="101"/>
      <c r="AP302" s="101"/>
      <c r="AQ302" s="101"/>
      <c r="AR302" s="103"/>
      <c r="AS302" s="103"/>
      <c r="AT302" s="103"/>
      <c r="AU302" s="103"/>
      <c r="AV302" s="103"/>
      <c r="BA302" s="103"/>
      <c r="BF302" s="103"/>
      <c r="BG302" s="103"/>
      <c r="BH302" s="103"/>
      <c r="CK302" s="103"/>
      <c r="CL302" s="103"/>
      <c r="CM302" s="103"/>
      <c r="CN302" s="103"/>
      <c r="CO302" s="103"/>
      <c r="CP302" s="103"/>
      <c r="CQ302" s="103"/>
      <c r="CR302" s="103"/>
      <c r="CS302" s="103"/>
      <c r="CT302" s="103"/>
      <c r="DH302" s="103"/>
      <c r="DI302" s="103"/>
      <c r="DJ302" s="103"/>
      <c r="DK302" s="103"/>
      <c r="DL302" s="103"/>
      <c r="DM302" s="103"/>
      <c r="DN302" s="103"/>
      <c r="DO302" s="103"/>
      <c r="DP302" s="103"/>
      <c r="DQ302" s="103"/>
    </row>
    <row r="303" spans="1:121" s="90" customFormat="1" x14ac:dyDescent="0.25">
      <c r="A303" s="71"/>
      <c r="B303" s="71"/>
      <c r="C303" s="71"/>
      <c r="D303" s="71"/>
      <c r="E303" s="71"/>
      <c r="F303" s="101"/>
      <c r="G303" s="101"/>
      <c r="H303" s="71"/>
      <c r="I303" s="71"/>
      <c r="J303" s="71"/>
      <c r="K303" s="101"/>
      <c r="L303" s="101"/>
      <c r="M303" s="101"/>
      <c r="N303" s="71"/>
      <c r="O303" s="71"/>
      <c r="P303" s="71"/>
      <c r="Q303" s="71"/>
      <c r="R303" s="101"/>
      <c r="S303" s="101"/>
      <c r="T303" s="71"/>
      <c r="U303" s="101"/>
      <c r="V303" s="101"/>
      <c r="W303" s="102"/>
      <c r="X303" s="102"/>
      <c r="Y303" s="102"/>
      <c r="Z303" s="102"/>
      <c r="AA303" s="102"/>
      <c r="AB303" s="102"/>
      <c r="AC303" s="71"/>
      <c r="AD303" s="101"/>
      <c r="AE303" s="101"/>
      <c r="AF303" s="102"/>
      <c r="AG303" s="102"/>
      <c r="AH303" s="102"/>
      <c r="AI303" s="101"/>
      <c r="AJ303" s="88"/>
      <c r="AK303" s="88"/>
      <c r="AM303" s="71"/>
      <c r="AN303" s="101"/>
      <c r="AO303" s="101"/>
      <c r="AP303" s="101"/>
      <c r="AQ303" s="101"/>
      <c r="AR303" s="103"/>
      <c r="AS303" s="103"/>
      <c r="AT303" s="103"/>
      <c r="AU303" s="103"/>
      <c r="AV303" s="103"/>
      <c r="BA303" s="103"/>
      <c r="BF303" s="103"/>
      <c r="BG303" s="103"/>
      <c r="BH303" s="103"/>
      <c r="CK303" s="103"/>
      <c r="CL303" s="103"/>
      <c r="CM303" s="103"/>
      <c r="CN303" s="103"/>
      <c r="CO303" s="103"/>
      <c r="CP303" s="103"/>
      <c r="CQ303" s="103"/>
      <c r="CR303" s="103"/>
      <c r="CS303" s="103"/>
      <c r="CT303" s="103"/>
      <c r="DH303" s="103"/>
      <c r="DI303" s="103"/>
      <c r="DJ303" s="103"/>
      <c r="DK303" s="103"/>
      <c r="DL303" s="103"/>
      <c r="DM303" s="103"/>
      <c r="DN303" s="103"/>
      <c r="DO303" s="103"/>
      <c r="DP303" s="103"/>
      <c r="DQ303" s="103"/>
    </row>
    <row r="304" spans="1:121" s="90" customFormat="1" x14ac:dyDescent="0.25">
      <c r="A304" s="71"/>
      <c r="B304" s="71"/>
      <c r="C304" s="71"/>
      <c r="D304" s="71"/>
      <c r="E304" s="71"/>
      <c r="F304" s="101"/>
      <c r="G304" s="101"/>
      <c r="H304" s="71"/>
      <c r="I304" s="71"/>
      <c r="J304" s="71"/>
      <c r="K304" s="101"/>
      <c r="L304" s="101"/>
      <c r="M304" s="101"/>
      <c r="N304" s="71"/>
      <c r="O304" s="71"/>
      <c r="P304" s="71"/>
      <c r="Q304" s="71"/>
      <c r="R304" s="101"/>
      <c r="S304" s="101"/>
      <c r="T304" s="71"/>
      <c r="U304" s="101"/>
      <c r="V304" s="101"/>
      <c r="W304" s="102"/>
      <c r="X304" s="102"/>
      <c r="Y304" s="102"/>
      <c r="Z304" s="102"/>
      <c r="AA304" s="102"/>
      <c r="AB304" s="102"/>
      <c r="AC304" s="71"/>
      <c r="AD304" s="101"/>
      <c r="AE304" s="101"/>
      <c r="AF304" s="102"/>
      <c r="AG304" s="102"/>
      <c r="AH304" s="102"/>
      <c r="AI304" s="101"/>
      <c r="AJ304" s="88"/>
      <c r="AK304" s="88"/>
      <c r="AM304" s="71"/>
      <c r="AN304" s="101"/>
      <c r="AO304" s="101"/>
      <c r="AP304" s="101"/>
      <c r="AQ304" s="101"/>
      <c r="AR304" s="103"/>
      <c r="AS304" s="103"/>
      <c r="AT304" s="103"/>
      <c r="AU304" s="103"/>
      <c r="AV304" s="103"/>
      <c r="BA304" s="103"/>
      <c r="BF304" s="103"/>
      <c r="BG304" s="103"/>
      <c r="BH304" s="103"/>
      <c r="CK304" s="103"/>
      <c r="CL304" s="103"/>
      <c r="CM304" s="103"/>
      <c r="CN304" s="103"/>
      <c r="CO304" s="103"/>
      <c r="CP304" s="103"/>
      <c r="CQ304" s="103"/>
      <c r="CR304" s="103"/>
      <c r="CS304" s="103"/>
      <c r="CT304" s="103"/>
      <c r="DH304" s="103"/>
      <c r="DI304" s="103"/>
      <c r="DJ304" s="103"/>
      <c r="DK304" s="103"/>
      <c r="DL304" s="103"/>
      <c r="DM304" s="103"/>
      <c r="DN304" s="103"/>
      <c r="DO304" s="103"/>
      <c r="DP304" s="103"/>
      <c r="DQ304" s="103"/>
    </row>
    <row r="305" spans="1:121" s="90" customFormat="1" x14ac:dyDescent="0.25">
      <c r="A305" s="71"/>
      <c r="B305" s="71"/>
      <c r="C305" s="71"/>
      <c r="D305" s="71"/>
      <c r="E305" s="71"/>
      <c r="F305" s="101"/>
      <c r="G305" s="101"/>
      <c r="H305" s="71"/>
      <c r="I305" s="71"/>
      <c r="J305" s="71"/>
      <c r="K305" s="101"/>
      <c r="L305" s="101"/>
      <c r="M305" s="101"/>
      <c r="N305" s="71"/>
      <c r="O305" s="71"/>
      <c r="P305" s="71"/>
      <c r="Q305" s="71"/>
      <c r="R305" s="101"/>
      <c r="S305" s="101"/>
      <c r="T305" s="71"/>
      <c r="U305" s="101"/>
      <c r="V305" s="101"/>
      <c r="W305" s="102"/>
      <c r="X305" s="102"/>
      <c r="Y305" s="102"/>
      <c r="Z305" s="102"/>
      <c r="AA305" s="102"/>
      <c r="AB305" s="102"/>
      <c r="AC305" s="71"/>
      <c r="AD305" s="101"/>
      <c r="AE305" s="101"/>
      <c r="AF305" s="102"/>
      <c r="AG305" s="102"/>
      <c r="AH305" s="102"/>
      <c r="AI305" s="101"/>
      <c r="AJ305" s="88"/>
      <c r="AK305" s="88"/>
      <c r="AM305" s="71"/>
      <c r="AN305" s="101"/>
      <c r="AO305" s="101"/>
      <c r="AP305" s="101"/>
      <c r="AQ305" s="101"/>
      <c r="AR305" s="103"/>
      <c r="AS305" s="103"/>
      <c r="AT305" s="103"/>
      <c r="AU305" s="103"/>
      <c r="AV305" s="103"/>
      <c r="BA305" s="103"/>
      <c r="BF305" s="103"/>
      <c r="BG305" s="103"/>
      <c r="BH305" s="103"/>
      <c r="CK305" s="103"/>
      <c r="CL305" s="103"/>
      <c r="CM305" s="103"/>
      <c r="CN305" s="103"/>
      <c r="CO305" s="103"/>
      <c r="CP305" s="103"/>
      <c r="CQ305" s="103"/>
      <c r="CR305" s="103"/>
      <c r="CS305" s="103"/>
      <c r="CT305" s="103"/>
      <c r="DH305" s="103"/>
      <c r="DI305" s="103"/>
      <c r="DJ305" s="103"/>
      <c r="DK305" s="103"/>
      <c r="DL305" s="103"/>
      <c r="DM305" s="103"/>
      <c r="DN305" s="103"/>
      <c r="DO305" s="103"/>
      <c r="DP305" s="103"/>
      <c r="DQ305" s="103"/>
    </row>
    <row r="306" spans="1:121" s="90" customFormat="1" x14ac:dyDescent="0.25">
      <c r="A306" s="71"/>
      <c r="B306" s="71"/>
      <c r="C306" s="71"/>
      <c r="D306" s="71"/>
      <c r="E306" s="71"/>
      <c r="F306" s="101"/>
      <c r="G306" s="101"/>
      <c r="H306" s="71"/>
      <c r="I306" s="71"/>
      <c r="J306" s="71"/>
      <c r="K306" s="101"/>
      <c r="L306" s="101"/>
      <c r="M306" s="101"/>
      <c r="N306" s="71"/>
      <c r="O306" s="71"/>
      <c r="P306" s="71"/>
      <c r="Q306" s="71"/>
      <c r="R306" s="101"/>
      <c r="S306" s="101"/>
      <c r="T306" s="71"/>
      <c r="U306" s="101"/>
      <c r="V306" s="101"/>
      <c r="W306" s="102"/>
      <c r="X306" s="102"/>
      <c r="Y306" s="102"/>
      <c r="Z306" s="102"/>
      <c r="AA306" s="102"/>
      <c r="AB306" s="102"/>
      <c r="AC306" s="71"/>
      <c r="AD306" s="101"/>
      <c r="AE306" s="101"/>
      <c r="AF306" s="102"/>
      <c r="AG306" s="102"/>
      <c r="AH306" s="102"/>
      <c r="AI306" s="101"/>
      <c r="AJ306" s="88"/>
      <c r="AK306" s="88"/>
      <c r="AM306" s="71"/>
      <c r="AN306" s="101"/>
      <c r="AO306" s="101"/>
      <c r="AP306" s="101"/>
      <c r="AQ306" s="101"/>
      <c r="AR306" s="103"/>
      <c r="AS306" s="103"/>
      <c r="AT306" s="103"/>
      <c r="AU306" s="103"/>
      <c r="AV306" s="103"/>
      <c r="BA306" s="103"/>
      <c r="BF306" s="103"/>
      <c r="BG306" s="103"/>
      <c r="BH306" s="103"/>
      <c r="CK306" s="103"/>
      <c r="CL306" s="103"/>
      <c r="CM306" s="103"/>
      <c r="CN306" s="103"/>
      <c r="CO306" s="103"/>
      <c r="CP306" s="103"/>
      <c r="CQ306" s="103"/>
      <c r="CR306" s="103"/>
      <c r="CS306" s="103"/>
      <c r="CT306" s="103"/>
      <c r="DH306" s="103"/>
      <c r="DI306" s="103"/>
      <c r="DJ306" s="103"/>
      <c r="DK306" s="103"/>
      <c r="DL306" s="103"/>
      <c r="DM306" s="103"/>
      <c r="DN306" s="103"/>
      <c r="DO306" s="103"/>
      <c r="DP306" s="103"/>
      <c r="DQ306" s="103"/>
    </row>
    <row r="307" spans="1:121" s="90" customFormat="1" x14ac:dyDescent="0.25">
      <c r="A307" s="71"/>
      <c r="B307" s="71"/>
      <c r="C307" s="71"/>
      <c r="D307" s="71"/>
      <c r="E307" s="71"/>
      <c r="F307" s="101"/>
      <c r="G307" s="101"/>
      <c r="H307" s="71"/>
      <c r="I307" s="71"/>
      <c r="J307" s="71"/>
      <c r="K307" s="101"/>
      <c r="L307" s="101"/>
      <c r="M307" s="101"/>
      <c r="N307" s="71"/>
      <c r="O307" s="71"/>
      <c r="P307" s="71"/>
      <c r="Q307" s="71"/>
      <c r="R307" s="101"/>
      <c r="S307" s="101"/>
      <c r="T307" s="71"/>
      <c r="U307" s="101"/>
      <c r="V307" s="101"/>
      <c r="W307" s="102"/>
      <c r="X307" s="102"/>
      <c r="Y307" s="102"/>
      <c r="Z307" s="102"/>
      <c r="AA307" s="102"/>
      <c r="AB307" s="102"/>
      <c r="AC307" s="71"/>
      <c r="AD307" s="101"/>
      <c r="AE307" s="101"/>
      <c r="AF307" s="102"/>
      <c r="AG307" s="102"/>
      <c r="AH307" s="102"/>
      <c r="AI307" s="101"/>
      <c r="AJ307" s="88"/>
      <c r="AK307" s="88"/>
      <c r="AM307" s="71"/>
      <c r="AN307" s="101"/>
      <c r="AO307" s="101"/>
      <c r="AP307" s="101"/>
      <c r="AQ307" s="101"/>
      <c r="AR307" s="103"/>
      <c r="AS307" s="103"/>
      <c r="AT307" s="103"/>
      <c r="AU307" s="103"/>
      <c r="AV307" s="103"/>
      <c r="BA307" s="103"/>
      <c r="BF307" s="103"/>
      <c r="BG307" s="103"/>
      <c r="BH307" s="103"/>
      <c r="CK307" s="103"/>
      <c r="CL307" s="103"/>
      <c r="CM307" s="103"/>
      <c r="CN307" s="103"/>
      <c r="CO307" s="103"/>
      <c r="CP307" s="103"/>
      <c r="CQ307" s="103"/>
      <c r="CR307" s="103"/>
      <c r="CS307" s="103"/>
      <c r="CT307" s="103"/>
      <c r="DH307" s="103"/>
      <c r="DI307" s="103"/>
      <c r="DJ307" s="103"/>
      <c r="DK307" s="103"/>
      <c r="DL307" s="103"/>
      <c r="DM307" s="103"/>
      <c r="DN307" s="103"/>
      <c r="DO307" s="103"/>
      <c r="DP307" s="103"/>
      <c r="DQ307" s="103"/>
    </row>
    <row r="308" spans="1:121" s="90" customFormat="1" x14ac:dyDescent="0.25">
      <c r="A308" s="71"/>
      <c r="B308" s="71"/>
      <c r="C308" s="71"/>
      <c r="D308" s="71"/>
      <c r="E308" s="71"/>
      <c r="F308" s="101"/>
      <c r="G308" s="101"/>
      <c r="H308" s="71"/>
      <c r="I308" s="71"/>
      <c r="J308" s="71"/>
      <c r="K308" s="101"/>
      <c r="L308" s="101"/>
      <c r="M308" s="101"/>
      <c r="N308" s="71"/>
      <c r="O308" s="71"/>
      <c r="P308" s="71"/>
      <c r="Q308" s="71"/>
      <c r="R308" s="101"/>
      <c r="S308" s="101"/>
      <c r="T308" s="71"/>
      <c r="U308" s="101"/>
      <c r="V308" s="101"/>
      <c r="W308" s="102"/>
      <c r="X308" s="102"/>
      <c r="Y308" s="102"/>
      <c r="Z308" s="102"/>
      <c r="AA308" s="102"/>
      <c r="AB308" s="102"/>
      <c r="AC308" s="71"/>
      <c r="AD308" s="101"/>
      <c r="AE308" s="101"/>
      <c r="AF308" s="102"/>
      <c r="AG308" s="102"/>
      <c r="AH308" s="102"/>
      <c r="AI308" s="101"/>
      <c r="AJ308" s="88"/>
      <c r="AK308" s="88"/>
      <c r="AM308" s="71"/>
      <c r="AN308" s="101"/>
      <c r="AO308" s="101"/>
      <c r="AP308" s="101"/>
      <c r="AQ308" s="101"/>
      <c r="AR308" s="103"/>
      <c r="AS308" s="103"/>
      <c r="AT308" s="103"/>
      <c r="AU308" s="103"/>
      <c r="AV308" s="103"/>
      <c r="BA308" s="103"/>
      <c r="BF308" s="103"/>
      <c r="BG308" s="103"/>
      <c r="BH308" s="103"/>
      <c r="CK308" s="103"/>
      <c r="CL308" s="103"/>
      <c r="CM308" s="103"/>
      <c r="CN308" s="103"/>
      <c r="CO308" s="103"/>
      <c r="CP308" s="103"/>
      <c r="CQ308" s="103"/>
      <c r="CR308" s="103"/>
      <c r="CS308" s="103"/>
      <c r="CT308" s="103"/>
      <c r="DH308" s="103"/>
      <c r="DI308" s="103"/>
      <c r="DJ308" s="103"/>
      <c r="DK308" s="103"/>
      <c r="DL308" s="103"/>
      <c r="DM308" s="103"/>
      <c r="DN308" s="103"/>
      <c r="DO308" s="103"/>
      <c r="DP308" s="103"/>
      <c r="DQ308" s="103"/>
    </row>
    <row r="309" spans="1:121" s="90" customFormat="1" x14ac:dyDescent="0.25">
      <c r="A309" s="71"/>
      <c r="B309" s="71"/>
      <c r="C309" s="71"/>
      <c r="D309" s="71"/>
      <c r="E309" s="71"/>
      <c r="F309" s="101"/>
      <c r="G309" s="101"/>
      <c r="H309" s="71"/>
      <c r="I309" s="71"/>
      <c r="J309" s="71"/>
      <c r="K309" s="101"/>
      <c r="L309" s="101"/>
      <c r="M309" s="101"/>
      <c r="N309" s="71"/>
      <c r="O309" s="71"/>
      <c r="P309" s="71"/>
      <c r="Q309" s="71"/>
      <c r="R309" s="101"/>
      <c r="S309" s="101"/>
      <c r="T309" s="71"/>
      <c r="U309" s="101"/>
      <c r="V309" s="101"/>
      <c r="W309" s="102"/>
      <c r="X309" s="102"/>
      <c r="Y309" s="102"/>
      <c r="Z309" s="102"/>
      <c r="AA309" s="102"/>
      <c r="AB309" s="102"/>
      <c r="AC309" s="71"/>
      <c r="AD309" s="101"/>
      <c r="AE309" s="101"/>
      <c r="AF309" s="102"/>
      <c r="AG309" s="102"/>
      <c r="AH309" s="102"/>
      <c r="AI309" s="101"/>
      <c r="AJ309" s="88"/>
      <c r="AK309" s="88"/>
      <c r="AM309" s="71"/>
      <c r="AN309" s="101"/>
      <c r="AO309" s="101"/>
      <c r="AP309" s="101"/>
      <c r="AQ309" s="101"/>
      <c r="AR309" s="103"/>
      <c r="AS309" s="103"/>
      <c r="AT309" s="103"/>
      <c r="AU309" s="103"/>
      <c r="AV309" s="103"/>
      <c r="BA309" s="103"/>
      <c r="BF309" s="103"/>
      <c r="BG309" s="103"/>
      <c r="BH309" s="103"/>
      <c r="CK309" s="103"/>
      <c r="CL309" s="103"/>
      <c r="CM309" s="103"/>
      <c r="CN309" s="103"/>
      <c r="CO309" s="103"/>
      <c r="CP309" s="103"/>
      <c r="CQ309" s="103"/>
      <c r="CR309" s="103"/>
      <c r="CS309" s="103"/>
      <c r="CT309" s="103"/>
      <c r="DH309" s="103"/>
      <c r="DI309" s="103"/>
      <c r="DJ309" s="103"/>
      <c r="DK309" s="103"/>
      <c r="DL309" s="103"/>
      <c r="DM309" s="103"/>
      <c r="DN309" s="103"/>
      <c r="DO309" s="103"/>
      <c r="DP309" s="103"/>
      <c r="DQ309" s="103"/>
    </row>
    <row r="310" spans="1:121" s="90" customFormat="1" x14ac:dyDescent="0.25">
      <c r="A310" s="71"/>
      <c r="B310" s="71"/>
      <c r="C310" s="71"/>
      <c r="D310" s="71"/>
      <c r="E310" s="71"/>
      <c r="F310" s="101"/>
      <c r="G310" s="101"/>
      <c r="H310" s="71"/>
      <c r="I310" s="71"/>
      <c r="J310" s="71"/>
      <c r="K310" s="101"/>
      <c r="L310" s="101"/>
      <c r="M310" s="101"/>
      <c r="N310" s="71"/>
      <c r="O310" s="71"/>
      <c r="P310" s="71"/>
      <c r="Q310" s="71"/>
      <c r="R310" s="101"/>
      <c r="S310" s="101"/>
      <c r="T310" s="71"/>
      <c r="U310" s="101"/>
      <c r="V310" s="101"/>
      <c r="W310" s="102"/>
      <c r="X310" s="102"/>
      <c r="Y310" s="102"/>
      <c r="Z310" s="102"/>
      <c r="AA310" s="102"/>
      <c r="AB310" s="102"/>
      <c r="AC310" s="71"/>
      <c r="AD310" s="101"/>
      <c r="AE310" s="101"/>
      <c r="AF310" s="102"/>
      <c r="AG310" s="102"/>
      <c r="AH310" s="102"/>
      <c r="AI310" s="101"/>
      <c r="AJ310" s="88"/>
      <c r="AK310" s="88"/>
      <c r="AM310" s="71"/>
      <c r="AN310" s="101"/>
      <c r="AO310" s="101"/>
      <c r="AP310" s="101"/>
      <c r="AQ310" s="101"/>
      <c r="AR310" s="103"/>
      <c r="AS310" s="103"/>
      <c r="AT310" s="103"/>
      <c r="AU310" s="103"/>
      <c r="AV310" s="103"/>
      <c r="BA310" s="103"/>
      <c r="BF310" s="103"/>
      <c r="BG310" s="103"/>
      <c r="BH310" s="103"/>
      <c r="CK310" s="103"/>
      <c r="CL310" s="103"/>
      <c r="CM310" s="103"/>
      <c r="CN310" s="103"/>
      <c r="CO310" s="103"/>
      <c r="CP310" s="103"/>
      <c r="CQ310" s="103"/>
      <c r="CR310" s="103"/>
      <c r="CS310" s="103"/>
      <c r="CT310" s="103"/>
      <c r="DH310" s="103"/>
      <c r="DI310" s="103"/>
      <c r="DJ310" s="103"/>
      <c r="DK310" s="103"/>
      <c r="DL310" s="103"/>
      <c r="DM310" s="103"/>
      <c r="DN310" s="103"/>
      <c r="DO310" s="103"/>
      <c r="DP310" s="103"/>
      <c r="DQ310" s="103"/>
    </row>
    <row r="311" spans="1:121" s="90" customFormat="1" x14ac:dyDescent="0.25">
      <c r="A311" s="71"/>
      <c r="B311" s="71"/>
      <c r="C311" s="71"/>
      <c r="D311" s="71"/>
      <c r="E311" s="71"/>
      <c r="F311" s="101"/>
      <c r="G311" s="101"/>
      <c r="H311" s="71"/>
      <c r="I311" s="71"/>
      <c r="J311" s="71"/>
      <c r="K311" s="101"/>
      <c r="L311" s="101"/>
      <c r="M311" s="101"/>
      <c r="N311" s="71"/>
      <c r="O311" s="71"/>
      <c r="P311" s="71"/>
      <c r="Q311" s="71"/>
      <c r="R311" s="101"/>
      <c r="S311" s="101"/>
      <c r="T311" s="71"/>
      <c r="U311" s="101"/>
      <c r="V311" s="101"/>
      <c r="W311" s="102"/>
      <c r="X311" s="102"/>
      <c r="Y311" s="102"/>
      <c r="Z311" s="102"/>
      <c r="AA311" s="102"/>
      <c r="AB311" s="102"/>
      <c r="AC311" s="71"/>
      <c r="AD311" s="101"/>
      <c r="AE311" s="101"/>
      <c r="AF311" s="102"/>
      <c r="AG311" s="102"/>
      <c r="AH311" s="102"/>
      <c r="AI311" s="101"/>
      <c r="AJ311" s="88"/>
      <c r="AK311" s="88"/>
      <c r="AM311" s="71"/>
      <c r="AN311" s="101"/>
      <c r="AO311" s="101"/>
      <c r="AP311" s="101"/>
      <c r="AQ311" s="101"/>
      <c r="AR311" s="103"/>
      <c r="AS311" s="103"/>
      <c r="AT311" s="103"/>
      <c r="AU311" s="103"/>
      <c r="AV311" s="103"/>
      <c r="BA311" s="103"/>
      <c r="BF311" s="103"/>
      <c r="BG311" s="103"/>
      <c r="BH311" s="103"/>
      <c r="CK311" s="103"/>
      <c r="CL311" s="103"/>
      <c r="CM311" s="103"/>
      <c r="CN311" s="103"/>
      <c r="CO311" s="103"/>
      <c r="CP311" s="103"/>
      <c r="CQ311" s="103"/>
      <c r="CR311" s="103"/>
      <c r="CS311" s="103"/>
      <c r="CT311" s="103"/>
      <c r="DH311" s="103"/>
      <c r="DI311" s="103"/>
      <c r="DJ311" s="103"/>
      <c r="DK311" s="103"/>
      <c r="DL311" s="103"/>
      <c r="DM311" s="103"/>
      <c r="DN311" s="103"/>
      <c r="DO311" s="103"/>
      <c r="DP311" s="103"/>
      <c r="DQ311" s="103"/>
    </row>
    <row r="312" spans="1:121" s="90" customFormat="1" x14ac:dyDescent="0.25">
      <c r="A312" s="71"/>
      <c r="B312" s="71"/>
      <c r="C312" s="71"/>
      <c r="D312" s="71"/>
      <c r="E312" s="71"/>
      <c r="F312" s="101"/>
      <c r="G312" s="101"/>
      <c r="H312" s="71"/>
      <c r="I312" s="71"/>
      <c r="J312" s="71"/>
      <c r="K312" s="101"/>
      <c r="L312" s="101"/>
      <c r="M312" s="101"/>
      <c r="N312" s="71"/>
      <c r="O312" s="71"/>
      <c r="P312" s="71"/>
      <c r="Q312" s="71"/>
      <c r="R312" s="101"/>
      <c r="S312" s="101"/>
      <c r="T312" s="71"/>
      <c r="U312" s="101"/>
      <c r="V312" s="101"/>
      <c r="W312" s="102"/>
      <c r="X312" s="102"/>
      <c r="Y312" s="102"/>
      <c r="Z312" s="102"/>
      <c r="AA312" s="102"/>
      <c r="AB312" s="102"/>
      <c r="AC312" s="71"/>
      <c r="AD312" s="101"/>
      <c r="AE312" s="101"/>
      <c r="AF312" s="102"/>
      <c r="AG312" s="102"/>
      <c r="AH312" s="102"/>
      <c r="AI312" s="101"/>
      <c r="AJ312" s="88"/>
      <c r="AK312" s="88"/>
      <c r="AM312" s="71"/>
      <c r="AN312" s="101"/>
      <c r="AO312" s="101"/>
      <c r="AP312" s="101"/>
      <c r="AQ312" s="101"/>
      <c r="AR312" s="103"/>
      <c r="AS312" s="103"/>
      <c r="AT312" s="103"/>
      <c r="AU312" s="103"/>
      <c r="AV312" s="103"/>
      <c r="BA312" s="103"/>
      <c r="BF312" s="103"/>
      <c r="BG312" s="103"/>
      <c r="BH312" s="103"/>
      <c r="CK312" s="103"/>
      <c r="CL312" s="103"/>
      <c r="CM312" s="103"/>
      <c r="CN312" s="103"/>
      <c r="CO312" s="103"/>
      <c r="CP312" s="103"/>
      <c r="CQ312" s="103"/>
      <c r="CR312" s="103"/>
      <c r="CS312" s="103"/>
      <c r="CT312" s="103"/>
      <c r="DH312" s="103"/>
      <c r="DI312" s="103"/>
      <c r="DJ312" s="103"/>
      <c r="DK312" s="103"/>
      <c r="DL312" s="103"/>
      <c r="DM312" s="103"/>
      <c r="DN312" s="103"/>
      <c r="DO312" s="103"/>
      <c r="DP312" s="103"/>
      <c r="DQ312" s="103"/>
    </row>
    <row r="313" spans="1:121" s="90" customFormat="1" x14ac:dyDescent="0.25">
      <c r="A313" s="71"/>
      <c r="B313" s="71"/>
      <c r="C313" s="71"/>
      <c r="D313" s="71"/>
      <c r="E313" s="71"/>
      <c r="F313" s="101"/>
      <c r="G313" s="101"/>
      <c r="H313" s="71"/>
      <c r="I313" s="71"/>
      <c r="J313" s="71"/>
      <c r="K313" s="101"/>
      <c r="L313" s="101"/>
      <c r="M313" s="101"/>
      <c r="N313" s="71"/>
      <c r="O313" s="71"/>
      <c r="P313" s="71"/>
      <c r="Q313" s="71"/>
      <c r="R313" s="101"/>
      <c r="S313" s="101"/>
      <c r="T313" s="71"/>
      <c r="U313" s="101"/>
      <c r="V313" s="101"/>
      <c r="W313" s="102"/>
      <c r="X313" s="102"/>
      <c r="Y313" s="102"/>
      <c r="Z313" s="102"/>
      <c r="AA313" s="102"/>
      <c r="AB313" s="102"/>
      <c r="AC313" s="71"/>
      <c r="AD313" s="101"/>
      <c r="AE313" s="101"/>
      <c r="AF313" s="102"/>
      <c r="AG313" s="102"/>
      <c r="AH313" s="102"/>
      <c r="AI313" s="101"/>
      <c r="AJ313" s="88"/>
      <c r="AK313" s="88"/>
      <c r="AM313" s="71"/>
      <c r="AN313" s="101"/>
      <c r="AO313" s="101"/>
      <c r="AP313" s="101"/>
      <c r="AQ313" s="101"/>
      <c r="AR313" s="103"/>
      <c r="AS313" s="103"/>
      <c r="AT313" s="103"/>
      <c r="AU313" s="103"/>
      <c r="AV313" s="103"/>
      <c r="BA313" s="103"/>
      <c r="BF313" s="103"/>
      <c r="BG313" s="103"/>
      <c r="BH313" s="103"/>
      <c r="CK313" s="103"/>
      <c r="CL313" s="103"/>
      <c r="CM313" s="103"/>
      <c r="CN313" s="103"/>
      <c r="CO313" s="103"/>
      <c r="CP313" s="103"/>
      <c r="CQ313" s="103"/>
      <c r="CR313" s="103"/>
      <c r="CS313" s="103"/>
      <c r="CT313" s="103"/>
      <c r="DH313" s="103"/>
      <c r="DI313" s="103"/>
      <c r="DJ313" s="103"/>
      <c r="DK313" s="103"/>
      <c r="DL313" s="103"/>
      <c r="DM313" s="103"/>
      <c r="DN313" s="103"/>
      <c r="DO313" s="103"/>
      <c r="DP313" s="103"/>
      <c r="DQ313" s="103"/>
    </row>
    <row r="314" spans="1:121" s="90" customFormat="1" x14ac:dyDescent="0.25">
      <c r="A314" s="71"/>
      <c r="B314" s="71"/>
      <c r="C314" s="71"/>
      <c r="D314" s="71"/>
      <c r="E314" s="71"/>
      <c r="F314" s="101"/>
      <c r="G314" s="101"/>
      <c r="H314" s="71"/>
      <c r="I314" s="71"/>
      <c r="J314" s="71"/>
      <c r="K314" s="101"/>
      <c r="L314" s="101"/>
      <c r="M314" s="101"/>
      <c r="N314" s="71"/>
      <c r="O314" s="71"/>
      <c r="P314" s="71"/>
      <c r="Q314" s="71"/>
      <c r="R314" s="101"/>
      <c r="S314" s="101"/>
      <c r="T314" s="71"/>
      <c r="U314" s="101"/>
      <c r="V314" s="101"/>
      <c r="W314" s="102"/>
      <c r="X314" s="102"/>
      <c r="Y314" s="102"/>
      <c r="Z314" s="102"/>
      <c r="AA314" s="102"/>
      <c r="AB314" s="102"/>
      <c r="AC314" s="71"/>
      <c r="AD314" s="101"/>
      <c r="AE314" s="101"/>
      <c r="AF314" s="102"/>
      <c r="AG314" s="102"/>
      <c r="AH314" s="102"/>
      <c r="AI314" s="101"/>
      <c r="AJ314" s="88"/>
      <c r="AK314" s="88"/>
      <c r="AM314" s="71"/>
      <c r="AN314" s="101"/>
      <c r="AO314" s="101"/>
      <c r="AP314" s="101"/>
      <c r="AQ314" s="101"/>
      <c r="AR314" s="103"/>
      <c r="AS314" s="103"/>
      <c r="AT314" s="103"/>
      <c r="AU314" s="103"/>
      <c r="AV314" s="103"/>
      <c r="BA314" s="103"/>
      <c r="BF314" s="103"/>
      <c r="BG314" s="103"/>
      <c r="BH314" s="103"/>
      <c r="CK314" s="103"/>
      <c r="CL314" s="103"/>
      <c r="CM314" s="103"/>
      <c r="CN314" s="103"/>
      <c r="CO314" s="103"/>
      <c r="CP314" s="103"/>
      <c r="CQ314" s="103"/>
      <c r="CR314" s="103"/>
      <c r="CS314" s="103"/>
      <c r="CT314" s="103"/>
      <c r="DH314" s="103"/>
      <c r="DI314" s="103"/>
      <c r="DJ314" s="103"/>
      <c r="DK314" s="103"/>
      <c r="DL314" s="103"/>
      <c r="DM314" s="103"/>
      <c r="DN314" s="103"/>
      <c r="DO314" s="103"/>
      <c r="DP314" s="103"/>
      <c r="DQ314" s="103"/>
    </row>
    <row r="315" spans="1:121" s="90" customFormat="1" x14ac:dyDescent="0.25">
      <c r="A315" s="71"/>
      <c r="B315" s="71"/>
      <c r="C315" s="71"/>
      <c r="D315" s="71"/>
      <c r="E315" s="71"/>
      <c r="F315" s="101"/>
      <c r="G315" s="101"/>
      <c r="H315" s="71"/>
      <c r="I315" s="71"/>
      <c r="J315" s="71"/>
      <c r="K315" s="101"/>
      <c r="L315" s="101"/>
      <c r="M315" s="101"/>
      <c r="N315" s="71"/>
      <c r="O315" s="71"/>
      <c r="P315" s="71"/>
      <c r="Q315" s="71"/>
      <c r="R315" s="101"/>
      <c r="S315" s="101"/>
      <c r="T315" s="71"/>
      <c r="U315" s="101"/>
      <c r="V315" s="101"/>
      <c r="W315" s="102"/>
      <c r="X315" s="102"/>
      <c r="Y315" s="102"/>
      <c r="Z315" s="102"/>
      <c r="AA315" s="102"/>
      <c r="AB315" s="102"/>
      <c r="AC315" s="71"/>
      <c r="AD315" s="101"/>
      <c r="AE315" s="101"/>
      <c r="AF315" s="102"/>
      <c r="AG315" s="102"/>
      <c r="AH315" s="102"/>
      <c r="AI315" s="101"/>
      <c r="AJ315" s="88"/>
      <c r="AK315" s="88"/>
      <c r="AM315" s="71"/>
      <c r="AN315" s="101"/>
      <c r="AO315" s="101"/>
      <c r="AP315" s="101"/>
      <c r="AQ315" s="101"/>
      <c r="AR315" s="103"/>
      <c r="AS315" s="103"/>
      <c r="AT315" s="103"/>
      <c r="AU315" s="103"/>
      <c r="AV315" s="103"/>
      <c r="BA315" s="103"/>
      <c r="BF315" s="103"/>
      <c r="BG315" s="103"/>
      <c r="BH315" s="103"/>
      <c r="CK315" s="103"/>
      <c r="CL315" s="103"/>
      <c r="CM315" s="103"/>
      <c r="CN315" s="103"/>
      <c r="CO315" s="103"/>
      <c r="CP315" s="103"/>
      <c r="CQ315" s="103"/>
      <c r="CR315" s="103"/>
      <c r="CS315" s="103"/>
      <c r="CT315" s="103"/>
      <c r="DH315" s="103"/>
      <c r="DI315" s="103"/>
      <c r="DJ315" s="103"/>
      <c r="DK315" s="103"/>
      <c r="DL315" s="103"/>
      <c r="DM315" s="103"/>
      <c r="DN315" s="103"/>
      <c r="DO315" s="103"/>
      <c r="DP315" s="103"/>
      <c r="DQ315" s="103"/>
    </row>
    <row r="316" spans="1:121" s="90" customFormat="1" x14ac:dyDescent="0.25">
      <c r="A316" s="71"/>
      <c r="B316" s="71"/>
      <c r="C316" s="71"/>
      <c r="D316" s="71"/>
      <c r="E316" s="71"/>
      <c r="F316" s="101"/>
      <c r="G316" s="101"/>
      <c r="H316" s="71"/>
      <c r="I316" s="71"/>
      <c r="J316" s="71"/>
      <c r="K316" s="101"/>
      <c r="L316" s="101"/>
      <c r="M316" s="101"/>
      <c r="N316" s="71"/>
      <c r="O316" s="71"/>
      <c r="P316" s="71"/>
      <c r="Q316" s="71"/>
      <c r="R316" s="101"/>
      <c r="S316" s="101"/>
      <c r="T316" s="71"/>
      <c r="U316" s="101"/>
      <c r="V316" s="101"/>
      <c r="W316" s="102"/>
      <c r="X316" s="102"/>
      <c r="Y316" s="102"/>
      <c r="Z316" s="102"/>
      <c r="AA316" s="102"/>
      <c r="AB316" s="102"/>
      <c r="AC316" s="71"/>
      <c r="AD316" s="101"/>
      <c r="AE316" s="101"/>
      <c r="AF316" s="102"/>
      <c r="AG316" s="102"/>
      <c r="AH316" s="102"/>
      <c r="AI316" s="101"/>
      <c r="AJ316" s="88"/>
      <c r="AK316" s="88"/>
      <c r="AM316" s="71"/>
      <c r="AN316" s="101"/>
      <c r="AO316" s="101"/>
      <c r="AP316" s="101"/>
      <c r="AQ316" s="101"/>
      <c r="AR316" s="103"/>
      <c r="AS316" s="103"/>
      <c r="AT316" s="103"/>
      <c r="AU316" s="103"/>
      <c r="AV316" s="103"/>
      <c r="BA316" s="103"/>
      <c r="BF316" s="103"/>
      <c r="BG316" s="103"/>
      <c r="BH316" s="103"/>
      <c r="CK316" s="103"/>
      <c r="CL316" s="103"/>
      <c r="CM316" s="103"/>
      <c r="CN316" s="103"/>
      <c r="CO316" s="103"/>
      <c r="CP316" s="103"/>
      <c r="CQ316" s="103"/>
      <c r="CR316" s="103"/>
      <c r="CS316" s="103"/>
      <c r="CT316" s="103"/>
      <c r="DH316" s="103"/>
      <c r="DI316" s="103"/>
      <c r="DJ316" s="103"/>
      <c r="DK316" s="103"/>
      <c r="DL316" s="103"/>
      <c r="DM316" s="103"/>
      <c r="DN316" s="103"/>
      <c r="DO316" s="103"/>
      <c r="DP316" s="103"/>
      <c r="DQ316" s="103"/>
    </row>
    <row r="317" spans="1:121" s="90" customFormat="1" x14ac:dyDescent="0.25">
      <c r="A317" s="71"/>
      <c r="B317" s="71"/>
      <c r="C317" s="71"/>
      <c r="D317" s="71"/>
      <c r="E317" s="71"/>
      <c r="F317" s="101"/>
      <c r="G317" s="101"/>
      <c r="H317" s="71"/>
      <c r="I317" s="71"/>
      <c r="J317" s="71"/>
      <c r="K317" s="101"/>
      <c r="L317" s="101"/>
      <c r="M317" s="101"/>
      <c r="N317" s="71"/>
      <c r="O317" s="71"/>
      <c r="P317" s="71"/>
      <c r="Q317" s="71"/>
      <c r="R317" s="101"/>
      <c r="S317" s="101"/>
      <c r="T317" s="71"/>
      <c r="U317" s="101"/>
      <c r="V317" s="101"/>
      <c r="W317" s="102"/>
      <c r="X317" s="102"/>
      <c r="Y317" s="102"/>
      <c r="Z317" s="102"/>
      <c r="AA317" s="102"/>
      <c r="AB317" s="102"/>
      <c r="AC317" s="71"/>
      <c r="AD317" s="101"/>
      <c r="AE317" s="101"/>
      <c r="AF317" s="102"/>
      <c r="AG317" s="102"/>
      <c r="AH317" s="102"/>
      <c r="AI317" s="101"/>
      <c r="AJ317" s="88"/>
      <c r="AK317" s="88"/>
      <c r="AM317" s="71"/>
      <c r="AN317" s="101"/>
      <c r="AO317" s="101"/>
      <c r="AP317" s="101"/>
      <c r="AQ317" s="101"/>
      <c r="AR317" s="103"/>
      <c r="AS317" s="103"/>
      <c r="AT317" s="103"/>
      <c r="AU317" s="103"/>
      <c r="AV317" s="103"/>
      <c r="BA317" s="103"/>
      <c r="BF317" s="103"/>
      <c r="BG317" s="103"/>
      <c r="BH317" s="103"/>
      <c r="CK317" s="103"/>
      <c r="CL317" s="103"/>
      <c r="CM317" s="103"/>
      <c r="CN317" s="103"/>
      <c r="CO317" s="103"/>
      <c r="CP317" s="103"/>
      <c r="CQ317" s="103"/>
      <c r="CR317" s="103"/>
      <c r="CS317" s="103"/>
      <c r="CT317" s="103"/>
      <c r="DH317" s="103"/>
      <c r="DI317" s="103"/>
      <c r="DJ317" s="103"/>
      <c r="DK317" s="103"/>
      <c r="DL317" s="103"/>
      <c r="DM317" s="103"/>
      <c r="DN317" s="103"/>
      <c r="DO317" s="103"/>
      <c r="DP317" s="103"/>
      <c r="DQ317" s="103"/>
    </row>
    <row r="318" spans="1:121" s="90" customFormat="1" x14ac:dyDescent="0.25">
      <c r="A318" s="71"/>
      <c r="B318" s="71"/>
      <c r="C318" s="71"/>
      <c r="D318" s="71"/>
      <c r="E318" s="71"/>
      <c r="F318" s="101"/>
      <c r="G318" s="101"/>
      <c r="H318" s="71"/>
      <c r="I318" s="71"/>
      <c r="J318" s="71"/>
      <c r="K318" s="101"/>
      <c r="L318" s="101"/>
      <c r="M318" s="101"/>
      <c r="N318" s="71"/>
      <c r="O318" s="71"/>
      <c r="P318" s="71"/>
      <c r="Q318" s="71"/>
      <c r="R318" s="101"/>
      <c r="S318" s="101"/>
      <c r="T318" s="71"/>
      <c r="U318" s="101"/>
      <c r="V318" s="101"/>
      <c r="W318" s="102"/>
      <c r="X318" s="102"/>
      <c r="Y318" s="102"/>
      <c r="Z318" s="102"/>
      <c r="AA318" s="102"/>
      <c r="AB318" s="102"/>
      <c r="AC318" s="71"/>
      <c r="AD318" s="101"/>
      <c r="AE318" s="101"/>
      <c r="AF318" s="102"/>
      <c r="AG318" s="102"/>
      <c r="AH318" s="102"/>
      <c r="AI318" s="101"/>
      <c r="AJ318" s="88"/>
      <c r="AK318" s="88"/>
      <c r="AM318" s="71"/>
      <c r="AN318" s="101"/>
      <c r="AO318" s="101"/>
      <c r="AP318" s="101"/>
      <c r="AQ318" s="101"/>
      <c r="AR318" s="103"/>
      <c r="AS318" s="103"/>
      <c r="AT318" s="103"/>
      <c r="AU318" s="103"/>
      <c r="AV318" s="103"/>
      <c r="BA318" s="103"/>
      <c r="BF318" s="103"/>
      <c r="BG318" s="103"/>
      <c r="BH318" s="103"/>
      <c r="CK318" s="103"/>
      <c r="CL318" s="103"/>
      <c r="CM318" s="103"/>
      <c r="CN318" s="103"/>
      <c r="CO318" s="103"/>
      <c r="CP318" s="103"/>
      <c r="CQ318" s="103"/>
      <c r="CR318" s="103"/>
      <c r="CS318" s="103"/>
      <c r="CT318" s="103"/>
      <c r="DH318" s="103"/>
      <c r="DI318" s="103"/>
      <c r="DJ318" s="103"/>
      <c r="DK318" s="103"/>
      <c r="DL318" s="103"/>
      <c r="DM318" s="103"/>
      <c r="DN318" s="103"/>
      <c r="DO318" s="103"/>
      <c r="DP318" s="103"/>
      <c r="DQ318" s="103"/>
    </row>
    <row r="319" spans="1:121" s="90" customFormat="1" x14ac:dyDescent="0.25">
      <c r="A319" s="71"/>
      <c r="B319" s="71"/>
      <c r="C319" s="71"/>
      <c r="D319" s="71"/>
      <c r="E319" s="71"/>
      <c r="F319" s="101"/>
      <c r="G319" s="101"/>
      <c r="H319" s="71"/>
      <c r="I319" s="71"/>
      <c r="J319" s="71"/>
      <c r="K319" s="101"/>
      <c r="L319" s="101"/>
      <c r="M319" s="101"/>
      <c r="N319" s="71"/>
      <c r="O319" s="71"/>
      <c r="P319" s="71"/>
      <c r="Q319" s="71"/>
      <c r="R319" s="101"/>
      <c r="S319" s="101"/>
      <c r="T319" s="71"/>
      <c r="U319" s="101"/>
      <c r="V319" s="101"/>
      <c r="W319" s="102"/>
      <c r="X319" s="102"/>
      <c r="Y319" s="102"/>
      <c r="Z319" s="102"/>
      <c r="AA319" s="102"/>
      <c r="AB319" s="102"/>
      <c r="AC319" s="71"/>
      <c r="AD319" s="101"/>
      <c r="AE319" s="101"/>
      <c r="AF319" s="102"/>
      <c r="AG319" s="102"/>
      <c r="AH319" s="102"/>
      <c r="AI319" s="101"/>
      <c r="AJ319" s="88"/>
      <c r="AK319" s="88"/>
      <c r="AM319" s="71"/>
      <c r="AN319" s="101"/>
      <c r="AO319" s="101"/>
      <c r="AP319" s="101"/>
      <c r="AQ319" s="101"/>
      <c r="AR319" s="103"/>
      <c r="AS319" s="103"/>
      <c r="AT319" s="103"/>
      <c r="AU319" s="103"/>
      <c r="AV319" s="103"/>
      <c r="BA319" s="103"/>
      <c r="BF319" s="103"/>
      <c r="BG319" s="103"/>
      <c r="BH319" s="103"/>
      <c r="CK319" s="103"/>
      <c r="CL319" s="103"/>
      <c r="CM319" s="103"/>
      <c r="CN319" s="103"/>
      <c r="CO319" s="103"/>
      <c r="CP319" s="103"/>
      <c r="CQ319" s="103"/>
      <c r="CR319" s="103"/>
      <c r="CS319" s="103"/>
      <c r="CT319" s="103"/>
      <c r="DH319" s="103"/>
      <c r="DI319" s="103"/>
      <c r="DJ319" s="103"/>
      <c r="DK319" s="103"/>
      <c r="DL319" s="103"/>
      <c r="DM319" s="103"/>
      <c r="DN319" s="103"/>
      <c r="DO319" s="103"/>
      <c r="DP319" s="103"/>
      <c r="DQ319" s="103"/>
    </row>
    <row r="320" spans="1:121" s="90" customFormat="1" x14ac:dyDescent="0.25">
      <c r="A320" s="71"/>
      <c r="B320" s="71"/>
      <c r="C320" s="71"/>
      <c r="D320" s="71"/>
      <c r="E320" s="71"/>
      <c r="F320" s="101"/>
      <c r="G320" s="101"/>
      <c r="H320" s="71"/>
      <c r="I320" s="71"/>
      <c r="J320" s="71"/>
      <c r="K320" s="101"/>
      <c r="L320" s="101"/>
      <c r="M320" s="101"/>
      <c r="N320" s="71"/>
      <c r="O320" s="71"/>
      <c r="P320" s="71"/>
      <c r="Q320" s="71"/>
      <c r="R320" s="101"/>
      <c r="S320" s="101"/>
      <c r="T320" s="71"/>
      <c r="U320" s="101"/>
      <c r="V320" s="101"/>
      <c r="W320" s="102"/>
      <c r="X320" s="102"/>
      <c r="Y320" s="102"/>
      <c r="Z320" s="102"/>
      <c r="AA320" s="102"/>
      <c r="AB320" s="102"/>
      <c r="AC320" s="71"/>
      <c r="AD320" s="101"/>
      <c r="AE320" s="101"/>
      <c r="AF320" s="102"/>
      <c r="AG320" s="102"/>
      <c r="AH320" s="102"/>
      <c r="AI320" s="101"/>
      <c r="AJ320" s="88"/>
      <c r="AK320" s="88"/>
      <c r="AM320" s="71"/>
      <c r="AN320" s="101"/>
      <c r="AO320" s="101"/>
      <c r="AP320" s="101"/>
      <c r="AQ320" s="101"/>
      <c r="AR320" s="103"/>
      <c r="AS320" s="103"/>
      <c r="AT320" s="103"/>
      <c r="AU320" s="103"/>
      <c r="AV320" s="103"/>
      <c r="BA320" s="103"/>
      <c r="BF320" s="103"/>
      <c r="BG320" s="103"/>
      <c r="BH320" s="103"/>
      <c r="CK320" s="103"/>
      <c r="CL320" s="103"/>
      <c r="CM320" s="103"/>
      <c r="CN320" s="103"/>
      <c r="CO320" s="103"/>
      <c r="CP320" s="103"/>
      <c r="CQ320" s="103"/>
      <c r="CR320" s="103"/>
      <c r="CS320" s="103"/>
      <c r="CT320" s="103"/>
      <c r="DH320" s="103"/>
      <c r="DI320" s="103"/>
      <c r="DJ320" s="103"/>
      <c r="DK320" s="103"/>
      <c r="DL320" s="103"/>
      <c r="DM320" s="103"/>
      <c r="DN320" s="103"/>
      <c r="DO320" s="103"/>
      <c r="DP320" s="103"/>
      <c r="DQ320" s="103"/>
    </row>
    <row r="321" spans="1:121" s="90" customFormat="1" x14ac:dyDescent="0.25">
      <c r="A321" s="71"/>
      <c r="B321" s="71"/>
      <c r="C321" s="71"/>
      <c r="D321" s="71"/>
      <c r="E321" s="71"/>
      <c r="F321" s="101"/>
      <c r="G321" s="101"/>
      <c r="H321" s="71"/>
      <c r="I321" s="71"/>
      <c r="J321" s="71"/>
      <c r="K321" s="101"/>
      <c r="L321" s="101"/>
      <c r="M321" s="101"/>
      <c r="N321" s="71"/>
      <c r="O321" s="71"/>
      <c r="P321" s="71"/>
      <c r="Q321" s="71"/>
      <c r="R321" s="101"/>
      <c r="S321" s="101"/>
      <c r="T321" s="71"/>
      <c r="U321" s="101"/>
      <c r="V321" s="101"/>
      <c r="W321" s="102"/>
      <c r="X321" s="102"/>
      <c r="Y321" s="102"/>
      <c r="Z321" s="102"/>
      <c r="AA321" s="102"/>
      <c r="AB321" s="102"/>
      <c r="AC321" s="71"/>
      <c r="AD321" s="101"/>
      <c r="AE321" s="101"/>
      <c r="AF321" s="102"/>
      <c r="AG321" s="102"/>
      <c r="AH321" s="102"/>
      <c r="AI321" s="101"/>
      <c r="AJ321" s="88"/>
      <c r="AK321" s="88"/>
      <c r="AM321" s="71"/>
      <c r="AN321" s="101"/>
      <c r="AO321" s="101"/>
      <c r="AP321" s="101"/>
      <c r="AQ321" s="101"/>
      <c r="AR321" s="103"/>
      <c r="AS321" s="103"/>
      <c r="AT321" s="103"/>
      <c r="AU321" s="103"/>
      <c r="AV321" s="103"/>
      <c r="BA321" s="103"/>
      <c r="BF321" s="103"/>
      <c r="BG321" s="103"/>
      <c r="BH321" s="103"/>
      <c r="CK321" s="103"/>
      <c r="CL321" s="103"/>
      <c r="CM321" s="103"/>
      <c r="CN321" s="103"/>
      <c r="CO321" s="103"/>
      <c r="CP321" s="103"/>
      <c r="CQ321" s="103"/>
      <c r="CR321" s="103"/>
      <c r="CS321" s="103"/>
      <c r="CT321" s="103"/>
      <c r="DH321" s="103"/>
      <c r="DI321" s="103"/>
      <c r="DJ321" s="103"/>
      <c r="DK321" s="103"/>
      <c r="DL321" s="103"/>
      <c r="DM321" s="103"/>
      <c r="DN321" s="103"/>
      <c r="DO321" s="103"/>
      <c r="DP321" s="103"/>
      <c r="DQ321" s="103"/>
    </row>
    <row r="322" spans="1:121" s="90" customFormat="1" x14ac:dyDescent="0.25">
      <c r="A322" s="71"/>
      <c r="B322" s="71"/>
      <c r="C322" s="71"/>
      <c r="D322" s="71"/>
      <c r="E322" s="71"/>
      <c r="F322" s="101"/>
      <c r="G322" s="101"/>
      <c r="H322" s="71"/>
      <c r="I322" s="71"/>
      <c r="J322" s="71"/>
      <c r="K322" s="101"/>
      <c r="L322" s="101"/>
      <c r="M322" s="101"/>
      <c r="N322" s="71"/>
      <c r="O322" s="71"/>
      <c r="P322" s="71"/>
      <c r="Q322" s="71"/>
      <c r="R322" s="101"/>
      <c r="S322" s="101"/>
      <c r="T322" s="71"/>
      <c r="U322" s="101"/>
      <c r="V322" s="101"/>
      <c r="W322" s="102"/>
      <c r="X322" s="102"/>
      <c r="Y322" s="102"/>
      <c r="Z322" s="102"/>
      <c r="AA322" s="102"/>
      <c r="AB322" s="102"/>
      <c r="AC322" s="71"/>
      <c r="AD322" s="101"/>
      <c r="AE322" s="101"/>
      <c r="AF322" s="102"/>
      <c r="AG322" s="102"/>
      <c r="AH322" s="102"/>
      <c r="AI322" s="101"/>
      <c r="AJ322" s="88"/>
      <c r="AK322" s="88"/>
      <c r="AM322" s="71"/>
      <c r="AN322" s="101"/>
      <c r="AO322" s="101"/>
      <c r="AP322" s="101"/>
      <c r="AQ322" s="101"/>
      <c r="AR322" s="103"/>
      <c r="AS322" s="103"/>
      <c r="AT322" s="103"/>
      <c r="AU322" s="103"/>
      <c r="AV322" s="103"/>
      <c r="BA322" s="103"/>
      <c r="BF322" s="103"/>
      <c r="BG322" s="103"/>
      <c r="BH322" s="103"/>
      <c r="CK322" s="103"/>
      <c r="CL322" s="103"/>
      <c r="CM322" s="103"/>
      <c r="CN322" s="103"/>
      <c r="CO322" s="103"/>
      <c r="CP322" s="103"/>
      <c r="CQ322" s="103"/>
      <c r="CR322" s="103"/>
      <c r="CS322" s="103"/>
      <c r="CT322" s="103"/>
      <c r="DH322" s="103"/>
      <c r="DI322" s="103"/>
      <c r="DJ322" s="103"/>
      <c r="DK322" s="103"/>
      <c r="DL322" s="103"/>
      <c r="DM322" s="103"/>
      <c r="DN322" s="103"/>
      <c r="DO322" s="103"/>
      <c r="DP322" s="103"/>
      <c r="DQ322" s="103"/>
    </row>
    <row r="323" spans="1:121" s="90" customFormat="1" x14ac:dyDescent="0.25">
      <c r="A323" s="71"/>
      <c r="B323" s="71"/>
      <c r="C323" s="71"/>
      <c r="D323" s="71"/>
      <c r="E323" s="71"/>
      <c r="F323" s="101"/>
      <c r="G323" s="101"/>
      <c r="H323" s="71"/>
      <c r="I323" s="71"/>
      <c r="J323" s="71"/>
      <c r="K323" s="101"/>
      <c r="L323" s="101"/>
      <c r="M323" s="101"/>
      <c r="N323" s="71"/>
      <c r="O323" s="71"/>
      <c r="P323" s="71"/>
      <c r="Q323" s="71"/>
      <c r="R323" s="101"/>
      <c r="S323" s="101"/>
      <c r="T323" s="71"/>
      <c r="U323" s="101"/>
      <c r="V323" s="101"/>
      <c r="W323" s="102"/>
      <c r="X323" s="102"/>
      <c r="Y323" s="102"/>
      <c r="Z323" s="102"/>
      <c r="AA323" s="102"/>
      <c r="AB323" s="102"/>
      <c r="AC323" s="71"/>
      <c r="AD323" s="101"/>
      <c r="AE323" s="101"/>
      <c r="AF323" s="102"/>
      <c r="AG323" s="102"/>
      <c r="AH323" s="102"/>
      <c r="AI323" s="101"/>
      <c r="AJ323" s="88"/>
      <c r="AK323" s="88"/>
      <c r="AM323" s="71"/>
      <c r="AN323" s="101"/>
      <c r="AO323" s="101"/>
      <c r="AP323" s="101"/>
      <c r="AQ323" s="101"/>
      <c r="AR323" s="103"/>
      <c r="AS323" s="103"/>
      <c r="AT323" s="103"/>
      <c r="AU323" s="103"/>
      <c r="AV323" s="103"/>
      <c r="BA323" s="103"/>
      <c r="BF323" s="103"/>
      <c r="BG323" s="103"/>
      <c r="BH323" s="103"/>
      <c r="CK323" s="103"/>
      <c r="CL323" s="103"/>
      <c r="CM323" s="103"/>
      <c r="CN323" s="103"/>
      <c r="CO323" s="103"/>
      <c r="CP323" s="103"/>
      <c r="CQ323" s="103"/>
      <c r="CR323" s="103"/>
      <c r="CS323" s="103"/>
      <c r="CT323" s="103"/>
      <c r="DH323" s="103"/>
      <c r="DI323" s="103"/>
      <c r="DJ323" s="103"/>
      <c r="DK323" s="103"/>
      <c r="DL323" s="103"/>
      <c r="DM323" s="103"/>
      <c r="DN323" s="103"/>
      <c r="DO323" s="103"/>
      <c r="DP323" s="103"/>
      <c r="DQ323" s="103"/>
    </row>
    <row r="324" spans="1:121" s="90" customFormat="1" x14ac:dyDescent="0.25">
      <c r="A324" s="71"/>
      <c r="B324" s="71"/>
      <c r="C324" s="71"/>
      <c r="D324" s="71"/>
      <c r="E324" s="71"/>
      <c r="F324" s="101"/>
      <c r="G324" s="101"/>
      <c r="H324" s="71"/>
      <c r="I324" s="71"/>
      <c r="J324" s="71"/>
      <c r="K324" s="101"/>
      <c r="L324" s="101"/>
      <c r="M324" s="101"/>
      <c r="N324" s="71"/>
      <c r="O324" s="71"/>
      <c r="P324" s="71"/>
      <c r="Q324" s="71"/>
      <c r="R324" s="101"/>
      <c r="S324" s="101"/>
      <c r="T324" s="71"/>
      <c r="U324" s="101"/>
      <c r="V324" s="101"/>
      <c r="W324" s="102"/>
      <c r="X324" s="102"/>
      <c r="Y324" s="102"/>
      <c r="Z324" s="102"/>
      <c r="AA324" s="102"/>
      <c r="AB324" s="102"/>
      <c r="AC324" s="71"/>
      <c r="AD324" s="101"/>
      <c r="AE324" s="101"/>
      <c r="AF324" s="102"/>
      <c r="AG324" s="102"/>
      <c r="AH324" s="102"/>
      <c r="AI324" s="101"/>
      <c r="AJ324" s="88"/>
      <c r="AK324" s="88"/>
      <c r="AM324" s="71"/>
      <c r="AN324" s="101"/>
      <c r="AO324" s="101"/>
      <c r="AP324" s="101"/>
      <c r="AQ324" s="101"/>
      <c r="AR324" s="103"/>
      <c r="AS324" s="103"/>
      <c r="AT324" s="103"/>
      <c r="AU324" s="103"/>
      <c r="AV324" s="103"/>
      <c r="BA324" s="103"/>
      <c r="BF324" s="103"/>
      <c r="BG324" s="103"/>
      <c r="BH324" s="103"/>
      <c r="CK324" s="103"/>
      <c r="CL324" s="103"/>
      <c r="CM324" s="103"/>
      <c r="CN324" s="103"/>
      <c r="CO324" s="103"/>
      <c r="CP324" s="103"/>
      <c r="CQ324" s="103"/>
      <c r="CR324" s="103"/>
      <c r="CS324" s="103"/>
      <c r="CT324" s="103"/>
      <c r="DH324" s="103"/>
      <c r="DI324" s="103"/>
      <c r="DJ324" s="103"/>
      <c r="DK324" s="103"/>
      <c r="DL324" s="103"/>
      <c r="DM324" s="103"/>
      <c r="DN324" s="103"/>
      <c r="DO324" s="103"/>
      <c r="DP324" s="103"/>
      <c r="DQ324" s="103"/>
    </row>
    <row r="325" spans="1:121" s="90" customFormat="1" x14ac:dyDescent="0.25">
      <c r="A325" s="71"/>
      <c r="B325" s="71"/>
      <c r="C325" s="71"/>
      <c r="D325" s="71"/>
      <c r="E325" s="71"/>
      <c r="F325" s="101"/>
      <c r="G325" s="101"/>
      <c r="H325" s="71"/>
      <c r="I325" s="71"/>
      <c r="J325" s="71"/>
      <c r="K325" s="101"/>
      <c r="L325" s="101"/>
      <c r="M325" s="101"/>
      <c r="N325" s="71"/>
      <c r="O325" s="71"/>
      <c r="P325" s="71"/>
      <c r="Q325" s="71"/>
      <c r="R325" s="101"/>
      <c r="S325" s="101"/>
      <c r="T325" s="71"/>
      <c r="U325" s="101"/>
      <c r="V325" s="101"/>
      <c r="W325" s="102"/>
      <c r="X325" s="102"/>
      <c r="Y325" s="102"/>
      <c r="Z325" s="102"/>
      <c r="AA325" s="102"/>
      <c r="AB325" s="102"/>
      <c r="AC325" s="71"/>
      <c r="AD325" s="101"/>
      <c r="AE325" s="101"/>
      <c r="AF325" s="102"/>
      <c r="AG325" s="102"/>
      <c r="AH325" s="102"/>
      <c r="AI325" s="101"/>
      <c r="AJ325" s="88"/>
      <c r="AK325" s="88"/>
      <c r="AM325" s="71"/>
      <c r="AN325" s="101"/>
      <c r="AO325" s="101"/>
      <c r="AP325" s="101"/>
      <c r="AQ325" s="101"/>
      <c r="AR325" s="103"/>
      <c r="AS325" s="103"/>
      <c r="AT325" s="103"/>
      <c r="AU325" s="103"/>
      <c r="AV325" s="103"/>
      <c r="BA325" s="103"/>
      <c r="BF325" s="103"/>
      <c r="BG325" s="103"/>
      <c r="BH325" s="103"/>
      <c r="CK325" s="103"/>
      <c r="CL325" s="103"/>
      <c r="CM325" s="103"/>
      <c r="CN325" s="103"/>
      <c r="CO325" s="103"/>
      <c r="CP325" s="103"/>
      <c r="CQ325" s="103"/>
      <c r="CR325" s="103"/>
      <c r="CS325" s="103"/>
      <c r="CT325" s="103"/>
      <c r="DH325" s="103"/>
      <c r="DI325" s="103"/>
      <c r="DJ325" s="103"/>
      <c r="DK325" s="103"/>
      <c r="DL325" s="103"/>
      <c r="DM325" s="103"/>
      <c r="DN325" s="103"/>
      <c r="DO325" s="103"/>
      <c r="DP325" s="103"/>
      <c r="DQ325" s="103"/>
    </row>
    <row r="326" spans="1:121" s="90" customFormat="1" x14ac:dyDescent="0.25">
      <c r="A326" s="71"/>
      <c r="B326" s="71"/>
      <c r="C326" s="71"/>
      <c r="D326" s="71"/>
      <c r="E326" s="71"/>
      <c r="F326" s="101"/>
      <c r="G326" s="101"/>
      <c r="H326" s="71"/>
      <c r="I326" s="71"/>
      <c r="J326" s="71"/>
      <c r="K326" s="101"/>
      <c r="L326" s="101"/>
      <c r="M326" s="101"/>
      <c r="N326" s="71"/>
      <c r="O326" s="71"/>
      <c r="P326" s="71"/>
      <c r="Q326" s="71"/>
      <c r="R326" s="101"/>
      <c r="S326" s="101"/>
      <c r="T326" s="71"/>
      <c r="U326" s="101"/>
      <c r="V326" s="101"/>
      <c r="W326" s="102"/>
      <c r="X326" s="102"/>
      <c r="Y326" s="102"/>
      <c r="Z326" s="102"/>
      <c r="AA326" s="102"/>
      <c r="AB326" s="102"/>
      <c r="AC326" s="71"/>
      <c r="AD326" s="101"/>
      <c r="AE326" s="101"/>
      <c r="AF326" s="102"/>
      <c r="AG326" s="102"/>
      <c r="AH326" s="102"/>
      <c r="AI326" s="101"/>
      <c r="AJ326" s="88"/>
      <c r="AK326" s="88"/>
      <c r="AM326" s="71"/>
      <c r="AN326" s="101"/>
      <c r="AO326" s="101"/>
      <c r="AP326" s="101"/>
      <c r="AQ326" s="101"/>
      <c r="AR326" s="103"/>
      <c r="AS326" s="103"/>
      <c r="AT326" s="103"/>
      <c r="AU326" s="103"/>
      <c r="AV326" s="103"/>
      <c r="BA326" s="103"/>
      <c r="BF326" s="103"/>
      <c r="BG326" s="103"/>
      <c r="BH326" s="103"/>
      <c r="CK326" s="103"/>
      <c r="CL326" s="103"/>
      <c r="CM326" s="103"/>
      <c r="CN326" s="103"/>
      <c r="CO326" s="103"/>
      <c r="CP326" s="103"/>
      <c r="CQ326" s="103"/>
      <c r="CR326" s="103"/>
      <c r="CS326" s="103"/>
      <c r="CT326" s="103"/>
      <c r="DH326" s="103"/>
      <c r="DI326" s="103"/>
      <c r="DJ326" s="103"/>
      <c r="DK326" s="103"/>
      <c r="DL326" s="103"/>
      <c r="DM326" s="103"/>
      <c r="DN326" s="103"/>
      <c r="DO326" s="103"/>
      <c r="DP326" s="103"/>
      <c r="DQ326" s="103"/>
    </row>
    <row r="327" spans="1:121" s="90" customFormat="1" x14ac:dyDescent="0.25">
      <c r="A327" s="71"/>
      <c r="B327" s="71"/>
      <c r="C327" s="71"/>
      <c r="D327" s="71"/>
      <c r="E327" s="71"/>
      <c r="F327" s="101"/>
      <c r="G327" s="101"/>
      <c r="H327" s="71"/>
      <c r="I327" s="71"/>
      <c r="J327" s="71"/>
      <c r="K327" s="101"/>
      <c r="L327" s="101"/>
      <c r="M327" s="101"/>
      <c r="N327" s="71"/>
      <c r="O327" s="71"/>
      <c r="P327" s="71"/>
      <c r="Q327" s="71"/>
      <c r="R327" s="101"/>
      <c r="S327" s="101"/>
      <c r="T327" s="71"/>
      <c r="U327" s="101"/>
      <c r="V327" s="101"/>
      <c r="W327" s="102"/>
      <c r="X327" s="102"/>
      <c r="Y327" s="102"/>
      <c r="Z327" s="102"/>
      <c r="AA327" s="102"/>
      <c r="AB327" s="102"/>
      <c r="AC327" s="71"/>
      <c r="AD327" s="101"/>
      <c r="AE327" s="101"/>
      <c r="AF327" s="102"/>
      <c r="AG327" s="102"/>
      <c r="AH327" s="102"/>
      <c r="AI327" s="101"/>
      <c r="AJ327" s="88"/>
      <c r="AK327" s="88"/>
      <c r="AM327" s="71"/>
      <c r="AN327" s="101"/>
      <c r="AO327" s="101"/>
      <c r="AP327" s="101"/>
      <c r="AQ327" s="101"/>
      <c r="AR327" s="103"/>
      <c r="AS327" s="103"/>
      <c r="AT327" s="103"/>
      <c r="AU327" s="103"/>
      <c r="AV327" s="103"/>
      <c r="BA327" s="103"/>
      <c r="BF327" s="103"/>
      <c r="BG327" s="103"/>
      <c r="BH327" s="103"/>
      <c r="CK327" s="103"/>
      <c r="CL327" s="103"/>
      <c r="CM327" s="103"/>
      <c r="CN327" s="103"/>
      <c r="CO327" s="103"/>
      <c r="CP327" s="103"/>
      <c r="CQ327" s="103"/>
      <c r="CR327" s="103"/>
      <c r="CS327" s="103"/>
      <c r="CT327" s="103"/>
      <c r="DH327" s="103"/>
      <c r="DI327" s="103"/>
      <c r="DJ327" s="103"/>
      <c r="DK327" s="103"/>
      <c r="DL327" s="103"/>
      <c r="DM327" s="103"/>
      <c r="DN327" s="103"/>
      <c r="DO327" s="103"/>
      <c r="DP327" s="103"/>
      <c r="DQ327" s="103"/>
    </row>
    <row r="328" spans="1:121" s="90" customFormat="1" x14ac:dyDescent="0.25">
      <c r="A328" s="71"/>
      <c r="B328" s="71"/>
      <c r="C328" s="71"/>
      <c r="D328" s="71"/>
      <c r="E328" s="71"/>
      <c r="F328" s="101"/>
      <c r="G328" s="101"/>
      <c r="H328" s="71"/>
      <c r="I328" s="71"/>
      <c r="J328" s="71"/>
      <c r="K328" s="101"/>
      <c r="L328" s="101"/>
      <c r="M328" s="101"/>
      <c r="N328" s="71"/>
      <c r="O328" s="71"/>
      <c r="P328" s="71"/>
      <c r="Q328" s="71"/>
      <c r="R328" s="101"/>
      <c r="S328" s="101"/>
      <c r="T328" s="71"/>
      <c r="U328" s="101"/>
      <c r="V328" s="101"/>
      <c r="W328" s="102"/>
      <c r="X328" s="102"/>
      <c r="Y328" s="102"/>
      <c r="Z328" s="102"/>
      <c r="AA328" s="102"/>
      <c r="AB328" s="102"/>
      <c r="AC328" s="71"/>
      <c r="AD328" s="101"/>
      <c r="AE328" s="101"/>
      <c r="AF328" s="102"/>
      <c r="AG328" s="102"/>
      <c r="AH328" s="102"/>
      <c r="AI328" s="101"/>
      <c r="AJ328" s="88"/>
      <c r="AK328" s="88"/>
      <c r="AM328" s="71"/>
      <c r="AN328" s="101"/>
      <c r="AO328" s="101"/>
      <c r="AP328" s="101"/>
      <c r="AQ328" s="101"/>
      <c r="AR328" s="103"/>
      <c r="AS328" s="103"/>
      <c r="AT328" s="103"/>
      <c r="AU328" s="103"/>
      <c r="AV328" s="103"/>
      <c r="BA328" s="103"/>
      <c r="BF328" s="103"/>
      <c r="BG328" s="103"/>
      <c r="BH328" s="103"/>
      <c r="CK328" s="103"/>
      <c r="CL328" s="103"/>
      <c r="CM328" s="103"/>
      <c r="CN328" s="103"/>
      <c r="CO328" s="103"/>
      <c r="CP328" s="103"/>
      <c r="CQ328" s="103"/>
      <c r="CR328" s="103"/>
      <c r="CS328" s="103"/>
      <c r="CT328" s="103"/>
      <c r="DH328" s="103"/>
      <c r="DI328" s="103"/>
      <c r="DJ328" s="103"/>
      <c r="DK328" s="103"/>
      <c r="DL328" s="103"/>
      <c r="DM328" s="103"/>
      <c r="DN328" s="103"/>
      <c r="DO328" s="103"/>
      <c r="DP328" s="103"/>
      <c r="DQ328" s="103"/>
    </row>
    <row r="329" spans="1:121" s="90" customFormat="1" x14ac:dyDescent="0.25">
      <c r="A329" s="71"/>
      <c r="B329" s="71"/>
      <c r="C329" s="71"/>
      <c r="D329" s="71"/>
      <c r="E329" s="71"/>
      <c r="F329" s="101"/>
      <c r="G329" s="101"/>
      <c r="H329" s="71"/>
      <c r="I329" s="71"/>
      <c r="J329" s="71"/>
      <c r="K329" s="101"/>
      <c r="L329" s="101"/>
      <c r="M329" s="101"/>
      <c r="N329" s="71"/>
      <c r="O329" s="71"/>
      <c r="P329" s="71"/>
      <c r="Q329" s="71"/>
      <c r="R329" s="101"/>
      <c r="S329" s="101"/>
      <c r="T329" s="71"/>
      <c r="U329" s="101"/>
      <c r="V329" s="101"/>
      <c r="W329" s="102"/>
      <c r="X329" s="102"/>
      <c r="Y329" s="102"/>
      <c r="Z329" s="102"/>
      <c r="AA329" s="102"/>
      <c r="AB329" s="102"/>
      <c r="AC329" s="71"/>
      <c r="AD329" s="101"/>
      <c r="AE329" s="101"/>
      <c r="AF329" s="102"/>
      <c r="AG329" s="102"/>
      <c r="AH329" s="102"/>
      <c r="AI329" s="101"/>
      <c r="AJ329" s="88"/>
      <c r="AK329" s="88"/>
      <c r="AM329" s="71"/>
      <c r="AN329" s="101"/>
      <c r="AO329" s="101"/>
      <c r="AP329" s="101"/>
      <c r="AQ329" s="101"/>
      <c r="AR329" s="103"/>
      <c r="AS329" s="103"/>
      <c r="AT329" s="103"/>
      <c r="AU329" s="103"/>
      <c r="AV329" s="103"/>
      <c r="BA329" s="103"/>
      <c r="BF329" s="103"/>
      <c r="BG329" s="103"/>
      <c r="BH329" s="103"/>
      <c r="CK329" s="103"/>
      <c r="CL329" s="103"/>
      <c r="CM329" s="103"/>
      <c r="CN329" s="103"/>
      <c r="CO329" s="103"/>
      <c r="CP329" s="103"/>
      <c r="CQ329" s="103"/>
      <c r="CR329" s="103"/>
      <c r="CS329" s="103"/>
      <c r="CT329" s="103"/>
      <c r="DH329" s="103"/>
      <c r="DI329" s="103"/>
      <c r="DJ329" s="103"/>
      <c r="DK329" s="103"/>
      <c r="DL329" s="103"/>
      <c r="DM329" s="103"/>
      <c r="DN329" s="103"/>
      <c r="DO329" s="103"/>
      <c r="DP329" s="103"/>
      <c r="DQ329" s="103"/>
    </row>
    <row r="330" spans="1:121" s="90" customFormat="1" x14ac:dyDescent="0.25">
      <c r="A330" s="71"/>
      <c r="B330" s="71"/>
      <c r="C330" s="71"/>
      <c r="D330" s="71"/>
      <c r="E330" s="71"/>
      <c r="F330" s="101"/>
      <c r="G330" s="101"/>
      <c r="H330" s="71"/>
      <c r="I330" s="71"/>
      <c r="J330" s="71"/>
      <c r="K330" s="101"/>
      <c r="L330" s="101"/>
      <c r="M330" s="101"/>
      <c r="N330" s="71"/>
      <c r="O330" s="71"/>
      <c r="P330" s="71"/>
      <c r="Q330" s="71"/>
      <c r="R330" s="101"/>
      <c r="S330" s="101"/>
      <c r="T330" s="71"/>
      <c r="U330" s="101"/>
      <c r="V330" s="101"/>
      <c r="W330" s="102"/>
      <c r="X330" s="102"/>
      <c r="Y330" s="102"/>
      <c r="Z330" s="102"/>
      <c r="AA330" s="102"/>
      <c r="AB330" s="102"/>
      <c r="AC330" s="71"/>
      <c r="AD330" s="101"/>
      <c r="AE330" s="101"/>
      <c r="AF330" s="102"/>
      <c r="AG330" s="102"/>
      <c r="AH330" s="102"/>
      <c r="AI330" s="101"/>
      <c r="AJ330" s="88"/>
      <c r="AK330" s="88"/>
      <c r="AM330" s="71"/>
      <c r="AN330" s="101"/>
      <c r="AO330" s="101"/>
      <c r="AP330" s="101"/>
      <c r="AQ330" s="101"/>
      <c r="AR330" s="103"/>
      <c r="AS330" s="103"/>
      <c r="AT330" s="103"/>
      <c r="AU330" s="103"/>
      <c r="AV330" s="103"/>
      <c r="BA330" s="103"/>
      <c r="BF330" s="103"/>
      <c r="BG330" s="103"/>
      <c r="BH330" s="103"/>
      <c r="CK330" s="103"/>
      <c r="CL330" s="103"/>
      <c r="CM330" s="103"/>
      <c r="CN330" s="103"/>
      <c r="CO330" s="103"/>
      <c r="CP330" s="103"/>
      <c r="CQ330" s="103"/>
      <c r="CR330" s="103"/>
      <c r="CS330" s="103"/>
      <c r="CT330" s="103"/>
      <c r="DH330" s="103"/>
      <c r="DI330" s="103"/>
      <c r="DJ330" s="103"/>
      <c r="DK330" s="103"/>
      <c r="DL330" s="103"/>
      <c r="DM330" s="103"/>
      <c r="DN330" s="103"/>
      <c r="DO330" s="103"/>
      <c r="DP330" s="103"/>
      <c r="DQ330" s="103"/>
    </row>
    <row r="331" spans="1:121" s="90" customFormat="1" x14ac:dyDescent="0.25">
      <c r="A331" s="71"/>
      <c r="B331" s="71"/>
      <c r="C331" s="71"/>
      <c r="D331" s="71"/>
      <c r="E331" s="71"/>
      <c r="F331" s="101"/>
      <c r="G331" s="101"/>
      <c r="H331" s="71"/>
      <c r="I331" s="71"/>
      <c r="J331" s="71"/>
      <c r="K331" s="101"/>
      <c r="L331" s="101"/>
      <c r="M331" s="101"/>
      <c r="N331" s="71"/>
      <c r="O331" s="71"/>
      <c r="P331" s="71"/>
      <c r="Q331" s="71"/>
      <c r="R331" s="101"/>
      <c r="S331" s="101"/>
      <c r="T331" s="71"/>
      <c r="U331" s="101"/>
      <c r="V331" s="101"/>
      <c r="W331" s="102"/>
      <c r="X331" s="102"/>
      <c r="Y331" s="102"/>
      <c r="Z331" s="102"/>
      <c r="AA331" s="102"/>
      <c r="AB331" s="102"/>
      <c r="AC331" s="71"/>
      <c r="AD331" s="101"/>
      <c r="AE331" s="101"/>
      <c r="AF331" s="102"/>
      <c r="AG331" s="102"/>
      <c r="AH331" s="102"/>
      <c r="AI331" s="101"/>
      <c r="AJ331" s="88"/>
      <c r="AK331" s="88"/>
      <c r="AM331" s="71"/>
      <c r="AN331" s="101"/>
      <c r="AO331" s="101"/>
      <c r="AP331" s="101"/>
      <c r="AQ331" s="101"/>
      <c r="AR331" s="103"/>
      <c r="AS331" s="103"/>
      <c r="AT331" s="103"/>
      <c r="AU331" s="103"/>
      <c r="AV331" s="103"/>
      <c r="BA331" s="103"/>
      <c r="BF331" s="103"/>
      <c r="BG331" s="103"/>
      <c r="BH331" s="103"/>
      <c r="CK331" s="103"/>
      <c r="CL331" s="103"/>
      <c r="CM331" s="103"/>
      <c r="CN331" s="103"/>
      <c r="CO331" s="103"/>
      <c r="CP331" s="103"/>
      <c r="CQ331" s="103"/>
      <c r="CR331" s="103"/>
      <c r="CS331" s="103"/>
      <c r="CT331" s="103"/>
      <c r="DH331" s="103"/>
      <c r="DI331" s="103"/>
      <c r="DJ331" s="103"/>
      <c r="DK331" s="103"/>
      <c r="DL331" s="103"/>
      <c r="DM331" s="103"/>
      <c r="DN331" s="103"/>
      <c r="DO331" s="103"/>
      <c r="DP331" s="103"/>
      <c r="DQ331" s="103"/>
    </row>
    <row r="332" spans="1:121" s="90" customFormat="1" x14ac:dyDescent="0.25">
      <c r="A332" s="71"/>
      <c r="B332" s="71"/>
      <c r="C332" s="71"/>
      <c r="D332" s="71"/>
      <c r="E332" s="71"/>
      <c r="F332" s="101"/>
      <c r="G332" s="101"/>
      <c r="H332" s="71"/>
      <c r="I332" s="71"/>
      <c r="J332" s="71"/>
      <c r="K332" s="101"/>
      <c r="L332" s="101"/>
      <c r="M332" s="101"/>
      <c r="N332" s="71"/>
      <c r="O332" s="71"/>
      <c r="P332" s="71"/>
      <c r="Q332" s="71"/>
      <c r="R332" s="101"/>
      <c r="S332" s="101"/>
      <c r="T332" s="71"/>
      <c r="U332" s="101"/>
      <c r="V332" s="101"/>
      <c r="W332" s="102"/>
      <c r="X332" s="102"/>
      <c r="Y332" s="102"/>
      <c r="Z332" s="102"/>
      <c r="AA332" s="102"/>
      <c r="AB332" s="102"/>
      <c r="AC332" s="71"/>
      <c r="AD332" s="101"/>
      <c r="AE332" s="101"/>
      <c r="AF332" s="102"/>
      <c r="AG332" s="102"/>
      <c r="AH332" s="102"/>
      <c r="AI332" s="101"/>
      <c r="AJ332" s="88"/>
      <c r="AK332" s="88"/>
      <c r="AM332" s="71"/>
      <c r="AN332" s="101"/>
      <c r="AO332" s="101"/>
      <c r="AP332" s="101"/>
      <c r="AQ332" s="101"/>
      <c r="AR332" s="103"/>
      <c r="AS332" s="103"/>
      <c r="AT332" s="103"/>
      <c r="AU332" s="103"/>
      <c r="AV332" s="103"/>
      <c r="BA332" s="103"/>
      <c r="BF332" s="103"/>
      <c r="BG332" s="103"/>
      <c r="BH332" s="103"/>
      <c r="CK332" s="103"/>
      <c r="CL332" s="103"/>
      <c r="CM332" s="103"/>
      <c r="CN332" s="103"/>
      <c r="CO332" s="103"/>
      <c r="CP332" s="103"/>
      <c r="CQ332" s="103"/>
      <c r="CR332" s="103"/>
      <c r="CS332" s="103"/>
      <c r="CT332" s="103"/>
      <c r="DH332" s="103"/>
      <c r="DI332" s="103"/>
      <c r="DJ332" s="103"/>
      <c r="DK332" s="103"/>
      <c r="DL332" s="103"/>
      <c r="DM332" s="103"/>
      <c r="DN332" s="103"/>
      <c r="DO332" s="103"/>
      <c r="DP332" s="103"/>
      <c r="DQ332" s="103"/>
    </row>
    <row r="333" spans="1:121" s="90" customFormat="1" x14ac:dyDescent="0.25">
      <c r="A333" s="71"/>
      <c r="B333" s="71"/>
      <c r="C333" s="71"/>
      <c r="D333" s="71"/>
      <c r="E333" s="71"/>
      <c r="F333" s="101"/>
      <c r="G333" s="101"/>
      <c r="H333" s="71"/>
      <c r="I333" s="71"/>
      <c r="J333" s="71"/>
      <c r="K333" s="101"/>
      <c r="L333" s="101"/>
      <c r="M333" s="101"/>
      <c r="N333" s="71"/>
      <c r="O333" s="71"/>
      <c r="P333" s="71"/>
      <c r="Q333" s="71"/>
      <c r="R333" s="101"/>
      <c r="S333" s="101"/>
      <c r="T333" s="71"/>
      <c r="U333" s="101"/>
      <c r="V333" s="101"/>
      <c r="W333" s="102"/>
      <c r="X333" s="102"/>
      <c r="Y333" s="102"/>
      <c r="Z333" s="102"/>
      <c r="AA333" s="102"/>
      <c r="AB333" s="102"/>
      <c r="AC333" s="71"/>
      <c r="AD333" s="101"/>
      <c r="AE333" s="101"/>
      <c r="AF333" s="102"/>
      <c r="AG333" s="102"/>
      <c r="AH333" s="102"/>
      <c r="AI333" s="101"/>
      <c r="AJ333" s="88"/>
      <c r="AK333" s="88"/>
      <c r="AM333" s="71"/>
      <c r="AN333" s="101"/>
      <c r="AO333" s="101"/>
      <c r="AP333" s="101"/>
      <c r="AQ333" s="101"/>
      <c r="AR333" s="103"/>
      <c r="AS333" s="103"/>
      <c r="AT333" s="103"/>
      <c r="AU333" s="103"/>
      <c r="AV333" s="103"/>
      <c r="BA333" s="103"/>
      <c r="BF333" s="103"/>
      <c r="BG333" s="103"/>
      <c r="BH333" s="103"/>
      <c r="CK333" s="103"/>
      <c r="CL333" s="103"/>
      <c r="CM333" s="103"/>
      <c r="CN333" s="103"/>
      <c r="CO333" s="103"/>
      <c r="CP333" s="103"/>
      <c r="CQ333" s="103"/>
      <c r="CR333" s="103"/>
      <c r="CS333" s="103"/>
      <c r="CT333" s="103"/>
      <c r="DH333" s="103"/>
      <c r="DI333" s="103"/>
      <c r="DJ333" s="103"/>
      <c r="DK333" s="103"/>
      <c r="DL333" s="103"/>
      <c r="DM333" s="103"/>
      <c r="DN333" s="103"/>
      <c r="DO333" s="103"/>
      <c r="DP333" s="103"/>
      <c r="DQ333" s="103"/>
    </row>
    <row r="334" spans="1:121" s="90" customFormat="1" x14ac:dyDescent="0.25">
      <c r="A334" s="71"/>
      <c r="B334" s="71"/>
      <c r="C334" s="71"/>
      <c r="D334" s="71"/>
      <c r="E334" s="71"/>
      <c r="F334" s="101"/>
      <c r="G334" s="101"/>
      <c r="H334" s="71"/>
      <c r="I334" s="71"/>
      <c r="J334" s="71"/>
      <c r="K334" s="101"/>
      <c r="L334" s="101"/>
      <c r="M334" s="101"/>
      <c r="N334" s="71"/>
      <c r="O334" s="71"/>
      <c r="P334" s="71"/>
      <c r="Q334" s="71"/>
      <c r="R334" s="101"/>
      <c r="S334" s="101"/>
      <c r="T334" s="71"/>
      <c r="U334" s="101"/>
      <c r="V334" s="101"/>
      <c r="W334" s="102"/>
      <c r="X334" s="102"/>
      <c r="Y334" s="102"/>
      <c r="Z334" s="102"/>
      <c r="AA334" s="102"/>
      <c r="AB334" s="102"/>
      <c r="AC334" s="71"/>
      <c r="AD334" s="101"/>
      <c r="AE334" s="101"/>
      <c r="AF334" s="102"/>
      <c r="AG334" s="102"/>
      <c r="AH334" s="102"/>
      <c r="AI334" s="101"/>
      <c r="AJ334" s="88"/>
      <c r="AK334" s="88"/>
      <c r="AM334" s="71"/>
      <c r="AN334" s="101"/>
      <c r="AO334" s="101"/>
      <c r="AP334" s="101"/>
      <c r="AQ334" s="101"/>
      <c r="AR334" s="103"/>
      <c r="AS334" s="103"/>
      <c r="AT334" s="103"/>
      <c r="AU334" s="103"/>
      <c r="AV334" s="103"/>
      <c r="BA334" s="103"/>
      <c r="BF334" s="103"/>
      <c r="BG334" s="103"/>
      <c r="BH334" s="103"/>
      <c r="CK334" s="103"/>
      <c r="CL334" s="103"/>
      <c r="CM334" s="103"/>
      <c r="CN334" s="103"/>
      <c r="CO334" s="103"/>
      <c r="CP334" s="103"/>
      <c r="CQ334" s="103"/>
      <c r="CR334" s="103"/>
      <c r="CS334" s="103"/>
      <c r="CT334" s="103"/>
      <c r="DH334" s="103"/>
      <c r="DI334" s="103"/>
      <c r="DJ334" s="103"/>
      <c r="DK334" s="103"/>
      <c r="DL334" s="103"/>
      <c r="DM334" s="103"/>
      <c r="DN334" s="103"/>
      <c r="DO334" s="103"/>
      <c r="DP334" s="103"/>
      <c r="DQ334" s="103"/>
    </row>
    <row r="335" spans="1:121" s="90" customFormat="1" x14ac:dyDescent="0.25">
      <c r="A335" s="71"/>
      <c r="B335" s="71"/>
      <c r="C335" s="71"/>
      <c r="D335" s="71"/>
      <c r="E335" s="71"/>
      <c r="F335" s="101"/>
      <c r="G335" s="101"/>
      <c r="H335" s="71"/>
      <c r="I335" s="71"/>
      <c r="J335" s="71"/>
      <c r="K335" s="101"/>
      <c r="L335" s="101"/>
      <c r="M335" s="101"/>
      <c r="N335" s="71"/>
      <c r="O335" s="71"/>
      <c r="P335" s="71"/>
      <c r="Q335" s="71"/>
      <c r="R335" s="101"/>
      <c r="S335" s="101"/>
      <c r="T335" s="71"/>
      <c r="U335" s="101"/>
      <c r="V335" s="101"/>
      <c r="W335" s="102"/>
      <c r="X335" s="102"/>
      <c r="Y335" s="102"/>
      <c r="Z335" s="102"/>
      <c r="AA335" s="102"/>
      <c r="AB335" s="102"/>
      <c r="AC335" s="71"/>
      <c r="AD335" s="101"/>
      <c r="AE335" s="101"/>
      <c r="AF335" s="102"/>
      <c r="AG335" s="102"/>
      <c r="AH335" s="102"/>
      <c r="AI335" s="101"/>
      <c r="AJ335" s="88"/>
      <c r="AK335" s="88"/>
      <c r="AM335" s="71"/>
      <c r="AN335" s="101"/>
      <c r="AO335" s="101"/>
      <c r="AP335" s="101"/>
      <c r="AQ335" s="101"/>
      <c r="AR335" s="103"/>
      <c r="AS335" s="103"/>
      <c r="AT335" s="103"/>
      <c r="AU335" s="103"/>
      <c r="AV335" s="103"/>
      <c r="BA335" s="103"/>
      <c r="BF335" s="103"/>
      <c r="BG335" s="103"/>
      <c r="BH335" s="103"/>
      <c r="CK335" s="103"/>
      <c r="CL335" s="103"/>
      <c r="CM335" s="103"/>
      <c r="CN335" s="103"/>
      <c r="CO335" s="103"/>
      <c r="CP335" s="103"/>
      <c r="CQ335" s="103"/>
      <c r="CR335" s="103"/>
      <c r="CS335" s="103"/>
      <c r="CT335" s="103"/>
      <c r="DH335" s="103"/>
      <c r="DI335" s="103"/>
      <c r="DJ335" s="103"/>
      <c r="DK335" s="103"/>
      <c r="DL335" s="103"/>
      <c r="DM335" s="103"/>
      <c r="DN335" s="103"/>
      <c r="DO335" s="103"/>
      <c r="DP335" s="103"/>
      <c r="DQ335" s="103"/>
    </row>
    <row r="336" spans="1:121" s="90" customFormat="1" x14ac:dyDescent="0.25">
      <c r="A336" s="71"/>
      <c r="B336" s="71"/>
      <c r="C336" s="71"/>
      <c r="D336" s="71"/>
      <c r="E336" s="71"/>
      <c r="F336" s="101"/>
      <c r="G336" s="101"/>
      <c r="H336" s="71"/>
      <c r="I336" s="71"/>
      <c r="J336" s="71"/>
      <c r="K336" s="101"/>
      <c r="L336" s="101"/>
      <c r="M336" s="101"/>
      <c r="N336" s="71"/>
      <c r="O336" s="71"/>
      <c r="P336" s="71"/>
      <c r="Q336" s="71"/>
      <c r="R336" s="101"/>
      <c r="S336" s="101"/>
      <c r="T336" s="71"/>
      <c r="U336" s="101"/>
      <c r="V336" s="101"/>
      <c r="W336" s="102"/>
      <c r="X336" s="102"/>
      <c r="Y336" s="102"/>
      <c r="Z336" s="102"/>
      <c r="AA336" s="102"/>
      <c r="AB336" s="102"/>
      <c r="AC336" s="71"/>
      <c r="AD336" s="101"/>
      <c r="AE336" s="101"/>
      <c r="AF336" s="102"/>
      <c r="AG336" s="102"/>
      <c r="AH336" s="102"/>
      <c r="AI336" s="101"/>
      <c r="AJ336" s="88"/>
      <c r="AK336" s="88"/>
      <c r="AM336" s="71"/>
      <c r="AN336" s="101"/>
      <c r="AO336" s="101"/>
      <c r="AP336" s="101"/>
      <c r="AQ336" s="101"/>
      <c r="AR336" s="103"/>
      <c r="AS336" s="103"/>
      <c r="AT336" s="103"/>
      <c r="AU336" s="103"/>
      <c r="AV336" s="103"/>
      <c r="BA336" s="103"/>
      <c r="BF336" s="103"/>
      <c r="BG336" s="103"/>
      <c r="BH336" s="103"/>
      <c r="CK336" s="103"/>
      <c r="CL336" s="103"/>
      <c r="CM336" s="103"/>
      <c r="CN336" s="103"/>
      <c r="CO336" s="103"/>
      <c r="CP336" s="103"/>
      <c r="CQ336" s="103"/>
      <c r="CR336" s="103"/>
      <c r="CS336" s="103"/>
      <c r="CT336" s="103"/>
      <c r="DH336" s="103"/>
      <c r="DI336" s="103"/>
      <c r="DJ336" s="103"/>
      <c r="DK336" s="103"/>
      <c r="DL336" s="103"/>
      <c r="DM336" s="103"/>
      <c r="DN336" s="103"/>
      <c r="DO336" s="103"/>
      <c r="DP336" s="103"/>
      <c r="DQ336" s="103"/>
    </row>
    <row r="337" spans="1:121" s="90" customFormat="1" x14ac:dyDescent="0.25">
      <c r="A337" s="71"/>
      <c r="B337" s="71"/>
      <c r="C337" s="71"/>
      <c r="D337" s="71"/>
      <c r="E337" s="71"/>
      <c r="F337" s="101"/>
      <c r="G337" s="101"/>
      <c r="H337" s="71"/>
      <c r="I337" s="71"/>
      <c r="J337" s="71"/>
      <c r="K337" s="101"/>
      <c r="L337" s="101"/>
      <c r="M337" s="101"/>
      <c r="N337" s="71"/>
      <c r="O337" s="71"/>
      <c r="P337" s="71"/>
      <c r="Q337" s="71"/>
      <c r="R337" s="101"/>
      <c r="S337" s="101"/>
      <c r="T337" s="71"/>
      <c r="U337" s="101"/>
      <c r="V337" s="101"/>
      <c r="W337" s="102"/>
      <c r="X337" s="102"/>
      <c r="Y337" s="102"/>
      <c r="Z337" s="102"/>
      <c r="AA337" s="102"/>
      <c r="AB337" s="102"/>
      <c r="AC337" s="71"/>
      <c r="AD337" s="101"/>
      <c r="AE337" s="101"/>
      <c r="AF337" s="102"/>
      <c r="AG337" s="102"/>
      <c r="AH337" s="102"/>
      <c r="AI337" s="101"/>
      <c r="AJ337" s="88"/>
      <c r="AK337" s="88"/>
      <c r="AM337" s="71"/>
      <c r="AN337" s="101"/>
      <c r="AO337" s="101"/>
      <c r="AP337" s="101"/>
      <c r="AQ337" s="101"/>
      <c r="AR337" s="103"/>
      <c r="AS337" s="103"/>
      <c r="AT337" s="103"/>
      <c r="AU337" s="103"/>
      <c r="AV337" s="103"/>
      <c r="BA337" s="103"/>
      <c r="BF337" s="103"/>
      <c r="BG337" s="103"/>
      <c r="BH337" s="103"/>
      <c r="CK337" s="103"/>
      <c r="CL337" s="103"/>
      <c r="CM337" s="103"/>
      <c r="CN337" s="103"/>
      <c r="CO337" s="103"/>
      <c r="CP337" s="103"/>
      <c r="CQ337" s="103"/>
      <c r="CR337" s="103"/>
      <c r="CS337" s="103"/>
      <c r="CT337" s="103"/>
      <c r="DH337" s="103"/>
      <c r="DI337" s="103"/>
      <c r="DJ337" s="103"/>
      <c r="DK337" s="103"/>
      <c r="DL337" s="103"/>
      <c r="DM337" s="103"/>
      <c r="DN337" s="103"/>
      <c r="DO337" s="103"/>
      <c r="DP337" s="103"/>
      <c r="DQ337" s="103"/>
    </row>
    <row r="338" spans="1:121" s="90" customFormat="1" x14ac:dyDescent="0.25">
      <c r="A338" s="71"/>
      <c r="B338" s="71"/>
      <c r="C338" s="71"/>
      <c r="D338" s="71"/>
      <c r="E338" s="71"/>
      <c r="F338" s="101"/>
      <c r="G338" s="101"/>
      <c r="H338" s="71"/>
      <c r="I338" s="71"/>
      <c r="J338" s="71"/>
      <c r="K338" s="101"/>
      <c r="L338" s="101"/>
      <c r="M338" s="101"/>
      <c r="N338" s="71"/>
      <c r="O338" s="71"/>
      <c r="P338" s="71"/>
      <c r="Q338" s="71"/>
      <c r="R338" s="101"/>
      <c r="S338" s="101"/>
      <c r="T338" s="71"/>
      <c r="U338" s="101"/>
      <c r="V338" s="101"/>
      <c r="W338" s="102"/>
      <c r="X338" s="102"/>
      <c r="Y338" s="102"/>
      <c r="Z338" s="102"/>
      <c r="AA338" s="102"/>
      <c r="AB338" s="102"/>
      <c r="AC338" s="71"/>
      <c r="AD338" s="101"/>
      <c r="AE338" s="101"/>
      <c r="AF338" s="102"/>
      <c r="AG338" s="102"/>
      <c r="AH338" s="102"/>
      <c r="AI338" s="101"/>
      <c r="AJ338" s="88"/>
      <c r="AK338" s="88"/>
      <c r="AM338" s="71"/>
      <c r="AN338" s="101"/>
      <c r="AO338" s="101"/>
      <c r="AP338" s="101"/>
      <c r="AQ338" s="101"/>
      <c r="AR338" s="103"/>
      <c r="AS338" s="103"/>
      <c r="AT338" s="103"/>
      <c r="AU338" s="103"/>
      <c r="AV338" s="103"/>
      <c r="BA338" s="103"/>
      <c r="BF338" s="103"/>
      <c r="BG338" s="103"/>
      <c r="BH338" s="103"/>
      <c r="CK338" s="103"/>
      <c r="CL338" s="103"/>
      <c r="CM338" s="103"/>
      <c r="CN338" s="103"/>
      <c r="CO338" s="103"/>
      <c r="CP338" s="103"/>
      <c r="CQ338" s="103"/>
      <c r="CR338" s="103"/>
      <c r="CS338" s="103"/>
      <c r="CT338" s="103"/>
      <c r="DH338" s="103"/>
      <c r="DI338" s="103"/>
      <c r="DJ338" s="103"/>
      <c r="DK338" s="103"/>
      <c r="DL338" s="103"/>
      <c r="DM338" s="103"/>
      <c r="DN338" s="103"/>
      <c r="DO338" s="103"/>
      <c r="DP338" s="103"/>
      <c r="DQ338" s="103"/>
    </row>
    <row r="339" spans="1:121" s="90" customFormat="1" x14ac:dyDescent="0.25">
      <c r="A339" s="71"/>
      <c r="B339" s="71"/>
      <c r="C339" s="71"/>
      <c r="D339" s="71"/>
      <c r="E339" s="71"/>
      <c r="F339" s="101"/>
      <c r="G339" s="101"/>
      <c r="H339" s="71"/>
      <c r="I339" s="71"/>
      <c r="J339" s="71"/>
      <c r="K339" s="101"/>
      <c r="L339" s="101"/>
      <c r="M339" s="101"/>
      <c r="N339" s="71"/>
      <c r="O339" s="71"/>
      <c r="P339" s="71"/>
      <c r="Q339" s="71"/>
      <c r="R339" s="101"/>
      <c r="S339" s="101"/>
      <c r="T339" s="71"/>
      <c r="U339" s="101"/>
      <c r="V339" s="101"/>
      <c r="W339" s="102"/>
      <c r="X339" s="102"/>
      <c r="Y339" s="102"/>
      <c r="Z339" s="102"/>
      <c r="AA339" s="102"/>
      <c r="AB339" s="102"/>
      <c r="AC339" s="71"/>
      <c r="AD339" s="101"/>
      <c r="AE339" s="101"/>
      <c r="AF339" s="102"/>
      <c r="AG339" s="102"/>
      <c r="AH339" s="102"/>
      <c r="AI339" s="101"/>
      <c r="AJ339" s="88"/>
      <c r="AK339" s="88"/>
      <c r="AM339" s="71"/>
      <c r="AN339" s="101"/>
      <c r="AO339" s="101"/>
      <c r="AP339" s="101"/>
      <c r="AQ339" s="101"/>
      <c r="AR339" s="103"/>
      <c r="AS339" s="103"/>
      <c r="AT339" s="103"/>
      <c r="AU339" s="103"/>
      <c r="AV339" s="103"/>
      <c r="BA339" s="103"/>
      <c r="BF339" s="103"/>
      <c r="BG339" s="103"/>
      <c r="BH339" s="103"/>
      <c r="CK339" s="103"/>
      <c r="CL339" s="103"/>
      <c r="CM339" s="103"/>
      <c r="CN339" s="103"/>
      <c r="CO339" s="103"/>
      <c r="CP339" s="103"/>
      <c r="CQ339" s="103"/>
      <c r="CR339" s="103"/>
      <c r="CS339" s="103"/>
      <c r="CT339" s="103"/>
      <c r="DH339" s="103"/>
      <c r="DI339" s="103"/>
      <c r="DJ339" s="103"/>
      <c r="DK339" s="103"/>
      <c r="DL339" s="103"/>
      <c r="DM339" s="103"/>
      <c r="DN339" s="103"/>
      <c r="DO339" s="103"/>
      <c r="DP339" s="103"/>
      <c r="DQ339" s="103"/>
    </row>
    <row r="340" spans="1:121" s="90" customFormat="1" x14ac:dyDescent="0.25">
      <c r="A340" s="71"/>
      <c r="B340" s="71"/>
      <c r="C340" s="71"/>
      <c r="D340" s="71"/>
      <c r="E340" s="71"/>
      <c r="F340" s="101"/>
      <c r="G340" s="101"/>
      <c r="H340" s="71"/>
      <c r="I340" s="71"/>
      <c r="J340" s="71"/>
      <c r="K340" s="101"/>
      <c r="L340" s="101"/>
      <c r="M340" s="101"/>
      <c r="N340" s="71"/>
      <c r="O340" s="71"/>
      <c r="P340" s="71"/>
      <c r="Q340" s="71"/>
      <c r="R340" s="101"/>
      <c r="S340" s="101"/>
      <c r="T340" s="71"/>
      <c r="U340" s="101"/>
      <c r="V340" s="101"/>
      <c r="W340" s="102"/>
      <c r="X340" s="102"/>
      <c r="Y340" s="102"/>
      <c r="Z340" s="102"/>
      <c r="AA340" s="102"/>
      <c r="AB340" s="102"/>
      <c r="AC340" s="71"/>
      <c r="AD340" s="101"/>
      <c r="AE340" s="101"/>
      <c r="AF340" s="102"/>
      <c r="AG340" s="102"/>
      <c r="AH340" s="102"/>
      <c r="AI340" s="101"/>
      <c r="AJ340" s="88"/>
      <c r="AK340" s="88"/>
      <c r="AM340" s="71"/>
      <c r="AN340" s="101"/>
      <c r="AO340" s="101"/>
      <c r="AP340" s="101"/>
      <c r="AQ340" s="101"/>
      <c r="AR340" s="103"/>
      <c r="AS340" s="103"/>
      <c r="AT340" s="103"/>
      <c r="AU340" s="103"/>
      <c r="AV340" s="103"/>
      <c r="BA340" s="103"/>
      <c r="BF340" s="103"/>
      <c r="BG340" s="103"/>
      <c r="BH340" s="103"/>
      <c r="CK340" s="103"/>
      <c r="CL340" s="103"/>
      <c r="CM340" s="103"/>
      <c r="CN340" s="103"/>
      <c r="CO340" s="103"/>
      <c r="CP340" s="103"/>
      <c r="CQ340" s="103"/>
      <c r="CR340" s="103"/>
      <c r="CS340" s="103"/>
      <c r="CT340" s="103"/>
      <c r="DH340" s="103"/>
      <c r="DI340" s="103"/>
      <c r="DJ340" s="103"/>
      <c r="DK340" s="103"/>
      <c r="DL340" s="103"/>
      <c r="DM340" s="103"/>
      <c r="DN340" s="103"/>
      <c r="DO340" s="103"/>
      <c r="DP340" s="103"/>
      <c r="DQ340" s="103"/>
    </row>
    <row r="341" spans="1:121" s="90" customFormat="1" x14ac:dyDescent="0.25">
      <c r="A341" s="71"/>
      <c r="B341" s="71"/>
      <c r="C341" s="71"/>
      <c r="D341" s="71"/>
      <c r="E341" s="71"/>
      <c r="F341" s="101"/>
      <c r="G341" s="101"/>
      <c r="H341" s="71"/>
      <c r="I341" s="71"/>
      <c r="J341" s="71"/>
      <c r="K341" s="101"/>
      <c r="L341" s="101"/>
      <c r="M341" s="101"/>
      <c r="N341" s="71"/>
      <c r="O341" s="71"/>
      <c r="P341" s="71"/>
      <c r="Q341" s="71"/>
      <c r="R341" s="101"/>
      <c r="S341" s="101"/>
      <c r="T341" s="71"/>
      <c r="U341" s="101"/>
      <c r="V341" s="101"/>
      <c r="W341" s="102"/>
      <c r="X341" s="102"/>
      <c r="Y341" s="102"/>
      <c r="Z341" s="102"/>
      <c r="AA341" s="102"/>
      <c r="AB341" s="102"/>
      <c r="AC341" s="71"/>
      <c r="AD341" s="101"/>
      <c r="AE341" s="101"/>
      <c r="AF341" s="102"/>
      <c r="AG341" s="102"/>
      <c r="AH341" s="102"/>
      <c r="AI341" s="101"/>
      <c r="AJ341" s="88"/>
      <c r="AK341" s="88"/>
      <c r="AM341" s="71"/>
      <c r="AN341" s="101"/>
      <c r="AO341" s="101"/>
      <c r="AP341" s="101"/>
      <c r="AQ341" s="101"/>
      <c r="AR341" s="103"/>
      <c r="AS341" s="103"/>
      <c r="AT341" s="103"/>
      <c r="AU341" s="103"/>
      <c r="AV341" s="103"/>
      <c r="BA341" s="103"/>
      <c r="BF341" s="103"/>
      <c r="BG341" s="103"/>
      <c r="BH341" s="103"/>
      <c r="CK341" s="103"/>
      <c r="CL341" s="103"/>
      <c r="CM341" s="103"/>
      <c r="CN341" s="103"/>
      <c r="CO341" s="103"/>
      <c r="CP341" s="103"/>
      <c r="CQ341" s="103"/>
      <c r="CR341" s="103"/>
      <c r="CS341" s="103"/>
      <c r="CT341" s="103"/>
      <c r="DH341" s="103"/>
      <c r="DI341" s="103"/>
      <c r="DJ341" s="103"/>
      <c r="DK341" s="103"/>
      <c r="DL341" s="103"/>
      <c r="DM341" s="103"/>
      <c r="DN341" s="103"/>
      <c r="DO341" s="103"/>
      <c r="DP341" s="103"/>
      <c r="DQ341" s="103"/>
    </row>
    <row r="342" spans="1:121" s="90" customFormat="1" x14ac:dyDescent="0.25">
      <c r="A342" s="71"/>
      <c r="B342" s="71"/>
      <c r="C342" s="71"/>
      <c r="D342" s="71"/>
      <c r="E342" s="71"/>
      <c r="F342" s="101"/>
      <c r="G342" s="101"/>
      <c r="H342" s="71"/>
      <c r="I342" s="71"/>
      <c r="J342" s="71"/>
      <c r="K342" s="101"/>
      <c r="L342" s="101"/>
      <c r="M342" s="101"/>
      <c r="N342" s="71"/>
      <c r="O342" s="71"/>
      <c r="P342" s="71"/>
      <c r="Q342" s="71"/>
      <c r="R342" s="101"/>
      <c r="S342" s="101"/>
      <c r="T342" s="71"/>
      <c r="U342" s="101"/>
      <c r="V342" s="101"/>
      <c r="W342" s="102"/>
      <c r="X342" s="102"/>
      <c r="Y342" s="102"/>
      <c r="Z342" s="102"/>
      <c r="AA342" s="102"/>
      <c r="AB342" s="102"/>
      <c r="AC342" s="71"/>
      <c r="AD342" s="101"/>
      <c r="AE342" s="101"/>
      <c r="AF342" s="102"/>
      <c r="AG342" s="102"/>
      <c r="AH342" s="102"/>
      <c r="AI342" s="101"/>
      <c r="AJ342" s="88"/>
      <c r="AK342" s="88"/>
      <c r="AM342" s="71"/>
      <c r="AN342" s="101"/>
      <c r="AO342" s="101"/>
      <c r="AP342" s="101"/>
      <c r="AQ342" s="101"/>
      <c r="AR342" s="103"/>
      <c r="AS342" s="103"/>
      <c r="AT342" s="103"/>
      <c r="AU342" s="103"/>
      <c r="AV342" s="103"/>
      <c r="BA342" s="103"/>
      <c r="BF342" s="103"/>
      <c r="BG342" s="103"/>
      <c r="BH342" s="103"/>
      <c r="CK342" s="103"/>
      <c r="CL342" s="103"/>
      <c r="CM342" s="103"/>
      <c r="CN342" s="103"/>
      <c r="CO342" s="103"/>
      <c r="CP342" s="103"/>
      <c r="CQ342" s="103"/>
      <c r="CR342" s="103"/>
      <c r="CS342" s="103"/>
      <c r="CT342" s="103"/>
      <c r="DH342" s="103"/>
      <c r="DI342" s="103"/>
      <c r="DJ342" s="103"/>
      <c r="DK342" s="103"/>
      <c r="DL342" s="103"/>
      <c r="DM342" s="103"/>
      <c r="DN342" s="103"/>
      <c r="DO342" s="103"/>
      <c r="DP342" s="103"/>
      <c r="DQ342" s="103"/>
    </row>
    <row r="343" spans="1:121" s="90" customFormat="1" x14ac:dyDescent="0.25">
      <c r="A343" s="71"/>
      <c r="B343" s="71"/>
      <c r="C343" s="71"/>
      <c r="D343" s="71"/>
      <c r="E343" s="71"/>
      <c r="F343" s="101"/>
      <c r="G343" s="101"/>
      <c r="H343" s="71"/>
      <c r="I343" s="71"/>
      <c r="J343" s="71"/>
      <c r="K343" s="101"/>
      <c r="L343" s="101"/>
      <c r="M343" s="101"/>
      <c r="N343" s="71"/>
      <c r="O343" s="71"/>
      <c r="P343" s="71"/>
      <c r="Q343" s="71"/>
      <c r="R343" s="101"/>
      <c r="S343" s="101"/>
      <c r="T343" s="71"/>
      <c r="U343" s="101"/>
      <c r="V343" s="101"/>
      <c r="W343" s="102"/>
      <c r="X343" s="102"/>
      <c r="Y343" s="102"/>
      <c r="Z343" s="102"/>
      <c r="AA343" s="102"/>
      <c r="AB343" s="102"/>
      <c r="AC343" s="71"/>
      <c r="AD343" s="101"/>
      <c r="AE343" s="101"/>
      <c r="AF343" s="102"/>
      <c r="AG343" s="102"/>
      <c r="AH343" s="102"/>
      <c r="AI343" s="101"/>
      <c r="AJ343" s="88"/>
      <c r="AK343" s="88"/>
      <c r="AM343" s="71"/>
      <c r="AN343" s="101"/>
      <c r="AO343" s="101"/>
      <c r="AP343" s="101"/>
      <c r="AQ343" s="101"/>
      <c r="AR343" s="103"/>
      <c r="AS343" s="103"/>
      <c r="AT343" s="103"/>
      <c r="AU343" s="103"/>
      <c r="AV343" s="103"/>
      <c r="BA343" s="103"/>
      <c r="BF343" s="103"/>
      <c r="BG343" s="103"/>
      <c r="BH343" s="103"/>
      <c r="CK343" s="103"/>
      <c r="CL343" s="103"/>
      <c r="CM343" s="103"/>
      <c r="CN343" s="103"/>
      <c r="CO343" s="103"/>
      <c r="CP343" s="103"/>
      <c r="CQ343" s="103"/>
      <c r="CR343" s="103"/>
      <c r="CS343" s="103"/>
      <c r="CT343" s="103"/>
      <c r="DH343" s="103"/>
      <c r="DI343" s="103"/>
      <c r="DJ343" s="103"/>
      <c r="DK343" s="103"/>
      <c r="DL343" s="103"/>
      <c r="DM343" s="103"/>
      <c r="DN343" s="103"/>
      <c r="DO343" s="103"/>
      <c r="DP343" s="103"/>
      <c r="DQ343" s="103"/>
    </row>
    <row r="344" spans="1:121" s="90" customFormat="1" x14ac:dyDescent="0.25">
      <c r="A344" s="71"/>
      <c r="B344" s="71"/>
      <c r="C344" s="71"/>
      <c r="D344" s="71"/>
      <c r="E344" s="71"/>
      <c r="F344" s="101"/>
      <c r="G344" s="101"/>
      <c r="H344" s="71"/>
      <c r="I344" s="71"/>
      <c r="J344" s="71"/>
      <c r="K344" s="101"/>
      <c r="L344" s="101"/>
      <c r="M344" s="101"/>
      <c r="N344" s="71"/>
      <c r="O344" s="71"/>
      <c r="P344" s="71"/>
      <c r="Q344" s="71"/>
      <c r="R344" s="101"/>
      <c r="S344" s="101"/>
      <c r="T344" s="71"/>
      <c r="U344" s="101"/>
      <c r="V344" s="101"/>
      <c r="W344" s="102"/>
      <c r="X344" s="102"/>
      <c r="Y344" s="102"/>
      <c r="Z344" s="102"/>
      <c r="AA344" s="102"/>
      <c r="AB344" s="102"/>
      <c r="AC344" s="71"/>
      <c r="AD344" s="101"/>
      <c r="AE344" s="101"/>
      <c r="AF344" s="102"/>
      <c r="AG344" s="102"/>
      <c r="AH344" s="102"/>
      <c r="AI344" s="101"/>
      <c r="AJ344" s="88"/>
      <c r="AK344" s="88"/>
      <c r="AM344" s="71"/>
      <c r="AN344" s="101"/>
      <c r="AO344" s="101"/>
      <c r="AP344" s="101"/>
      <c r="AQ344" s="101"/>
      <c r="AR344" s="103"/>
      <c r="AS344" s="103"/>
      <c r="AT344" s="103"/>
      <c r="AU344" s="103"/>
      <c r="AV344" s="103"/>
      <c r="BA344" s="103"/>
      <c r="BF344" s="103"/>
      <c r="BG344" s="103"/>
      <c r="BH344" s="103"/>
      <c r="CK344" s="103"/>
      <c r="CL344" s="103"/>
      <c r="CM344" s="103"/>
      <c r="CN344" s="103"/>
      <c r="CO344" s="103"/>
      <c r="CP344" s="103"/>
      <c r="CQ344" s="103"/>
      <c r="CR344" s="103"/>
      <c r="CS344" s="103"/>
      <c r="CT344" s="103"/>
      <c r="DH344" s="103"/>
      <c r="DI344" s="103"/>
      <c r="DJ344" s="103"/>
      <c r="DK344" s="103"/>
      <c r="DL344" s="103"/>
      <c r="DM344" s="103"/>
      <c r="DN344" s="103"/>
      <c r="DO344" s="103"/>
      <c r="DP344" s="103"/>
      <c r="DQ344" s="103"/>
    </row>
    <row r="345" spans="1:121" s="90" customFormat="1" x14ac:dyDescent="0.25">
      <c r="A345" s="71"/>
      <c r="B345" s="71"/>
      <c r="C345" s="71"/>
      <c r="D345" s="71"/>
      <c r="E345" s="71"/>
      <c r="F345" s="101"/>
      <c r="G345" s="101"/>
      <c r="H345" s="71"/>
      <c r="I345" s="71"/>
      <c r="J345" s="71"/>
      <c r="K345" s="101"/>
      <c r="L345" s="101"/>
      <c r="M345" s="101"/>
      <c r="N345" s="71"/>
      <c r="O345" s="71"/>
      <c r="P345" s="71"/>
      <c r="Q345" s="71"/>
      <c r="R345" s="101"/>
      <c r="S345" s="101"/>
      <c r="T345" s="71"/>
      <c r="U345" s="101"/>
      <c r="V345" s="101"/>
      <c r="W345" s="102"/>
      <c r="X345" s="102"/>
      <c r="Y345" s="102"/>
      <c r="Z345" s="102"/>
      <c r="AA345" s="102"/>
      <c r="AB345" s="102"/>
      <c r="AC345" s="71"/>
      <c r="AD345" s="101"/>
      <c r="AE345" s="101"/>
      <c r="AF345" s="102"/>
      <c r="AG345" s="102"/>
      <c r="AH345" s="102"/>
      <c r="AI345" s="101"/>
      <c r="AJ345" s="88"/>
      <c r="AK345" s="88"/>
      <c r="AM345" s="71"/>
      <c r="AN345" s="101"/>
      <c r="AO345" s="101"/>
      <c r="AP345" s="101"/>
      <c r="AQ345" s="101"/>
      <c r="AR345" s="103"/>
      <c r="AS345" s="103"/>
      <c r="AT345" s="103"/>
      <c r="AU345" s="103"/>
      <c r="AV345" s="103"/>
      <c r="BA345" s="103"/>
      <c r="BF345" s="103"/>
      <c r="BG345" s="103"/>
      <c r="BH345" s="103"/>
      <c r="CK345" s="103"/>
      <c r="CL345" s="103"/>
      <c r="CM345" s="103"/>
      <c r="CN345" s="103"/>
      <c r="CO345" s="103"/>
      <c r="CP345" s="103"/>
      <c r="CQ345" s="103"/>
      <c r="CR345" s="103"/>
      <c r="CS345" s="103"/>
      <c r="CT345" s="103"/>
      <c r="DH345" s="103"/>
      <c r="DI345" s="103"/>
      <c r="DJ345" s="103"/>
      <c r="DK345" s="103"/>
      <c r="DL345" s="103"/>
      <c r="DM345" s="103"/>
      <c r="DN345" s="103"/>
      <c r="DO345" s="103"/>
      <c r="DP345" s="103"/>
      <c r="DQ345" s="103"/>
    </row>
    <row r="346" spans="1:121" s="90" customFormat="1" x14ac:dyDescent="0.25">
      <c r="A346" s="71"/>
      <c r="B346" s="71"/>
      <c r="C346" s="71"/>
      <c r="D346" s="71"/>
      <c r="E346" s="71"/>
      <c r="F346" s="101"/>
      <c r="G346" s="101"/>
      <c r="H346" s="71"/>
      <c r="I346" s="71"/>
      <c r="J346" s="71"/>
      <c r="K346" s="101"/>
      <c r="L346" s="101"/>
      <c r="M346" s="101"/>
      <c r="N346" s="71"/>
      <c r="O346" s="71"/>
      <c r="P346" s="71"/>
      <c r="Q346" s="71"/>
      <c r="R346" s="101"/>
      <c r="S346" s="101"/>
      <c r="T346" s="71"/>
      <c r="U346" s="101"/>
      <c r="V346" s="101"/>
      <c r="W346" s="102"/>
      <c r="X346" s="102"/>
      <c r="Y346" s="102"/>
      <c r="Z346" s="102"/>
      <c r="AA346" s="102"/>
      <c r="AB346" s="102"/>
      <c r="AC346" s="71"/>
      <c r="AD346" s="101"/>
      <c r="AE346" s="101"/>
      <c r="AF346" s="102"/>
      <c r="AG346" s="102"/>
      <c r="AH346" s="102"/>
      <c r="AI346" s="101"/>
      <c r="AJ346" s="88"/>
      <c r="AK346" s="88"/>
      <c r="AM346" s="71"/>
      <c r="AN346" s="101"/>
      <c r="AO346" s="101"/>
      <c r="AP346" s="101"/>
      <c r="AQ346" s="101"/>
      <c r="AR346" s="103"/>
      <c r="AS346" s="103"/>
      <c r="AT346" s="103"/>
      <c r="AU346" s="103"/>
      <c r="AV346" s="103"/>
      <c r="BA346" s="103"/>
      <c r="BF346" s="103"/>
      <c r="BG346" s="103"/>
      <c r="BH346" s="103"/>
      <c r="CK346" s="103"/>
      <c r="CL346" s="103"/>
      <c r="CM346" s="103"/>
      <c r="CN346" s="103"/>
      <c r="CO346" s="103"/>
      <c r="CP346" s="103"/>
      <c r="CQ346" s="103"/>
      <c r="CR346" s="103"/>
      <c r="CS346" s="103"/>
      <c r="CT346" s="103"/>
      <c r="DH346" s="103"/>
      <c r="DI346" s="103"/>
      <c r="DJ346" s="103"/>
      <c r="DK346" s="103"/>
      <c r="DL346" s="103"/>
      <c r="DM346" s="103"/>
      <c r="DN346" s="103"/>
      <c r="DO346" s="103"/>
      <c r="DP346" s="103"/>
      <c r="DQ346" s="103"/>
    </row>
    <row r="347" spans="1:121" s="90" customFormat="1" x14ac:dyDescent="0.25">
      <c r="A347" s="71"/>
      <c r="B347" s="71"/>
      <c r="C347" s="71"/>
      <c r="D347" s="71"/>
      <c r="E347" s="71"/>
      <c r="F347" s="101"/>
      <c r="G347" s="101"/>
      <c r="H347" s="71"/>
      <c r="I347" s="71"/>
      <c r="J347" s="71"/>
      <c r="K347" s="101"/>
      <c r="L347" s="101"/>
      <c r="M347" s="101"/>
      <c r="N347" s="71"/>
      <c r="O347" s="71"/>
      <c r="P347" s="71"/>
      <c r="Q347" s="71"/>
      <c r="R347" s="101"/>
      <c r="S347" s="101"/>
      <c r="T347" s="71"/>
      <c r="U347" s="101"/>
      <c r="V347" s="101"/>
      <c r="W347" s="102"/>
      <c r="X347" s="102"/>
      <c r="Y347" s="102"/>
      <c r="Z347" s="102"/>
      <c r="AA347" s="102"/>
      <c r="AB347" s="102"/>
      <c r="AC347" s="71"/>
      <c r="AD347" s="101"/>
      <c r="AE347" s="101"/>
      <c r="AF347" s="102"/>
      <c r="AG347" s="102"/>
      <c r="AH347" s="102"/>
      <c r="AI347" s="101"/>
      <c r="AJ347" s="88"/>
      <c r="AK347" s="88"/>
      <c r="AM347" s="71"/>
      <c r="AN347" s="101"/>
      <c r="AO347" s="101"/>
      <c r="AP347" s="101"/>
      <c r="AQ347" s="101"/>
      <c r="AR347" s="103"/>
      <c r="AS347" s="103"/>
      <c r="AT347" s="103"/>
      <c r="AU347" s="103"/>
      <c r="AV347" s="103"/>
      <c r="BA347" s="103"/>
      <c r="BF347" s="103"/>
      <c r="BG347" s="103"/>
      <c r="BH347" s="103"/>
      <c r="CK347" s="103"/>
      <c r="CL347" s="103"/>
      <c r="CM347" s="103"/>
      <c r="CN347" s="103"/>
      <c r="CO347" s="103"/>
      <c r="CP347" s="103"/>
      <c r="CQ347" s="103"/>
      <c r="CR347" s="103"/>
      <c r="CS347" s="103"/>
      <c r="CT347" s="103"/>
      <c r="DH347" s="103"/>
      <c r="DI347" s="103"/>
      <c r="DJ347" s="103"/>
      <c r="DK347" s="103"/>
      <c r="DL347" s="103"/>
      <c r="DM347" s="103"/>
      <c r="DN347" s="103"/>
      <c r="DO347" s="103"/>
      <c r="DP347" s="103"/>
      <c r="DQ347" s="103"/>
    </row>
    <row r="348" spans="1:121" s="90" customFormat="1" x14ac:dyDescent="0.25">
      <c r="A348" s="71"/>
      <c r="B348" s="71"/>
      <c r="C348" s="71"/>
      <c r="D348" s="71"/>
      <c r="E348" s="71"/>
      <c r="F348" s="101"/>
      <c r="G348" s="101"/>
      <c r="H348" s="71"/>
      <c r="I348" s="71"/>
      <c r="J348" s="71"/>
      <c r="K348" s="101"/>
      <c r="L348" s="101"/>
      <c r="M348" s="101"/>
      <c r="N348" s="71"/>
      <c r="O348" s="71"/>
      <c r="P348" s="71"/>
      <c r="Q348" s="71"/>
      <c r="R348" s="101"/>
      <c r="S348" s="101"/>
      <c r="T348" s="71"/>
      <c r="U348" s="101"/>
      <c r="V348" s="101"/>
      <c r="W348" s="102"/>
      <c r="X348" s="102"/>
      <c r="Y348" s="102"/>
      <c r="Z348" s="102"/>
      <c r="AA348" s="102"/>
      <c r="AB348" s="102"/>
      <c r="AC348" s="71"/>
      <c r="AD348" s="101"/>
      <c r="AE348" s="101"/>
      <c r="AF348" s="102"/>
      <c r="AG348" s="102"/>
      <c r="AH348" s="102"/>
      <c r="AI348" s="101"/>
      <c r="AJ348" s="88"/>
      <c r="AK348" s="88"/>
      <c r="AM348" s="71"/>
      <c r="AN348" s="101"/>
      <c r="AO348" s="101"/>
      <c r="AP348" s="101"/>
      <c r="AQ348" s="101"/>
      <c r="AR348" s="103"/>
      <c r="AS348" s="103"/>
      <c r="AT348" s="103"/>
      <c r="AU348" s="103"/>
      <c r="AV348" s="103"/>
      <c r="BA348" s="103"/>
      <c r="BF348" s="103"/>
      <c r="BG348" s="103"/>
      <c r="BH348" s="103"/>
      <c r="CK348" s="103"/>
      <c r="CL348" s="103"/>
      <c r="CM348" s="103"/>
      <c r="CN348" s="103"/>
      <c r="CO348" s="103"/>
      <c r="CP348" s="103"/>
      <c r="CQ348" s="103"/>
      <c r="CR348" s="103"/>
      <c r="CS348" s="103"/>
      <c r="CT348" s="103"/>
      <c r="DH348" s="103"/>
      <c r="DI348" s="103"/>
      <c r="DJ348" s="103"/>
      <c r="DK348" s="103"/>
      <c r="DL348" s="103"/>
      <c r="DM348" s="103"/>
      <c r="DN348" s="103"/>
      <c r="DO348" s="103"/>
      <c r="DP348" s="103"/>
      <c r="DQ348" s="103"/>
    </row>
    <row r="349" spans="1:121" s="90" customFormat="1" x14ac:dyDescent="0.25">
      <c r="A349" s="71"/>
      <c r="B349" s="71"/>
      <c r="C349" s="71"/>
      <c r="D349" s="71"/>
      <c r="E349" s="71"/>
      <c r="F349" s="101"/>
      <c r="G349" s="101"/>
      <c r="H349" s="71"/>
      <c r="I349" s="71"/>
      <c r="J349" s="71"/>
      <c r="K349" s="101"/>
      <c r="L349" s="101"/>
      <c r="M349" s="101"/>
      <c r="N349" s="71"/>
      <c r="O349" s="71"/>
      <c r="P349" s="71"/>
      <c r="Q349" s="71"/>
      <c r="R349" s="101"/>
      <c r="S349" s="101"/>
      <c r="T349" s="71"/>
      <c r="U349" s="101"/>
      <c r="V349" s="101"/>
      <c r="W349" s="102"/>
      <c r="X349" s="102"/>
      <c r="Y349" s="102"/>
      <c r="Z349" s="102"/>
      <c r="AA349" s="102"/>
      <c r="AB349" s="102"/>
      <c r="AC349" s="71"/>
      <c r="AD349" s="101"/>
      <c r="AE349" s="101"/>
      <c r="AF349" s="102"/>
      <c r="AG349" s="102"/>
      <c r="AH349" s="102"/>
      <c r="AI349" s="101"/>
      <c r="AJ349" s="88"/>
      <c r="AK349" s="88"/>
      <c r="AM349" s="71"/>
      <c r="AN349" s="101"/>
      <c r="AO349" s="101"/>
      <c r="AP349" s="101"/>
      <c r="AQ349" s="101"/>
      <c r="AR349" s="103"/>
      <c r="AS349" s="103"/>
      <c r="AT349" s="103"/>
      <c r="AU349" s="103"/>
      <c r="AV349" s="103"/>
      <c r="BA349" s="103"/>
      <c r="BF349" s="103"/>
      <c r="BG349" s="103"/>
      <c r="BH349" s="103"/>
      <c r="CK349" s="103"/>
      <c r="CL349" s="103"/>
      <c r="CM349" s="103"/>
      <c r="CN349" s="103"/>
      <c r="CO349" s="103"/>
      <c r="CP349" s="103"/>
      <c r="CQ349" s="103"/>
      <c r="CR349" s="103"/>
      <c r="CS349" s="103"/>
      <c r="CT349" s="103"/>
      <c r="DH349" s="103"/>
      <c r="DI349" s="103"/>
      <c r="DJ349" s="103"/>
      <c r="DK349" s="103"/>
      <c r="DL349" s="103"/>
      <c r="DM349" s="103"/>
      <c r="DN349" s="103"/>
      <c r="DO349" s="103"/>
      <c r="DP349" s="103"/>
      <c r="DQ349" s="103"/>
    </row>
    <row r="350" spans="1:121" s="90" customFormat="1" x14ac:dyDescent="0.25">
      <c r="A350" s="71"/>
      <c r="B350" s="71"/>
      <c r="C350" s="71"/>
      <c r="D350" s="71"/>
      <c r="E350" s="71"/>
      <c r="F350" s="101"/>
      <c r="G350" s="101"/>
      <c r="H350" s="71"/>
      <c r="I350" s="71"/>
      <c r="J350" s="71"/>
      <c r="K350" s="101"/>
      <c r="L350" s="101"/>
      <c r="M350" s="101"/>
      <c r="N350" s="71"/>
      <c r="O350" s="71"/>
      <c r="P350" s="71"/>
      <c r="Q350" s="71"/>
      <c r="R350" s="101"/>
      <c r="S350" s="101"/>
      <c r="T350" s="71"/>
      <c r="U350" s="101"/>
      <c r="V350" s="101"/>
      <c r="W350" s="102"/>
      <c r="X350" s="102"/>
      <c r="Y350" s="102"/>
      <c r="Z350" s="102"/>
      <c r="AA350" s="102"/>
      <c r="AB350" s="102"/>
      <c r="AC350" s="71"/>
      <c r="AD350" s="101"/>
      <c r="AE350" s="101"/>
      <c r="AF350" s="102"/>
      <c r="AG350" s="102"/>
      <c r="AH350" s="102"/>
      <c r="AI350" s="101"/>
      <c r="AJ350" s="88"/>
      <c r="AK350" s="88"/>
      <c r="AM350" s="71"/>
      <c r="AN350" s="101"/>
      <c r="AO350" s="101"/>
      <c r="AP350" s="101"/>
      <c r="AQ350" s="101"/>
      <c r="AR350" s="103"/>
      <c r="AS350" s="103"/>
      <c r="AT350" s="103"/>
      <c r="AU350" s="103"/>
      <c r="AV350" s="103"/>
      <c r="BA350" s="103"/>
      <c r="BF350" s="103"/>
      <c r="BG350" s="103"/>
      <c r="BH350" s="103"/>
      <c r="CK350" s="103"/>
      <c r="CL350" s="103"/>
      <c r="CM350" s="103"/>
      <c r="CN350" s="103"/>
      <c r="CO350" s="103"/>
      <c r="CP350" s="103"/>
      <c r="CQ350" s="103"/>
      <c r="CR350" s="103"/>
      <c r="CS350" s="103"/>
      <c r="CT350" s="103"/>
      <c r="DH350" s="103"/>
      <c r="DI350" s="103"/>
      <c r="DJ350" s="103"/>
      <c r="DK350" s="103"/>
      <c r="DL350" s="103"/>
      <c r="DM350" s="103"/>
      <c r="DN350" s="103"/>
      <c r="DO350" s="103"/>
      <c r="DP350" s="103"/>
      <c r="DQ350" s="103"/>
    </row>
    <row r="351" spans="1:121" s="90" customFormat="1" x14ac:dyDescent="0.25">
      <c r="A351" s="71"/>
      <c r="B351" s="71"/>
      <c r="C351" s="71"/>
      <c r="D351" s="71"/>
      <c r="E351" s="71"/>
      <c r="F351" s="101"/>
      <c r="G351" s="101"/>
      <c r="H351" s="71"/>
      <c r="I351" s="71"/>
      <c r="J351" s="71"/>
      <c r="K351" s="101"/>
      <c r="L351" s="101"/>
      <c r="M351" s="101"/>
      <c r="N351" s="71"/>
      <c r="O351" s="71"/>
      <c r="P351" s="71"/>
      <c r="Q351" s="71"/>
      <c r="R351" s="101"/>
      <c r="S351" s="101"/>
      <c r="T351" s="71"/>
      <c r="U351" s="101"/>
      <c r="V351" s="101"/>
      <c r="W351" s="102"/>
      <c r="X351" s="102"/>
      <c r="Y351" s="102"/>
      <c r="Z351" s="102"/>
      <c r="AA351" s="102"/>
      <c r="AB351" s="102"/>
      <c r="AC351" s="71"/>
      <c r="AD351" s="101"/>
      <c r="AE351" s="101"/>
      <c r="AF351" s="102"/>
      <c r="AG351" s="102"/>
      <c r="AH351" s="102"/>
      <c r="AI351" s="101"/>
      <c r="AJ351" s="88"/>
      <c r="AK351" s="88"/>
      <c r="AM351" s="71"/>
      <c r="AN351" s="101"/>
      <c r="AO351" s="101"/>
      <c r="AP351" s="101"/>
      <c r="AQ351" s="101"/>
      <c r="AR351" s="103"/>
      <c r="AS351" s="103"/>
      <c r="AT351" s="103"/>
      <c r="AU351" s="103"/>
      <c r="AV351" s="103"/>
      <c r="BA351" s="103"/>
      <c r="BF351" s="103"/>
      <c r="BG351" s="103"/>
      <c r="BH351" s="103"/>
      <c r="CK351" s="103"/>
      <c r="CL351" s="103"/>
      <c r="CM351" s="103"/>
      <c r="CN351" s="103"/>
      <c r="CO351" s="103"/>
      <c r="CP351" s="103"/>
      <c r="CQ351" s="103"/>
      <c r="CR351" s="103"/>
      <c r="CS351" s="103"/>
      <c r="CT351" s="103"/>
      <c r="DH351" s="103"/>
      <c r="DI351" s="103"/>
      <c r="DJ351" s="103"/>
      <c r="DK351" s="103"/>
      <c r="DL351" s="103"/>
      <c r="DM351" s="103"/>
      <c r="DN351" s="103"/>
      <c r="DO351" s="103"/>
      <c r="DP351" s="103"/>
      <c r="DQ351" s="103"/>
    </row>
    <row r="352" spans="1:121" s="90" customFormat="1" x14ac:dyDescent="0.25">
      <c r="A352" s="71"/>
      <c r="B352" s="71"/>
      <c r="C352" s="71"/>
      <c r="D352" s="71"/>
      <c r="E352" s="71"/>
      <c r="F352" s="101"/>
      <c r="G352" s="101"/>
      <c r="H352" s="71"/>
      <c r="I352" s="71"/>
      <c r="J352" s="71"/>
      <c r="K352" s="101"/>
      <c r="L352" s="101"/>
      <c r="M352" s="101"/>
      <c r="N352" s="71"/>
      <c r="O352" s="71"/>
      <c r="P352" s="71"/>
      <c r="Q352" s="71"/>
      <c r="R352" s="101"/>
      <c r="S352" s="101"/>
      <c r="T352" s="71"/>
      <c r="U352" s="101"/>
      <c r="V352" s="101"/>
      <c r="W352" s="102"/>
      <c r="X352" s="102"/>
      <c r="Y352" s="102"/>
      <c r="Z352" s="102"/>
      <c r="AA352" s="102"/>
      <c r="AB352" s="102"/>
      <c r="AC352" s="71"/>
      <c r="AD352" s="101"/>
      <c r="AE352" s="101"/>
      <c r="AF352" s="102"/>
      <c r="AG352" s="102"/>
      <c r="AH352" s="102"/>
      <c r="AI352" s="101"/>
      <c r="AJ352" s="88"/>
      <c r="AK352" s="88"/>
      <c r="AM352" s="71"/>
      <c r="AN352" s="101"/>
      <c r="AO352" s="101"/>
      <c r="AP352" s="101"/>
      <c r="AQ352" s="101"/>
      <c r="AR352" s="103"/>
      <c r="AS352" s="103"/>
      <c r="AT352" s="103"/>
      <c r="AU352" s="103"/>
      <c r="AV352" s="103"/>
      <c r="BA352" s="103"/>
      <c r="BF352" s="103"/>
      <c r="BG352" s="103"/>
      <c r="BH352" s="103"/>
      <c r="CK352" s="103"/>
      <c r="CL352" s="103"/>
      <c r="CM352" s="103"/>
      <c r="CN352" s="103"/>
      <c r="CO352" s="103"/>
      <c r="CP352" s="103"/>
      <c r="CQ352" s="103"/>
      <c r="CR352" s="103"/>
      <c r="CS352" s="103"/>
      <c r="CT352" s="103"/>
      <c r="DH352" s="103"/>
      <c r="DI352" s="103"/>
      <c r="DJ352" s="103"/>
      <c r="DK352" s="103"/>
      <c r="DL352" s="103"/>
      <c r="DM352" s="103"/>
      <c r="DN352" s="103"/>
      <c r="DO352" s="103"/>
      <c r="DP352" s="103"/>
      <c r="DQ352" s="103"/>
    </row>
    <row r="353" spans="1:121" s="90" customFormat="1" x14ac:dyDescent="0.25">
      <c r="A353" s="71"/>
      <c r="B353" s="71"/>
      <c r="C353" s="71"/>
      <c r="D353" s="71"/>
      <c r="E353" s="71"/>
      <c r="F353" s="101"/>
      <c r="G353" s="101"/>
      <c r="H353" s="71"/>
      <c r="I353" s="71"/>
      <c r="J353" s="71"/>
      <c r="K353" s="101"/>
      <c r="L353" s="101"/>
      <c r="M353" s="101"/>
      <c r="N353" s="71"/>
      <c r="O353" s="71"/>
      <c r="P353" s="71"/>
      <c r="Q353" s="71"/>
      <c r="R353" s="101"/>
      <c r="S353" s="101"/>
      <c r="T353" s="71"/>
      <c r="U353" s="101"/>
      <c r="V353" s="101"/>
      <c r="W353" s="102"/>
      <c r="X353" s="102"/>
      <c r="Y353" s="102"/>
      <c r="Z353" s="102"/>
      <c r="AA353" s="102"/>
      <c r="AB353" s="102"/>
      <c r="AC353" s="71"/>
      <c r="AD353" s="101"/>
      <c r="AE353" s="101"/>
      <c r="AF353" s="102"/>
      <c r="AG353" s="102"/>
      <c r="AH353" s="102"/>
      <c r="AI353" s="101"/>
      <c r="AJ353" s="88"/>
      <c r="AK353" s="88"/>
      <c r="AM353" s="71"/>
      <c r="AN353" s="101"/>
      <c r="AO353" s="101"/>
      <c r="AP353" s="101"/>
      <c r="AQ353" s="101"/>
      <c r="AR353" s="103"/>
      <c r="AS353" s="103"/>
      <c r="AT353" s="103"/>
      <c r="AU353" s="103"/>
      <c r="AV353" s="103"/>
      <c r="BA353" s="103"/>
      <c r="BF353" s="103"/>
      <c r="BG353" s="103"/>
      <c r="BH353" s="103"/>
      <c r="CK353" s="103"/>
      <c r="CL353" s="103"/>
      <c r="CM353" s="103"/>
      <c r="CN353" s="103"/>
      <c r="CO353" s="103"/>
      <c r="CP353" s="103"/>
      <c r="CQ353" s="103"/>
      <c r="CR353" s="103"/>
      <c r="CS353" s="103"/>
      <c r="CT353" s="103"/>
      <c r="DH353" s="103"/>
      <c r="DI353" s="103"/>
      <c r="DJ353" s="103"/>
      <c r="DK353" s="103"/>
      <c r="DL353" s="103"/>
      <c r="DM353" s="103"/>
      <c r="DN353" s="103"/>
      <c r="DO353" s="103"/>
      <c r="DP353" s="103"/>
      <c r="DQ353" s="103"/>
    </row>
    <row r="354" spans="1:121" s="90" customFormat="1" x14ac:dyDescent="0.25">
      <c r="A354" s="71"/>
      <c r="B354" s="71"/>
      <c r="C354" s="71"/>
      <c r="D354" s="71"/>
      <c r="E354" s="71"/>
      <c r="F354" s="101"/>
      <c r="G354" s="101"/>
      <c r="H354" s="71"/>
      <c r="I354" s="71"/>
      <c r="J354" s="71"/>
      <c r="K354" s="101"/>
      <c r="L354" s="101"/>
      <c r="M354" s="101"/>
      <c r="N354" s="71"/>
      <c r="O354" s="71"/>
      <c r="P354" s="71"/>
      <c r="Q354" s="71"/>
      <c r="R354" s="101"/>
      <c r="S354" s="101"/>
      <c r="T354" s="71"/>
      <c r="U354" s="101"/>
      <c r="V354" s="101"/>
      <c r="W354" s="102"/>
      <c r="X354" s="102"/>
      <c r="Y354" s="102"/>
      <c r="Z354" s="102"/>
      <c r="AA354" s="102"/>
      <c r="AB354" s="102"/>
      <c r="AC354" s="71"/>
      <c r="AD354" s="101"/>
      <c r="AE354" s="101"/>
      <c r="AF354" s="102"/>
      <c r="AG354" s="102"/>
      <c r="AH354" s="102"/>
      <c r="AI354" s="101"/>
      <c r="AJ354" s="88"/>
      <c r="AK354" s="88"/>
      <c r="AM354" s="71"/>
      <c r="AN354" s="101"/>
      <c r="AO354" s="101"/>
      <c r="AP354" s="101"/>
      <c r="AQ354" s="101"/>
      <c r="AR354" s="103"/>
      <c r="AS354" s="103"/>
      <c r="AT354" s="103"/>
      <c r="AU354" s="103"/>
      <c r="AV354" s="103"/>
      <c r="BA354" s="103"/>
      <c r="BF354" s="103"/>
      <c r="BG354" s="103"/>
      <c r="BH354" s="103"/>
      <c r="CK354" s="103"/>
      <c r="CL354" s="103"/>
      <c r="CM354" s="103"/>
      <c r="CN354" s="103"/>
      <c r="CO354" s="103"/>
      <c r="CP354" s="103"/>
      <c r="CQ354" s="103"/>
      <c r="CR354" s="103"/>
      <c r="CS354" s="103"/>
      <c r="CT354" s="103"/>
      <c r="DH354" s="103"/>
      <c r="DI354" s="103"/>
      <c r="DJ354" s="103"/>
      <c r="DK354" s="103"/>
      <c r="DL354" s="103"/>
      <c r="DM354" s="103"/>
      <c r="DN354" s="103"/>
      <c r="DO354" s="103"/>
      <c r="DP354" s="103"/>
      <c r="DQ354" s="103"/>
    </row>
    <row r="355" spans="1:121" s="90" customFormat="1" x14ac:dyDescent="0.25">
      <c r="A355" s="71"/>
      <c r="B355" s="71"/>
      <c r="C355" s="71"/>
      <c r="D355" s="71"/>
      <c r="E355" s="71"/>
      <c r="F355" s="101"/>
      <c r="G355" s="101"/>
      <c r="H355" s="71"/>
      <c r="I355" s="71"/>
      <c r="J355" s="71"/>
      <c r="K355" s="101"/>
      <c r="L355" s="101"/>
      <c r="M355" s="101"/>
      <c r="N355" s="71"/>
      <c r="O355" s="71"/>
      <c r="P355" s="71"/>
      <c r="Q355" s="71"/>
      <c r="R355" s="101"/>
      <c r="S355" s="101"/>
      <c r="T355" s="71"/>
      <c r="U355" s="101"/>
      <c r="V355" s="101"/>
      <c r="W355" s="102"/>
      <c r="X355" s="102"/>
      <c r="Y355" s="102"/>
      <c r="Z355" s="102"/>
      <c r="AA355" s="102"/>
      <c r="AB355" s="102"/>
      <c r="AC355" s="71"/>
      <c r="AD355" s="101"/>
      <c r="AE355" s="101"/>
      <c r="AF355" s="102"/>
      <c r="AG355" s="102"/>
      <c r="AH355" s="102"/>
      <c r="AI355" s="101"/>
      <c r="AJ355" s="88"/>
      <c r="AK355" s="88"/>
      <c r="AM355" s="71"/>
      <c r="AN355" s="101"/>
      <c r="AO355" s="101"/>
      <c r="AP355" s="101"/>
      <c r="AQ355" s="101"/>
      <c r="AR355" s="103"/>
      <c r="AS355" s="103"/>
      <c r="AT355" s="103"/>
      <c r="AU355" s="103"/>
      <c r="AV355" s="103"/>
      <c r="BA355" s="103"/>
      <c r="BF355" s="103"/>
      <c r="BG355" s="103"/>
      <c r="BH355" s="103"/>
      <c r="CK355" s="103"/>
      <c r="CL355" s="103"/>
      <c r="CM355" s="103"/>
      <c r="CN355" s="103"/>
      <c r="CO355" s="103"/>
      <c r="CP355" s="103"/>
      <c r="CQ355" s="103"/>
      <c r="CR355" s="103"/>
      <c r="CS355" s="103"/>
      <c r="CT355" s="103"/>
      <c r="DH355" s="103"/>
      <c r="DI355" s="103"/>
      <c r="DJ355" s="103"/>
      <c r="DK355" s="103"/>
      <c r="DL355" s="103"/>
      <c r="DM355" s="103"/>
      <c r="DN355" s="103"/>
      <c r="DO355" s="103"/>
      <c r="DP355" s="103"/>
      <c r="DQ355" s="103"/>
    </row>
    <row r="356" spans="1:121" s="90" customFormat="1" x14ac:dyDescent="0.25">
      <c r="A356" s="71"/>
      <c r="B356" s="71"/>
      <c r="C356" s="71"/>
      <c r="D356" s="71"/>
      <c r="E356" s="71"/>
      <c r="F356" s="101"/>
      <c r="G356" s="101"/>
      <c r="H356" s="71"/>
      <c r="I356" s="71"/>
      <c r="J356" s="71"/>
      <c r="K356" s="101"/>
      <c r="L356" s="101"/>
      <c r="M356" s="101"/>
      <c r="N356" s="71"/>
      <c r="O356" s="71"/>
      <c r="P356" s="71"/>
      <c r="Q356" s="71"/>
      <c r="R356" s="101"/>
      <c r="S356" s="101"/>
      <c r="T356" s="71"/>
      <c r="U356" s="101"/>
      <c r="V356" s="101"/>
      <c r="W356" s="102"/>
      <c r="X356" s="102"/>
      <c r="Y356" s="102"/>
      <c r="Z356" s="102"/>
      <c r="AA356" s="102"/>
      <c r="AB356" s="102"/>
      <c r="AC356" s="71"/>
      <c r="AD356" s="101"/>
      <c r="AE356" s="101"/>
      <c r="AF356" s="102"/>
      <c r="AG356" s="102"/>
      <c r="AH356" s="102"/>
      <c r="AI356" s="101"/>
      <c r="AJ356" s="88"/>
      <c r="AK356" s="88"/>
      <c r="AM356" s="71"/>
      <c r="AN356" s="101"/>
      <c r="AO356" s="101"/>
      <c r="AP356" s="101"/>
      <c r="AQ356" s="101"/>
      <c r="AR356" s="103"/>
      <c r="AS356" s="103"/>
      <c r="AT356" s="103"/>
      <c r="AU356" s="103"/>
      <c r="AV356" s="103"/>
      <c r="BA356" s="103"/>
      <c r="BF356" s="103"/>
      <c r="BG356" s="103"/>
      <c r="BH356" s="103"/>
      <c r="CK356" s="103"/>
      <c r="CL356" s="103"/>
      <c r="CM356" s="103"/>
      <c r="CN356" s="103"/>
      <c r="CO356" s="103"/>
      <c r="CP356" s="103"/>
      <c r="CQ356" s="103"/>
      <c r="CR356" s="103"/>
      <c r="CS356" s="103"/>
      <c r="CT356" s="103"/>
      <c r="DH356" s="103"/>
      <c r="DI356" s="103"/>
      <c r="DJ356" s="103"/>
      <c r="DK356" s="103"/>
      <c r="DL356" s="103"/>
      <c r="DM356" s="103"/>
      <c r="DN356" s="103"/>
      <c r="DO356" s="103"/>
      <c r="DP356" s="103"/>
      <c r="DQ356" s="103"/>
    </row>
    <row r="357" spans="1:121" s="90" customFormat="1" x14ac:dyDescent="0.25">
      <c r="A357" s="71"/>
      <c r="B357" s="71"/>
      <c r="C357" s="71"/>
      <c r="D357" s="71"/>
      <c r="E357" s="71"/>
      <c r="F357" s="101"/>
      <c r="G357" s="101"/>
      <c r="H357" s="71"/>
      <c r="I357" s="71"/>
      <c r="J357" s="71"/>
      <c r="K357" s="101"/>
      <c r="L357" s="101"/>
      <c r="M357" s="101"/>
      <c r="N357" s="71"/>
      <c r="O357" s="71"/>
      <c r="P357" s="71"/>
      <c r="Q357" s="71"/>
      <c r="R357" s="101"/>
      <c r="S357" s="101"/>
      <c r="T357" s="71"/>
      <c r="U357" s="101"/>
      <c r="V357" s="101"/>
      <c r="W357" s="102"/>
      <c r="X357" s="102"/>
      <c r="Y357" s="102"/>
      <c r="Z357" s="102"/>
      <c r="AA357" s="102"/>
      <c r="AB357" s="102"/>
      <c r="AC357" s="71"/>
      <c r="AD357" s="101"/>
      <c r="AE357" s="101"/>
      <c r="AF357" s="102"/>
      <c r="AG357" s="102"/>
      <c r="AH357" s="102"/>
      <c r="AI357" s="101"/>
      <c r="AJ357" s="88"/>
      <c r="AK357" s="88"/>
      <c r="AM357" s="71"/>
      <c r="AN357" s="101"/>
      <c r="AO357" s="101"/>
      <c r="AP357" s="101"/>
      <c r="AQ357" s="101"/>
      <c r="AR357" s="103"/>
      <c r="AS357" s="103"/>
      <c r="AT357" s="103"/>
      <c r="AU357" s="103"/>
      <c r="AV357" s="103"/>
      <c r="BA357" s="103"/>
      <c r="BF357" s="103"/>
      <c r="BG357" s="103"/>
      <c r="BH357" s="103"/>
      <c r="CK357" s="103"/>
      <c r="CL357" s="103"/>
      <c r="CM357" s="103"/>
      <c r="CN357" s="103"/>
      <c r="CO357" s="103"/>
      <c r="CP357" s="103"/>
      <c r="CQ357" s="103"/>
      <c r="CR357" s="103"/>
      <c r="CS357" s="103"/>
      <c r="CT357" s="103"/>
      <c r="DH357" s="103"/>
      <c r="DI357" s="103"/>
      <c r="DJ357" s="103"/>
      <c r="DK357" s="103"/>
      <c r="DL357" s="103"/>
      <c r="DM357" s="103"/>
      <c r="DN357" s="103"/>
      <c r="DO357" s="103"/>
      <c r="DP357" s="103"/>
      <c r="DQ357" s="103"/>
    </row>
    <row r="358" spans="1:121" s="90" customFormat="1" x14ac:dyDescent="0.25">
      <c r="A358" s="71"/>
      <c r="B358" s="71"/>
      <c r="C358" s="71"/>
      <c r="D358" s="71"/>
      <c r="E358" s="71"/>
      <c r="F358" s="101"/>
      <c r="G358" s="101"/>
      <c r="H358" s="71"/>
      <c r="I358" s="71"/>
      <c r="J358" s="71"/>
      <c r="K358" s="101"/>
      <c r="L358" s="101"/>
      <c r="M358" s="101"/>
      <c r="N358" s="71"/>
      <c r="O358" s="71"/>
      <c r="P358" s="71"/>
      <c r="Q358" s="71"/>
      <c r="R358" s="101"/>
      <c r="S358" s="101"/>
      <c r="T358" s="71"/>
      <c r="U358" s="101"/>
      <c r="V358" s="101"/>
      <c r="W358" s="102"/>
      <c r="X358" s="102"/>
      <c r="Y358" s="102"/>
      <c r="Z358" s="102"/>
      <c r="AA358" s="102"/>
      <c r="AB358" s="102"/>
      <c r="AC358" s="71"/>
      <c r="AD358" s="101"/>
      <c r="AE358" s="101"/>
      <c r="AF358" s="102"/>
      <c r="AG358" s="102"/>
      <c r="AH358" s="102"/>
      <c r="AI358" s="101"/>
      <c r="AJ358" s="88"/>
      <c r="AK358" s="88"/>
      <c r="AM358" s="71"/>
      <c r="AN358" s="101"/>
      <c r="AO358" s="101"/>
      <c r="AP358" s="101"/>
      <c r="AQ358" s="101"/>
      <c r="AR358" s="103"/>
      <c r="AS358" s="103"/>
      <c r="AT358" s="103"/>
      <c r="AU358" s="103"/>
      <c r="AV358" s="103"/>
      <c r="BA358" s="103"/>
      <c r="BF358" s="103"/>
      <c r="BG358" s="103"/>
      <c r="BH358" s="103"/>
      <c r="CK358" s="103"/>
      <c r="CL358" s="103"/>
      <c r="CM358" s="103"/>
      <c r="CN358" s="103"/>
      <c r="CO358" s="103"/>
      <c r="CP358" s="103"/>
      <c r="CQ358" s="103"/>
      <c r="CR358" s="103"/>
      <c r="CS358" s="103"/>
      <c r="CT358" s="103"/>
      <c r="DH358" s="103"/>
      <c r="DI358" s="103"/>
      <c r="DJ358" s="103"/>
      <c r="DK358" s="103"/>
      <c r="DL358" s="103"/>
      <c r="DM358" s="103"/>
      <c r="DN358" s="103"/>
      <c r="DO358" s="103"/>
      <c r="DP358" s="103"/>
      <c r="DQ358" s="103"/>
    </row>
    <row r="359" spans="1:121" s="90" customFormat="1" x14ac:dyDescent="0.25">
      <c r="A359" s="71"/>
      <c r="B359" s="71"/>
      <c r="C359" s="71"/>
      <c r="D359" s="71"/>
      <c r="E359" s="71"/>
      <c r="F359" s="101"/>
      <c r="G359" s="101"/>
      <c r="H359" s="71"/>
      <c r="I359" s="71"/>
      <c r="J359" s="71"/>
      <c r="K359" s="101"/>
      <c r="L359" s="101"/>
      <c r="M359" s="101"/>
      <c r="N359" s="71"/>
      <c r="O359" s="71"/>
      <c r="P359" s="71"/>
      <c r="Q359" s="71"/>
      <c r="R359" s="101"/>
      <c r="S359" s="101"/>
      <c r="T359" s="71"/>
      <c r="U359" s="101"/>
      <c r="V359" s="101"/>
      <c r="W359" s="102"/>
      <c r="X359" s="102"/>
      <c r="Y359" s="102"/>
      <c r="Z359" s="102"/>
      <c r="AA359" s="102"/>
      <c r="AB359" s="102"/>
      <c r="AC359" s="71"/>
      <c r="AD359" s="101"/>
      <c r="AE359" s="101"/>
      <c r="AF359" s="102"/>
      <c r="AG359" s="102"/>
      <c r="AH359" s="102"/>
      <c r="AI359" s="101"/>
      <c r="AJ359" s="88"/>
      <c r="AK359" s="88"/>
      <c r="AM359" s="71"/>
      <c r="AN359" s="101"/>
      <c r="AO359" s="101"/>
      <c r="AP359" s="101"/>
      <c r="AQ359" s="101"/>
      <c r="AR359" s="103"/>
      <c r="AS359" s="103"/>
      <c r="AT359" s="103"/>
      <c r="AU359" s="103"/>
      <c r="AV359" s="103"/>
      <c r="BA359" s="103"/>
      <c r="BF359" s="103"/>
      <c r="BG359" s="103"/>
      <c r="BH359" s="103"/>
      <c r="CK359" s="103"/>
      <c r="CL359" s="103"/>
      <c r="CM359" s="103"/>
      <c r="CN359" s="103"/>
      <c r="CO359" s="103"/>
      <c r="CP359" s="103"/>
      <c r="CQ359" s="103"/>
      <c r="CR359" s="103"/>
      <c r="CS359" s="103"/>
      <c r="CT359" s="103"/>
      <c r="DH359" s="103"/>
      <c r="DI359" s="103"/>
      <c r="DJ359" s="103"/>
      <c r="DK359" s="103"/>
      <c r="DL359" s="103"/>
      <c r="DM359" s="103"/>
      <c r="DN359" s="103"/>
      <c r="DO359" s="103"/>
      <c r="DP359" s="103"/>
      <c r="DQ359" s="103"/>
    </row>
    <row r="360" spans="1:121" s="90" customFormat="1" x14ac:dyDescent="0.25">
      <c r="A360" s="71"/>
      <c r="B360" s="71"/>
      <c r="C360" s="71"/>
      <c r="D360" s="71"/>
      <c r="E360" s="71"/>
      <c r="F360" s="101"/>
      <c r="G360" s="101"/>
      <c r="H360" s="71"/>
      <c r="I360" s="71"/>
      <c r="J360" s="71"/>
      <c r="K360" s="101"/>
      <c r="L360" s="101"/>
      <c r="M360" s="101"/>
      <c r="N360" s="71"/>
      <c r="O360" s="71"/>
      <c r="P360" s="71"/>
      <c r="Q360" s="71"/>
      <c r="R360" s="101"/>
      <c r="S360" s="101"/>
      <c r="T360" s="71"/>
      <c r="U360" s="101"/>
      <c r="V360" s="101"/>
      <c r="W360" s="102"/>
      <c r="X360" s="102"/>
      <c r="Y360" s="102"/>
      <c r="Z360" s="102"/>
      <c r="AA360" s="102"/>
      <c r="AB360" s="102"/>
      <c r="AC360" s="71"/>
      <c r="AD360" s="101"/>
      <c r="AE360" s="101"/>
      <c r="AF360" s="102"/>
      <c r="AG360" s="102"/>
      <c r="AH360" s="102"/>
      <c r="AI360" s="101"/>
      <c r="AJ360" s="88"/>
      <c r="AK360" s="88"/>
      <c r="AM360" s="71"/>
      <c r="AN360" s="101"/>
      <c r="AO360" s="101"/>
      <c r="AP360" s="101"/>
      <c r="AQ360" s="101"/>
      <c r="AR360" s="103"/>
      <c r="AS360" s="103"/>
      <c r="AT360" s="103"/>
      <c r="AU360" s="103"/>
      <c r="AV360" s="103"/>
      <c r="BA360" s="103"/>
      <c r="BF360" s="103"/>
      <c r="BG360" s="103"/>
      <c r="BH360" s="103"/>
      <c r="CK360" s="103"/>
      <c r="CL360" s="103"/>
      <c r="CM360" s="103"/>
      <c r="CN360" s="103"/>
      <c r="CO360" s="103"/>
      <c r="CP360" s="103"/>
      <c r="CQ360" s="103"/>
      <c r="CR360" s="103"/>
      <c r="CS360" s="103"/>
      <c r="CT360" s="103"/>
      <c r="DH360" s="103"/>
      <c r="DI360" s="103"/>
      <c r="DJ360" s="103"/>
      <c r="DK360" s="103"/>
      <c r="DL360" s="103"/>
      <c r="DM360" s="103"/>
      <c r="DN360" s="103"/>
      <c r="DO360" s="103"/>
      <c r="DP360" s="103"/>
      <c r="DQ360" s="103"/>
    </row>
    <row r="361" spans="1:121" s="90" customFormat="1" x14ac:dyDescent="0.25">
      <c r="A361" s="71"/>
      <c r="B361" s="71"/>
      <c r="C361" s="71"/>
      <c r="D361" s="71"/>
      <c r="E361" s="71"/>
      <c r="F361" s="101"/>
      <c r="G361" s="101"/>
      <c r="H361" s="71"/>
      <c r="I361" s="71"/>
      <c r="J361" s="71"/>
      <c r="K361" s="101"/>
      <c r="L361" s="101"/>
      <c r="M361" s="101"/>
      <c r="N361" s="71"/>
      <c r="O361" s="71"/>
      <c r="P361" s="71"/>
      <c r="Q361" s="71"/>
      <c r="R361" s="101"/>
      <c r="S361" s="101"/>
      <c r="T361" s="71"/>
      <c r="U361" s="101"/>
      <c r="V361" s="101"/>
      <c r="W361" s="102"/>
      <c r="X361" s="102"/>
      <c r="Y361" s="102"/>
      <c r="Z361" s="102"/>
      <c r="AA361" s="102"/>
      <c r="AB361" s="102"/>
      <c r="AC361" s="71"/>
      <c r="AD361" s="101"/>
      <c r="AE361" s="101"/>
      <c r="AF361" s="102"/>
      <c r="AG361" s="102"/>
      <c r="AH361" s="102"/>
      <c r="AI361" s="101"/>
      <c r="AJ361" s="88"/>
      <c r="AK361" s="88"/>
      <c r="AM361" s="71"/>
      <c r="AN361" s="101"/>
      <c r="AO361" s="101"/>
      <c r="AP361" s="101"/>
      <c r="AQ361" s="101"/>
      <c r="AR361" s="103"/>
      <c r="AS361" s="103"/>
      <c r="AT361" s="103"/>
      <c r="AU361" s="103"/>
      <c r="AV361" s="103"/>
      <c r="BA361" s="103"/>
      <c r="BF361" s="103"/>
      <c r="BG361" s="103"/>
      <c r="BH361" s="103"/>
      <c r="CK361" s="103"/>
      <c r="CL361" s="103"/>
      <c r="CM361" s="103"/>
      <c r="CN361" s="103"/>
      <c r="CO361" s="103"/>
      <c r="CP361" s="103"/>
      <c r="CQ361" s="103"/>
      <c r="CR361" s="103"/>
      <c r="CS361" s="103"/>
      <c r="CT361" s="103"/>
      <c r="DH361" s="103"/>
      <c r="DI361" s="103"/>
      <c r="DJ361" s="103"/>
      <c r="DK361" s="103"/>
      <c r="DL361" s="103"/>
      <c r="DM361" s="103"/>
      <c r="DN361" s="103"/>
      <c r="DO361" s="103"/>
      <c r="DP361" s="103"/>
      <c r="DQ361" s="103"/>
    </row>
    <row r="362" spans="1:121" s="90" customFormat="1" x14ac:dyDescent="0.25">
      <c r="A362" s="71"/>
      <c r="B362" s="71"/>
      <c r="C362" s="71"/>
      <c r="D362" s="71"/>
      <c r="E362" s="71"/>
      <c r="F362" s="101"/>
      <c r="G362" s="101"/>
      <c r="H362" s="71"/>
      <c r="I362" s="71"/>
      <c r="J362" s="71"/>
      <c r="K362" s="101"/>
      <c r="L362" s="101"/>
      <c r="M362" s="101"/>
      <c r="N362" s="71"/>
      <c r="O362" s="71"/>
      <c r="P362" s="71"/>
      <c r="Q362" s="71"/>
      <c r="R362" s="101"/>
      <c r="S362" s="101"/>
      <c r="T362" s="71"/>
      <c r="U362" s="101"/>
      <c r="V362" s="101"/>
      <c r="W362" s="102"/>
      <c r="X362" s="102"/>
      <c r="Y362" s="102"/>
      <c r="Z362" s="102"/>
      <c r="AA362" s="102"/>
      <c r="AB362" s="102"/>
      <c r="AC362" s="71"/>
      <c r="AD362" s="101"/>
      <c r="AE362" s="101"/>
      <c r="AF362" s="102"/>
      <c r="AG362" s="102"/>
      <c r="AH362" s="102"/>
      <c r="AI362" s="101"/>
      <c r="AJ362" s="88"/>
      <c r="AK362" s="88"/>
      <c r="AM362" s="71"/>
      <c r="AN362" s="101"/>
      <c r="AO362" s="101"/>
      <c r="AP362" s="101"/>
      <c r="AQ362" s="101"/>
      <c r="AR362" s="103"/>
      <c r="AS362" s="103"/>
      <c r="AT362" s="103"/>
      <c r="AU362" s="103"/>
      <c r="AV362" s="103"/>
      <c r="BA362" s="103"/>
      <c r="BF362" s="103"/>
      <c r="BG362" s="103"/>
      <c r="BH362" s="103"/>
      <c r="CK362" s="103"/>
      <c r="CL362" s="103"/>
      <c r="CM362" s="103"/>
      <c r="CN362" s="103"/>
      <c r="CO362" s="103"/>
      <c r="CP362" s="103"/>
      <c r="CQ362" s="103"/>
      <c r="CR362" s="103"/>
      <c r="CS362" s="103"/>
      <c r="CT362" s="103"/>
      <c r="DH362" s="103"/>
      <c r="DI362" s="103"/>
      <c r="DJ362" s="103"/>
      <c r="DK362" s="103"/>
      <c r="DL362" s="103"/>
      <c r="DM362" s="103"/>
      <c r="DN362" s="103"/>
      <c r="DO362" s="103"/>
      <c r="DP362" s="103"/>
      <c r="DQ362" s="103"/>
    </row>
    <row r="363" spans="1:121" s="90" customFormat="1" x14ac:dyDescent="0.25">
      <c r="A363" s="71"/>
      <c r="B363" s="71"/>
      <c r="C363" s="71"/>
      <c r="D363" s="71"/>
      <c r="E363" s="71"/>
      <c r="F363" s="101"/>
      <c r="G363" s="101"/>
      <c r="H363" s="71"/>
      <c r="I363" s="71"/>
      <c r="J363" s="71"/>
      <c r="K363" s="101"/>
      <c r="L363" s="101"/>
      <c r="M363" s="101"/>
      <c r="N363" s="71"/>
      <c r="O363" s="71"/>
      <c r="P363" s="71"/>
      <c r="Q363" s="71"/>
      <c r="R363" s="101"/>
      <c r="S363" s="101"/>
      <c r="T363" s="71"/>
      <c r="U363" s="101"/>
      <c r="V363" s="101"/>
      <c r="W363" s="102"/>
      <c r="X363" s="102"/>
      <c r="Y363" s="102"/>
      <c r="Z363" s="102"/>
      <c r="AA363" s="102"/>
      <c r="AB363" s="102"/>
      <c r="AC363" s="71"/>
      <c r="AD363" s="101"/>
      <c r="AE363" s="101"/>
      <c r="AF363" s="102"/>
      <c r="AG363" s="102"/>
      <c r="AH363" s="102"/>
      <c r="AI363" s="101"/>
      <c r="AJ363" s="88"/>
      <c r="AK363" s="88"/>
      <c r="AM363" s="71"/>
      <c r="AN363" s="101"/>
      <c r="AO363" s="101"/>
      <c r="AP363" s="101"/>
      <c r="AQ363" s="101"/>
      <c r="AR363" s="103"/>
      <c r="AS363" s="103"/>
      <c r="AT363" s="103"/>
      <c r="AU363" s="103"/>
      <c r="AV363" s="103"/>
      <c r="BA363" s="103"/>
      <c r="BF363" s="103"/>
      <c r="BG363" s="103"/>
      <c r="BH363" s="103"/>
      <c r="CK363" s="103"/>
      <c r="CL363" s="103"/>
      <c r="CM363" s="103"/>
      <c r="CN363" s="103"/>
      <c r="CO363" s="103"/>
      <c r="CP363" s="103"/>
      <c r="CQ363" s="103"/>
      <c r="CR363" s="103"/>
      <c r="CS363" s="103"/>
      <c r="CT363" s="103"/>
      <c r="DH363" s="103"/>
      <c r="DI363" s="103"/>
      <c r="DJ363" s="103"/>
      <c r="DK363" s="103"/>
      <c r="DL363" s="103"/>
      <c r="DM363" s="103"/>
      <c r="DN363" s="103"/>
      <c r="DO363" s="103"/>
      <c r="DP363" s="103"/>
      <c r="DQ363" s="103"/>
    </row>
    <row r="364" spans="1:121" s="90" customFormat="1" x14ac:dyDescent="0.25">
      <c r="A364" s="71"/>
      <c r="B364" s="71"/>
      <c r="C364" s="71"/>
      <c r="D364" s="71"/>
      <c r="E364" s="71"/>
      <c r="F364" s="101"/>
      <c r="G364" s="101"/>
      <c r="H364" s="71"/>
      <c r="I364" s="71"/>
      <c r="J364" s="71"/>
      <c r="K364" s="101"/>
      <c r="L364" s="101"/>
      <c r="M364" s="101"/>
      <c r="N364" s="71"/>
      <c r="O364" s="71"/>
      <c r="P364" s="71"/>
      <c r="Q364" s="71"/>
      <c r="R364" s="101"/>
      <c r="S364" s="101"/>
      <c r="T364" s="71"/>
      <c r="U364" s="101"/>
      <c r="V364" s="101"/>
      <c r="W364" s="102"/>
      <c r="X364" s="102"/>
      <c r="Y364" s="102"/>
      <c r="Z364" s="102"/>
      <c r="AA364" s="102"/>
      <c r="AB364" s="102"/>
      <c r="AC364" s="71"/>
      <c r="AD364" s="101"/>
      <c r="AE364" s="101"/>
      <c r="AF364" s="102"/>
      <c r="AG364" s="102"/>
      <c r="AH364" s="102"/>
      <c r="AI364" s="101"/>
      <c r="AJ364" s="88"/>
      <c r="AK364" s="88"/>
      <c r="AM364" s="71"/>
      <c r="AN364" s="101"/>
      <c r="AO364" s="101"/>
      <c r="AP364" s="101"/>
      <c r="AQ364" s="101"/>
      <c r="AR364" s="103"/>
      <c r="AS364" s="103"/>
      <c r="AT364" s="103"/>
      <c r="AU364" s="103"/>
      <c r="AV364" s="103"/>
      <c r="BA364" s="103"/>
      <c r="BF364" s="103"/>
      <c r="BG364" s="103"/>
      <c r="BH364" s="103"/>
      <c r="CK364" s="103"/>
      <c r="CL364" s="103"/>
      <c r="CM364" s="103"/>
      <c r="CN364" s="103"/>
      <c r="CO364" s="103"/>
      <c r="CP364" s="103"/>
      <c r="CQ364" s="103"/>
      <c r="CR364" s="103"/>
      <c r="CS364" s="103"/>
      <c r="CT364" s="103"/>
      <c r="DH364" s="103"/>
      <c r="DI364" s="103"/>
      <c r="DJ364" s="103"/>
      <c r="DK364" s="103"/>
      <c r="DL364" s="103"/>
      <c r="DM364" s="103"/>
      <c r="DN364" s="103"/>
      <c r="DO364" s="103"/>
      <c r="DP364" s="103"/>
      <c r="DQ364" s="103"/>
    </row>
    <row r="365" spans="1:121" s="90" customFormat="1" x14ac:dyDescent="0.25">
      <c r="A365" s="71"/>
      <c r="B365" s="71"/>
      <c r="C365" s="71"/>
      <c r="D365" s="71"/>
      <c r="E365" s="71"/>
      <c r="F365" s="101"/>
      <c r="G365" s="101"/>
      <c r="H365" s="71"/>
      <c r="I365" s="71"/>
      <c r="J365" s="71"/>
      <c r="K365" s="101"/>
      <c r="L365" s="101"/>
      <c r="M365" s="101"/>
      <c r="N365" s="71"/>
      <c r="O365" s="71"/>
      <c r="P365" s="71"/>
      <c r="Q365" s="71"/>
      <c r="R365" s="101"/>
      <c r="S365" s="101"/>
      <c r="T365" s="71"/>
      <c r="U365" s="101"/>
      <c r="V365" s="101"/>
      <c r="W365" s="102"/>
      <c r="X365" s="102"/>
      <c r="Y365" s="102"/>
      <c r="Z365" s="102"/>
      <c r="AA365" s="102"/>
      <c r="AB365" s="102"/>
      <c r="AC365" s="71"/>
      <c r="AD365" s="101"/>
      <c r="AE365" s="101"/>
      <c r="AF365" s="102"/>
      <c r="AG365" s="102"/>
      <c r="AH365" s="102"/>
      <c r="AI365" s="101"/>
      <c r="AJ365" s="88"/>
      <c r="AK365" s="88"/>
      <c r="AM365" s="71"/>
      <c r="AN365" s="101"/>
      <c r="AO365" s="101"/>
      <c r="AP365" s="101"/>
      <c r="AQ365" s="101"/>
      <c r="AR365" s="103"/>
      <c r="AS365" s="103"/>
      <c r="AT365" s="103"/>
      <c r="AU365" s="103"/>
      <c r="AV365" s="103"/>
      <c r="BA365" s="103"/>
      <c r="BF365" s="103"/>
      <c r="BG365" s="103"/>
      <c r="BH365" s="103"/>
      <c r="CK365" s="103"/>
      <c r="CL365" s="103"/>
      <c r="CM365" s="103"/>
      <c r="CN365" s="103"/>
      <c r="CO365" s="103"/>
      <c r="CP365" s="103"/>
      <c r="CQ365" s="103"/>
      <c r="CR365" s="103"/>
      <c r="CS365" s="103"/>
      <c r="CT365" s="103"/>
      <c r="DH365" s="103"/>
      <c r="DI365" s="103"/>
      <c r="DJ365" s="103"/>
      <c r="DK365" s="103"/>
      <c r="DL365" s="103"/>
      <c r="DM365" s="103"/>
      <c r="DN365" s="103"/>
      <c r="DO365" s="103"/>
      <c r="DP365" s="103"/>
      <c r="DQ365" s="103"/>
    </row>
    <row r="366" spans="1:121" s="90" customFormat="1" x14ac:dyDescent="0.25">
      <c r="A366" s="71"/>
      <c r="B366" s="71"/>
      <c r="C366" s="71"/>
      <c r="D366" s="71"/>
      <c r="E366" s="71"/>
      <c r="F366" s="101"/>
      <c r="G366" s="101"/>
      <c r="H366" s="71"/>
      <c r="I366" s="71"/>
      <c r="J366" s="71"/>
      <c r="K366" s="101"/>
      <c r="L366" s="101"/>
      <c r="M366" s="101"/>
      <c r="N366" s="71"/>
      <c r="O366" s="71"/>
      <c r="P366" s="71"/>
      <c r="Q366" s="71"/>
      <c r="R366" s="101"/>
      <c r="S366" s="101"/>
      <c r="T366" s="71"/>
      <c r="U366" s="101"/>
      <c r="V366" s="101"/>
      <c r="W366" s="102"/>
      <c r="X366" s="102"/>
      <c r="Y366" s="102"/>
      <c r="Z366" s="102"/>
      <c r="AA366" s="102"/>
      <c r="AB366" s="102"/>
      <c r="AC366" s="71"/>
      <c r="AD366" s="101"/>
      <c r="AE366" s="101"/>
      <c r="AF366" s="102"/>
      <c r="AG366" s="102"/>
      <c r="AH366" s="102"/>
      <c r="AI366" s="101"/>
      <c r="AJ366" s="88"/>
      <c r="AK366" s="88"/>
      <c r="AM366" s="71"/>
      <c r="AN366" s="101"/>
      <c r="AO366" s="101"/>
      <c r="AP366" s="101"/>
      <c r="AQ366" s="101"/>
      <c r="AR366" s="103"/>
      <c r="AS366" s="103"/>
      <c r="AT366" s="103"/>
      <c r="AU366" s="103"/>
      <c r="AV366" s="103"/>
      <c r="BA366" s="103"/>
      <c r="BF366" s="103"/>
      <c r="BG366" s="103"/>
      <c r="BH366" s="103"/>
      <c r="CK366" s="103"/>
      <c r="CL366" s="103"/>
      <c r="CM366" s="103"/>
      <c r="CN366" s="103"/>
      <c r="CO366" s="103"/>
      <c r="CP366" s="103"/>
      <c r="CQ366" s="103"/>
      <c r="CR366" s="103"/>
      <c r="CS366" s="103"/>
      <c r="CT366" s="103"/>
      <c r="DH366" s="103"/>
      <c r="DI366" s="103"/>
      <c r="DJ366" s="103"/>
      <c r="DK366" s="103"/>
      <c r="DL366" s="103"/>
      <c r="DM366" s="103"/>
      <c r="DN366" s="103"/>
      <c r="DO366" s="103"/>
      <c r="DP366" s="103"/>
      <c r="DQ366" s="103"/>
    </row>
    <row r="367" spans="1:121" s="90" customFormat="1" x14ac:dyDescent="0.25">
      <c r="A367" s="71"/>
      <c r="B367" s="71"/>
      <c r="C367" s="71"/>
      <c r="D367" s="71"/>
      <c r="E367" s="71"/>
      <c r="F367" s="101"/>
      <c r="G367" s="101"/>
      <c r="H367" s="71"/>
      <c r="I367" s="71"/>
      <c r="J367" s="71"/>
      <c r="K367" s="101"/>
      <c r="L367" s="101"/>
      <c r="M367" s="101"/>
      <c r="N367" s="71"/>
      <c r="O367" s="71"/>
      <c r="P367" s="71"/>
      <c r="Q367" s="71"/>
      <c r="R367" s="101"/>
      <c r="S367" s="101"/>
      <c r="T367" s="71"/>
      <c r="U367" s="101"/>
      <c r="V367" s="101"/>
      <c r="W367" s="102"/>
      <c r="X367" s="102"/>
      <c r="Y367" s="102"/>
      <c r="Z367" s="102"/>
      <c r="AA367" s="102"/>
      <c r="AB367" s="102"/>
      <c r="AC367" s="71"/>
      <c r="AD367" s="101"/>
      <c r="AE367" s="101"/>
      <c r="AF367" s="102"/>
      <c r="AG367" s="102"/>
      <c r="AH367" s="102"/>
      <c r="AI367" s="101"/>
      <c r="AJ367" s="88"/>
      <c r="AK367" s="88"/>
      <c r="AM367" s="71"/>
      <c r="AN367" s="101"/>
      <c r="AO367" s="101"/>
      <c r="AP367" s="101"/>
      <c r="AQ367" s="101"/>
      <c r="AR367" s="103"/>
      <c r="AS367" s="103"/>
      <c r="AT367" s="103"/>
      <c r="AU367" s="103"/>
      <c r="AV367" s="103"/>
      <c r="BA367" s="103"/>
      <c r="BF367" s="103"/>
      <c r="BG367" s="103"/>
      <c r="BH367" s="103"/>
      <c r="CK367" s="103"/>
      <c r="CL367" s="103"/>
      <c r="CM367" s="103"/>
      <c r="CN367" s="103"/>
      <c r="CO367" s="103"/>
      <c r="CP367" s="103"/>
      <c r="CQ367" s="103"/>
      <c r="CR367" s="103"/>
      <c r="CS367" s="103"/>
      <c r="CT367" s="103"/>
      <c r="DH367" s="103"/>
      <c r="DI367" s="103"/>
      <c r="DJ367" s="103"/>
      <c r="DK367" s="103"/>
      <c r="DL367" s="103"/>
      <c r="DM367" s="103"/>
      <c r="DN367" s="103"/>
      <c r="DO367" s="103"/>
      <c r="DP367" s="103"/>
      <c r="DQ367" s="103"/>
    </row>
    <row r="368" spans="1:121" s="90" customFormat="1" x14ac:dyDescent="0.25">
      <c r="A368" s="71"/>
      <c r="B368" s="71"/>
      <c r="C368" s="71"/>
      <c r="D368" s="71"/>
      <c r="E368" s="71"/>
      <c r="F368" s="101"/>
      <c r="G368" s="101"/>
      <c r="H368" s="71"/>
      <c r="I368" s="71"/>
      <c r="J368" s="71"/>
      <c r="K368" s="101"/>
      <c r="L368" s="101"/>
      <c r="M368" s="101"/>
      <c r="N368" s="71"/>
      <c r="O368" s="71"/>
      <c r="P368" s="71"/>
      <c r="Q368" s="71"/>
      <c r="R368" s="101"/>
      <c r="S368" s="101"/>
      <c r="T368" s="71"/>
      <c r="U368" s="101"/>
      <c r="V368" s="101"/>
      <c r="W368" s="102"/>
      <c r="X368" s="102"/>
      <c r="Y368" s="102"/>
      <c r="Z368" s="102"/>
      <c r="AA368" s="102"/>
      <c r="AB368" s="102"/>
      <c r="AC368" s="71"/>
      <c r="AD368" s="101"/>
      <c r="AE368" s="101"/>
      <c r="AF368" s="102"/>
      <c r="AG368" s="102"/>
      <c r="AH368" s="102"/>
      <c r="AI368" s="101"/>
      <c r="AJ368" s="88"/>
      <c r="AK368" s="88"/>
      <c r="AM368" s="71"/>
      <c r="AN368" s="101"/>
      <c r="AO368" s="101"/>
      <c r="AP368" s="101"/>
      <c r="AQ368" s="101"/>
      <c r="AR368" s="103"/>
      <c r="AS368" s="103"/>
      <c r="AT368" s="103"/>
      <c r="AU368" s="103"/>
      <c r="AV368" s="103"/>
      <c r="BA368" s="103"/>
      <c r="BF368" s="103"/>
      <c r="BG368" s="103"/>
      <c r="BH368" s="103"/>
      <c r="CK368" s="103"/>
      <c r="CL368" s="103"/>
      <c r="CM368" s="103"/>
      <c r="CN368" s="103"/>
      <c r="CO368" s="103"/>
      <c r="CP368" s="103"/>
      <c r="CQ368" s="103"/>
      <c r="CR368" s="103"/>
      <c r="CS368" s="103"/>
      <c r="CT368" s="103"/>
      <c r="DH368" s="103"/>
      <c r="DI368" s="103"/>
      <c r="DJ368" s="103"/>
      <c r="DK368" s="103"/>
      <c r="DL368" s="103"/>
      <c r="DM368" s="103"/>
      <c r="DN368" s="103"/>
      <c r="DO368" s="103"/>
      <c r="DP368" s="103"/>
      <c r="DQ368" s="103"/>
    </row>
    <row r="369" spans="1:121" s="90" customFormat="1" x14ac:dyDescent="0.25">
      <c r="A369" s="71"/>
      <c r="B369" s="71"/>
      <c r="C369" s="71"/>
      <c r="D369" s="71"/>
      <c r="E369" s="71"/>
      <c r="F369" s="101"/>
      <c r="G369" s="101"/>
      <c r="H369" s="71"/>
      <c r="I369" s="71"/>
      <c r="J369" s="71"/>
      <c r="K369" s="101"/>
      <c r="L369" s="101"/>
      <c r="M369" s="101"/>
      <c r="N369" s="71"/>
      <c r="O369" s="71"/>
      <c r="P369" s="71"/>
      <c r="Q369" s="71"/>
      <c r="R369" s="101"/>
      <c r="S369" s="101"/>
      <c r="T369" s="71"/>
      <c r="U369" s="101"/>
      <c r="V369" s="101"/>
      <c r="W369" s="102"/>
      <c r="X369" s="102"/>
      <c r="Y369" s="102"/>
      <c r="Z369" s="102"/>
      <c r="AA369" s="102"/>
      <c r="AB369" s="102"/>
      <c r="AC369" s="71"/>
      <c r="AD369" s="101"/>
      <c r="AE369" s="101"/>
      <c r="AF369" s="102"/>
      <c r="AG369" s="102"/>
      <c r="AH369" s="102"/>
      <c r="AI369" s="101"/>
      <c r="AJ369" s="88"/>
      <c r="AK369" s="88"/>
      <c r="AM369" s="71"/>
      <c r="AN369" s="101"/>
      <c r="AO369" s="101"/>
      <c r="AP369" s="101"/>
      <c r="AQ369" s="101"/>
      <c r="AR369" s="103"/>
      <c r="AS369" s="103"/>
      <c r="AT369" s="103"/>
      <c r="AU369" s="103"/>
      <c r="AV369" s="103"/>
      <c r="BA369" s="103"/>
      <c r="BF369" s="103"/>
      <c r="BG369" s="103"/>
      <c r="BH369" s="103"/>
      <c r="CK369" s="103"/>
      <c r="CL369" s="103"/>
      <c r="CM369" s="103"/>
      <c r="CN369" s="103"/>
      <c r="CO369" s="103"/>
      <c r="CP369" s="103"/>
      <c r="CQ369" s="103"/>
      <c r="CR369" s="103"/>
      <c r="CS369" s="103"/>
      <c r="CT369" s="103"/>
      <c r="DH369" s="103"/>
      <c r="DI369" s="103"/>
      <c r="DJ369" s="103"/>
      <c r="DK369" s="103"/>
      <c r="DL369" s="103"/>
      <c r="DM369" s="103"/>
      <c r="DN369" s="103"/>
      <c r="DO369" s="103"/>
      <c r="DP369" s="103"/>
      <c r="DQ369" s="103"/>
    </row>
    <row r="370" spans="1:121" s="90" customFormat="1" x14ac:dyDescent="0.25">
      <c r="A370" s="71"/>
      <c r="B370" s="71"/>
      <c r="C370" s="71"/>
      <c r="D370" s="71"/>
      <c r="E370" s="71"/>
      <c r="F370" s="101"/>
      <c r="G370" s="101"/>
      <c r="H370" s="71"/>
      <c r="I370" s="71"/>
      <c r="J370" s="71"/>
      <c r="K370" s="101"/>
      <c r="L370" s="101"/>
      <c r="M370" s="101"/>
      <c r="N370" s="71"/>
      <c r="O370" s="71"/>
      <c r="P370" s="71"/>
      <c r="Q370" s="71"/>
      <c r="R370" s="101"/>
      <c r="S370" s="101"/>
      <c r="T370" s="71"/>
      <c r="U370" s="101"/>
      <c r="V370" s="101"/>
      <c r="W370" s="102"/>
      <c r="X370" s="102"/>
      <c r="Y370" s="102"/>
      <c r="Z370" s="102"/>
      <c r="AA370" s="102"/>
      <c r="AB370" s="102"/>
      <c r="AC370" s="71"/>
      <c r="AD370" s="101"/>
      <c r="AE370" s="101"/>
      <c r="AF370" s="102"/>
      <c r="AG370" s="102"/>
      <c r="AH370" s="102"/>
      <c r="AI370" s="101"/>
      <c r="AJ370" s="88"/>
      <c r="AK370" s="88"/>
      <c r="AM370" s="71"/>
      <c r="AN370" s="101"/>
      <c r="AO370" s="101"/>
      <c r="AP370" s="101"/>
      <c r="AQ370" s="101"/>
      <c r="AR370" s="103"/>
      <c r="AS370" s="103"/>
      <c r="AT370" s="103"/>
      <c r="AU370" s="103"/>
      <c r="AV370" s="103"/>
      <c r="BA370" s="103"/>
      <c r="BF370" s="103"/>
      <c r="BG370" s="103"/>
      <c r="BH370" s="103"/>
      <c r="CK370" s="103"/>
      <c r="CL370" s="103"/>
      <c r="CM370" s="103"/>
      <c r="CN370" s="103"/>
      <c r="CO370" s="103"/>
      <c r="CP370" s="103"/>
      <c r="CQ370" s="103"/>
      <c r="CR370" s="103"/>
      <c r="CS370" s="103"/>
      <c r="CT370" s="103"/>
      <c r="DH370" s="103"/>
      <c r="DI370" s="103"/>
      <c r="DJ370" s="103"/>
      <c r="DK370" s="103"/>
      <c r="DL370" s="103"/>
      <c r="DM370" s="103"/>
      <c r="DN370" s="103"/>
      <c r="DO370" s="103"/>
      <c r="DP370" s="103"/>
      <c r="DQ370" s="103"/>
    </row>
    <row r="371" spans="1:121" s="90" customFormat="1" x14ac:dyDescent="0.25">
      <c r="A371" s="71"/>
      <c r="B371" s="71"/>
      <c r="C371" s="71"/>
      <c r="D371" s="71"/>
      <c r="E371" s="71"/>
      <c r="F371" s="101"/>
      <c r="G371" s="101"/>
      <c r="H371" s="71"/>
      <c r="I371" s="71"/>
      <c r="J371" s="71"/>
      <c r="K371" s="101"/>
      <c r="L371" s="101"/>
      <c r="M371" s="101"/>
      <c r="N371" s="71"/>
      <c r="O371" s="71"/>
      <c r="P371" s="71"/>
      <c r="Q371" s="71"/>
      <c r="R371" s="101"/>
      <c r="S371" s="101"/>
      <c r="T371" s="71"/>
      <c r="U371" s="101"/>
      <c r="V371" s="101"/>
      <c r="W371" s="102"/>
      <c r="X371" s="102"/>
      <c r="Y371" s="102"/>
      <c r="Z371" s="102"/>
      <c r="AA371" s="102"/>
      <c r="AB371" s="102"/>
      <c r="AC371" s="71"/>
      <c r="AD371" s="101"/>
      <c r="AE371" s="101"/>
      <c r="AF371" s="102"/>
      <c r="AG371" s="102"/>
      <c r="AH371" s="102"/>
      <c r="AI371" s="101"/>
      <c r="AJ371" s="88"/>
      <c r="AK371" s="88"/>
      <c r="AM371" s="71"/>
      <c r="AN371" s="101"/>
      <c r="AO371" s="101"/>
      <c r="AP371" s="101"/>
      <c r="AQ371" s="101"/>
      <c r="AR371" s="103"/>
      <c r="AS371" s="103"/>
      <c r="AT371" s="103"/>
      <c r="AU371" s="103"/>
      <c r="AV371" s="103"/>
      <c r="BA371" s="103"/>
      <c r="BF371" s="103"/>
      <c r="BG371" s="103"/>
      <c r="BH371" s="103"/>
      <c r="CK371" s="103"/>
      <c r="CL371" s="103"/>
      <c r="CM371" s="103"/>
      <c r="CN371" s="103"/>
      <c r="CO371" s="103"/>
      <c r="CP371" s="103"/>
      <c r="CQ371" s="103"/>
      <c r="CR371" s="103"/>
      <c r="CS371" s="103"/>
      <c r="CT371" s="103"/>
      <c r="DH371" s="103"/>
      <c r="DI371" s="103"/>
      <c r="DJ371" s="103"/>
      <c r="DK371" s="103"/>
      <c r="DL371" s="103"/>
      <c r="DM371" s="103"/>
      <c r="DN371" s="103"/>
      <c r="DO371" s="103"/>
      <c r="DP371" s="103"/>
      <c r="DQ371" s="103"/>
    </row>
    <row r="372" spans="1:121" s="90" customFormat="1" x14ac:dyDescent="0.25">
      <c r="A372" s="71"/>
      <c r="B372" s="71"/>
      <c r="C372" s="71"/>
      <c r="D372" s="71"/>
      <c r="E372" s="71"/>
      <c r="F372" s="101"/>
      <c r="G372" s="101"/>
      <c r="H372" s="71"/>
      <c r="I372" s="71"/>
      <c r="J372" s="71"/>
      <c r="K372" s="101"/>
      <c r="L372" s="101"/>
      <c r="M372" s="101"/>
      <c r="N372" s="71"/>
      <c r="O372" s="71"/>
      <c r="P372" s="71"/>
      <c r="Q372" s="71"/>
      <c r="R372" s="101"/>
      <c r="S372" s="101"/>
      <c r="T372" s="71"/>
      <c r="U372" s="101"/>
      <c r="V372" s="101"/>
      <c r="W372" s="102"/>
      <c r="X372" s="102"/>
      <c r="Y372" s="102"/>
      <c r="Z372" s="102"/>
      <c r="AA372" s="102"/>
      <c r="AB372" s="102"/>
      <c r="AC372" s="71"/>
      <c r="AD372" s="101"/>
      <c r="AE372" s="101"/>
      <c r="AF372" s="102"/>
      <c r="AG372" s="102"/>
      <c r="AH372" s="102"/>
      <c r="AI372" s="101"/>
      <c r="AJ372" s="88"/>
      <c r="AK372" s="88"/>
      <c r="AM372" s="71"/>
      <c r="AN372" s="101"/>
      <c r="AO372" s="101"/>
      <c r="AP372" s="101"/>
      <c r="AQ372" s="101"/>
      <c r="AR372" s="103"/>
      <c r="AS372" s="103"/>
      <c r="AT372" s="103"/>
      <c r="AU372" s="103"/>
      <c r="AV372" s="103"/>
      <c r="BA372" s="103"/>
      <c r="BF372" s="103"/>
      <c r="BG372" s="103"/>
      <c r="BH372" s="103"/>
      <c r="CK372" s="103"/>
      <c r="CL372" s="103"/>
      <c r="CM372" s="103"/>
      <c r="CN372" s="103"/>
      <c r="CO372" s="103"/>
      <c r="CP372" s="103"/>
      <c r="CQ372" s="103"/>
      <c r="CR372" s="103"/>
      <c r="CS372" s="103"/>
      <c r="CT372" s="103"/>
      <c r="DH372" s="103"/>
      <c r="DI372" s="103"/>
      <c r="DJ372" s="103"/>
      <c r="DK372" s="103"/>
      <c r="DL372" s="103"/>
      <c r="DM372" s="103"/>
      <c r="DN372" s="103"/>
      <c r="DO372" s="103"/>
      <c r="DP372" s="103"/>
      <c r="DQ372" s="103"/>
    </row>
    <row r="373" spans="1:121" s="90" customFormat="1" x14ac:dyDescent="0.25">
      <c r="A373" s="71"/>
      <c r="B373" s="71"/>
      <c r="C373" s="71"/>
      <c r="D373" s="71"/>
      <c r="E373" s="71"/>
      <c r="F373" s="101"/>
      <c r="G373" s="101"/>
      <c r="H373" s="71"/>
      <c r="I373" s="71"/>
      <c r="J373" s="71"/>
      <c r="K373" s="101"/>
      <c r="L373" s="101"/>
      <c r="M373" s="101"/>
      <c r="N373" s="71"/>
      <c r="O373" s="71"/>
      <c r="P373" s="71"/>
      <c r="Q373" s="71"/>
      <c r="R373" s="101"/>
      <c r="S373" s="101"/>
      <c r="T373" s="71"/>
      <c r="U373" s="101"/>
      <c r="V373" s="101"/>
      <c r="W373" s="102"/>
      <c r="X373" s="102"/>
      <c r="Y373" s="102"/>
      <c r="Z373" s="102"/>
      <c r="AA373" s="102"/>
      <c r="AB373" s="102"/>
      <c r="AC373" s="71"/>
      <c r="AD373" s="101"/>
      <c r="AE373" s="101"/>
      <c r="AF373" s="102"/>
      <c r="AG373" s="102"/>
      <c r="AH373" s="102"/>
      <c r="AI373" s="101"/>
      <c r="AJ373" s="88"/>
      <c r="AK373" s="88"/>
      <c r="AM373" s="71"/>
      <c r="AN373" s="101"/>
      <c r="AO373" s="101"/>
      <c r="AP373" s="101"/>
      <c r="AQ373" s="101"/>
      <c r="AR373" s="103"/>
      <c r="AS373" s="103"/>
      <c r="AT373" s="103"/>
      <c r="AU373" s="103"/>
      <c r="AV373" s="103"/>
      <c r="BA373" s="103"/>
      <c r="BF373" s="103"/>
      <c r="BG373" s="103"/>
      <c r="BH373" s="103"/>
      <c r="CK373" s="103"/>
      <c r="CL373" s="103"/>
      <c r="CM373" s="103"/>
      <c r="CN373" s="103"/>
      <c r="CO373" s="103"/>
      <c r="CP373" s="103"/>
      <c r="CQ373" s="103"/>
      <c r="CR373" s="103"/>
      <c r="CS373" s="103"/>
      <c r="CT373" s="103"/>
      <c r="DH373" s="103"/>
      <c r="DI373" s="103"/>
      <c r="DJ373" s="103"/>
      <c r="DK373" s="103"/>
      <c r="DL373" s="103"/>
      <c r="DM373" s="103"/>
      <c r="DN373" s="103"/>
      <c r="DO373" s="103"/>
      <c r="DP373" s="103"/>
      <c r="DQ373" s="103"/>
    </row>
    <row r="374" spans="1:121" s="90" customFormat="1" x14ac:dyDescent="0.25">
      <c r="A374" s="71"/>
      <c r="B374" s="71"/>
      <c r="C374" s="71"/>
      <c r="D374" s="71"/>
      <c r="E374" s="71"/>
      <c r="F374" s="101"/>
      <c r="G374" s="101"/>
      <c r="H374" s="71"/>
      <c r="I374" s="71"/>
      <c r="J374" s="71"/>
      <c r="K374" s="101"/>
      <c r="L374" s="101"/>
      <c r="M374" s="101"/>
      <c r="N374" s="71"/>
      <c r="O374" s="71"/>
      <c r="P374" s="71"/>
      <c r="Q374" s="71"/>
      <c r="R374" s="101"/>
      <c r="S374" s="101"/>
      <c r="T374" s="71"/>
      <c r="U374" s="101"/>
      <c r="V374" s="101"/>
      <c r="W374" s="102"/>
      <c r="X374" s="102"/>
      <c r="Y374" s="102"/>
      <c r="Z374" s="102"/>
      <c r="AA374" s="102"/>
      <c r="AB374" s="102"/>
      <c r="AC374" s="71"/>
      <c r="AD374" s="101"/>
      <c r="AE374" s="101"/>
      <c r="AF374" s="102"/>
      <c r="AG374" s="102"/>
      <c r="AH374" s="102"/>
      <c r="AI374" s="101"/>
      <c r="AJ374" s="88"/>
      <c r="AK374" s="88"/>
      <c r="AM374" s="71"/>
      <c r="AN374" s="101"/>
      <c r="AO374" s="101"/>
      <c r="AP374" s="101"/>
      <c r="AQ374" s="101"/>
      <c r="AR374" s="103"/>
      <c r="AS374" s="103"/>
      <c r="AT374" s="103"/>
      <c r="AU374" s="103"/>
      <c r="AV374" s="103"/>
      <c r="BA374" s="103"/>
      <c r="BF374" s="103"/>
      <c r="BG374" s="103"/>
      <c r="BH374" s="103"/>
      <c r="CK374" s="103"/>
      <c r="CL374" s="103"/>
      <c r="CM374" s="103"/>
      <c r="CN374" s="103"/>
      <c r="CO374" s="103"/>
      <c r="CP374" s="103"/>
      <c r="CQ374" s="103"/>
      <c r="CR374" s="103"/>
      <c r="CS374" s="103"/>
      <c r="CT374" s="103"/>
      <c r="DH374" s="103"/>
      <c r="DI374" s="103"/>
      <c r="DJ374" s="103"/>
      <c r="DK374" s="103"/>
      <c r="DL374" s="103"/>
      <c r="DM374" s="103"/>
      <c r="DN374" s="103"/>
      <c r="DO374" s="103"/>
      <c r="DP374" s="103"/>
      <c r="DQ374" s="103"/>
    </row>
    <row r="375" spans="1:121" s="90" customFormat="1" x14ac:dyDescent="0.25">
      <c r="A375" s="71"/>
      <c r="B375" s="71"/>
      <c r="C375" s="71"/>
      <c r="D375" s="71"/>
      <c r="E375" s="71"/>
      <c r="F375" s="101"/>
      <c r="G375" s="101"/>
      <c r="H375" s="71"/>
      <c r="I375" s="71"/>
      <c r="J375" s="71"/>
      <c r="K375" s="101"/>
      <c r="L375" s="101"/>
      <c r="M375" s="101"/>
      <c r="N375" s="71"/>
      <c r="O375" s="71"/>
      <c r="P375" s="71"/>
      <c r="Q375" s="71"/>
      <c r="R375" s="101"/>
      <c r="S375" s="101"/>
      <c r="T375" s="71"/>
      <c r="U375" s="101"/>
      <c r="V375" s="101"/>
      <c r="W375" s="102"/>
      <c r="X375" s="102"/>
      <c r="Y375" s="102"/>
      <c r="Z375" s="102"/>
      <c r="AA375" s="102"/>
      <c r="AB375" s="102"/>
      <c r="AC375" s="71"/>
      <c r="AD375" s="101"/>
      <c r="AE375" s="101"/>
      <c r="AF375" s="102"/>
      <c r="AG375" s="102"/>
      <c r="AH375" s="102"/>
      <c r="AI375" s="101"/>
      <c r="AJ375" s="88"/>
      <c r="AK375" s="88"/>
      <c r="AM375" s="71"/>
      <c r="AN375" s="101"/>
      <c r="AO375" s="101"/>
      <c r="AP375" s="101"/>
      <c r="AQ375" s="101"/>
      <c r="AR375" s="103"/>
      <c r="AS375" s="103"/>
      <c r="AT375" s="103"/>
      <c r="AU375" s="103"/>
      <c r="AV375" s="103"/>
      <c r="BA375" s="103"/>
      <c r="BF375" s="103"/>
      <c r="BG375" s="103"/>
      <c r="BH375" s="103"/>
      <c r="CK375" s="103"/>
      <c r="CL375" s="103"/>
      <c r="CM375" s="103"/>
      <c r="CN375" s="103"/>
      <c r="CO375" s="103"/>
      <c r="CP375" s="103"/>
      <c r="CQ375" s="103"/>
      <c r="CR375" s="103"/>
      <c r="CS375" s="103"/>
      <c r="CT375" s="103"/>
      <c r="DH375" s="103"/>
      <c r="DI375" s="103"/>
      <c r="DJ375" s="103"/>
      <c r="DK375" s="103"/>
      <c r="DL375" s="103"/>
      <c r="DM375" s="103"/>
      <c r="DN375" s="103"/>
      <c r="DO375" s="103"/>
      <c r="DP375" s="103"/>
      <c r="DQ375" s="103"/>
    </row>
    <row r="376" spans="1:121" s="90" customFormat="1" x14ac:dyDescent="0.25">
      <c r="A376" s="71"/>
      <c r="B376" s="71"/>
      <c r="C376" s="71"/>
      <c r="D376" s="71"/>
      <c r="E376" s="71"/>
      <c r="F376" s="101"/>
      <c r="G376" s="101"/>
      <c r="H376" s="71"/>
      <c r="I376" s="71"/>
      <c r="J376" s="71"/>
      <c r="K376" s="101"/>
      <c r="L376" s="101"/>
      <c r="M376" s="101"/>
      <c r="N376" s="71"/>
      <c r="O376" s="71"/>
      <c r="P376" s="71"/>
      <c r="Q376" s="71"/>
      <c r="R376" s="101"/>
      <c r="S376" s="101"/>
      <c r="T376" s="71"/>
      <c r="U376" s="101"/>
      <c r="V376" s="101"/>
      <c r="W376" s="102"/>
      <c r="X376" s="102"/>
      <c r="Y376" s="102"/>
      <c r="Z376" s="102"/>
      <c r="AA376" s="102"/>
      <c r="AB376" s="102"/>
      <c r="AC376" s="71"/>
      <c r="AD376" s="101"/>
      <c r="AE376" s="101"/>
      <c r="AF376" s="102"/>
      <c r="AG376" s="102"/>
      <c r="AH376" s="102"/>
      <c r="AI376" s="101"/>
      <c r="AJ376" s="88"/>
      <c r="AK376" s="88"/>
      <c r="AM376" s="71"/>
      <c r="AN376" s="101"/>
      <c r="AO376" s="101"/>
      <c r="AP376" s="101"/>
      <c r="AQ376" s="101"/>
      <c r="AR376" s="103"/>
      <c r="AS376" s="103"/>
      <c r="AT376" s="103"/>
      <c r="AU376" s="103"/>
      <c r="AV376" s="103"/>
      <c r="BA376" s="103"/>
      <c r="BF376" s="103"/>
      <c r="BG376" s="103"/>
      <c r="BH376" s="103"/>
      <c r="CK376" s="103"/>
      <c r="CL376" s="103"/>
      <c r="CM376" s="103"/>
      <c r="CN376" s="103"/>
      <c r="CO376" s="103"/>
      <c r="CP376" s="103"/>
      <c r="CQ376" s="103"/>
      <c r="CR376" s="103"/>
      <c r="CS376" s="103"/>
      <c r="CT376" s="103"/>
      <c r="DH376" s="103"/>
      <c r="DI376" s="103"/>
      <c r="DJ376" s="103"/>
      <c r="DK376" s="103"/>
      <c r="DL376" s="103"/>
      <c r="DM376" s="103"/>
      <c r="DN376" s="103"/>
      <c r="DO376" s="103"/>
      <c r="DP376" s="103"/>
      <c r="DQ376" s="103"/>
    </row>
    <row r="377" spans="1:121" s="90" customFormat="1" x14ac:dyDescent="0.25">
      <c r="A377" s="71"/>
      <c r="B377" s="71"/>
      <c r="C377" s="71"/>
      <c r="D377" s="71"/>
      <c r="E377" s="71"/>
      <c r="F377" s="101"/>
      <c r="G377" s="101"/>
      <c r="H377" s="71"/>
      <c r="I377" s="71"/>
      <c r="J377" s="71"/>
      <c r="K377" s="101"/>
      <c r="L377" s="101"/>
      <c r="M377" s="101"/>
      <c r="N377" s="71"/>
      <c r="O377" s="71"/>
      <c r="P377" s="71"/>
      <c r="Q377" s="71"/>
      <c r="R377" s="101"/>
      <c r="S377" s="101"/>
      <c r="T377" s="71"/>
      <c r="U377" s="101"/>
      <c r="V377" s="101"/>
      <c r="W377" s="102"/>
      <c r="X377" s="102"/>
      <c r="Y377" s="102"/>
      <c r="Z377" s="102"/>
      <c r="AA377" s="102"/>
      <c r="AB377" s="102"/>
      <c r="AC377" s="71"/>
      <c r="AD377" s="101"/>
      <c r="AE377" s="101"/>
      <c r="AF377" s="102"/>
      <c r="AG377" s="102"/>
      <c r="AH377" s="102"/>
      <c r="AI377" s="101"/>
      <c r="AJ377" s="88"/>
      <c r="AK377" s="88"/>
      <c r="AM377" s="71"/>
      <c r="AN377" s="101"/>
      <c r="AO377" s="101"/>
      <c r="AP377" s="101"/>
      <c r="AQ377" s="101"/>
      <c r="AR377" s="103"/>
      <c r="AS377" s="103"/>
      <c r="AT377" s="103"/>
      <c r="AU377" s="103"/>
      <c r="AV377" s="103"/>
      <c r="BA377" s="103"/>
      <c r="BF377" s="103"/>
      <c r="BG377" s="103"/>
      <c r="BH377" s="103"/>
      <c r="CK377" s="103"/>
      <c r="CL377" s="103"/>
      <c r="CM377" s="103"/>
      <c r="CN377" s="103"/>
      <c r="CO377" s="103"/>
      <c r="CP377" s="103"/>
      <c r="CQ377" s="103"/>
      <c r="CR377" s="103"/>
      <c r="CS377" s="103"/>
      <c r="CT377" s="103"/>
      <c r="DH377" s="103"/>
      <c r="DI377" s="103"/>
      <c r="DJ377" s="103"/>
      <c r="DK377" s="103"/>
      <c r="DL377" s="103"/>
      <c r="DM377" s="103"/>
      <c r="DN377" s="103"/>
      <c r="DO377" s="103"/>
      <c r="DP377" s="103"/>
      <c r="DQ377" s="103"/>
    </row>
    <row r="378" spans="1:121" s="90" customFormat="1" x14ac:dyDescent="0.25">
      <c r="A378" s="71"/>
      <c r="B378" s="71"/>
      <c r="C378" s="71"/>
      <c r="D378" s="71"/>
      <c r="E378" s="71"/>
      <c r="F378" s="101"/>
      <c r="G378" s="101"/>
      <c r="H378" s="71"/>
      <c r="I378" s="71"/>
      <c r="J378" s="71"/>
      <c r="K378" s="101"/>
      <c r="L378" s="101"/>
      <c r="M378" s="101"/>
      <c r="N378" s="71"/>
      <c r="O378" s="71"/>
      <c r="P378" s="71"/>
      <c r="Q378" s="71"/>
      <c r="R378" s="101"/>
      <c r="S378" s="101"/>
      <c r="T378" s="71"/>
      <c r="U378" s="101"/>
      <c r="V378" s="101"/>
      <c r="W378" s="102"/>
      <c r="X378" s="102"/>
      <c r="Y378" s="102"/>
      <c r="Z378" s="102"/>
      <c r="AA378" s="102"/>
      <c r="AB378" s="102"/>
      <c r="AC378" s="71"/>
      <c r="AD378" s="101"/>
      <c r="AE378" s="101"/>
      <c r="AF378" s="102"/>
      <c r="AG378" s="102"/>
      <c r="AH378" s="102"/>
      <c r="AI378" s="101"/>
      <c r="AJ378" s="88"/>
      <c r="AK378" s="88"/>
      <c r="AM378" s="71"/>
      <c r="AN378" s="101"/>
      <c r="AO378" s="101"/>
      <c r="AP378" s="101"/>
      <c r="AQ378" s="101"/>
      <c r="AR378" s="103"/>
      <c r="AS378" s="103"/>
      <c r="AT378" s="103"/>
      <c r="AU378" s="103"/>
      <c r="AV378" s="103"/>
      <c r="BA378" s="103"/>
      <c r="BF378" s="103"/>
      <c r="BG378" s="103"/>
      <c r="BH378" s="103"/>
      <c r="CK378" s="103"/>
      <c r="CL378" s="103"/>
      <c r="CM378" s="103"/>
      <c r="CN378" s="103"/>
      <c r="CO378" s="103"/>
      <c r="CP378" s="103"/>
      <c r="CQ378" s="103"/>
      <c r="CR378" s="103"/>
      <c r="CS378" s="103"/>
      <c r="CT378" s="103"/>
      <c r="DH378" s="103"/>
      <c r="DI378" s="103"/>
      <c r="DJ378" s="103"/>
      <c r="DK378" s="103"/>
      <c r="DL378" s="103"/>
      <c r="DM378" s="103"/>
      <c r="DN378" s="103"/>
      <c r="DO378" s="103"/>
      <c r="DP378" s="103"/>
      <c r="DQ378" s="103"/>
    </row>
    <row r="379" spans="1:121" s="90" customFormat="1" x14ac:dyDescent="0.25">
      <c r="A379" s="71"/>
      <c r="B379" s="71"/>
      <c r="C379" s="71"/>
      <c r="D379" s="71"/>
      <c r="E379" s="71"/>
      <c r="F379" s="101"/>
      <c r="G379" s="101"/>
      <c r="H379" s="71"/>
      <c r="I379" s="71"/>
      <c r="J379" s="71"/>
      <c r="K379" s="101"/>
      <c r="L379" s="101"/>
      <c r="M379" s="101"/>
      <c r="N379" s="71"/>
      <c r="O379" s="71"/>
      <c r="P379" s="71"/>
      <c r="Q379" s="71"/>
      <c r="R379" s="101"/>
      <c r="S379" s="101"/>
      <c r="T379" s="71"/>
      <c r="U379" s="101"/>
      <c r="V379" s="101"/>
      <c r="W379" s="102"/>
      <c r="X379" s="102"/>
      <c r="Y379" s="102"/>
      <c r="Z379" s="102"/>
      <c r="AA379" s="102"/>
      <c r="AB379" s="102"/>
      <c r="AC379" s="71"/>
      <c r="AD379" s="101"/>
      <c r="AE379" s="101"/>
      <c r="AF379" s="102"/>
      <c r="AG379" s="102"/>
      <c r="AH379" s="102"/>
      <c r="AI379" s="101"/>
      <c r="AJ379" s="88"/>
      <c r="AK379" s="88"/>
      <c r="AM379" s="71"/>
      <c r="AN379" s="101"/>
      <c r="AO379" s="101"/>
      <c r="AP379" s="101"/>
      <c r="AQ379" s="101"/>
      <c r="AR379" s="103"/>
      <c r="AS379" s="103"/>
      <c r="AT379" s="103"/>
      <c r="AU379" s="103"/>
      <c r="AV379" s="103"/>
      <c r="BA379" s="103"/>
      <c r="BF379" s="103"/>
      <c r="BG379" s="103"/>
      <c r="BH379" s="103"/>
      <c r="CK379" s="103"/>
      <c r="CL379" s="103"/>
      <c r="CM379" s="103"/>
      <c r="CN379" s="103"/>
      <c r="CO379" s="103"/>
      <c r="CP379" s="103"/>
      <c r="CQ379" s="103"/>
      <c r="CR379" s="103"/>
      <c r="CS379" s="103"/>
      <c r="CT379" s="103"/>
      <c r="DH379" s="103"/>
      <c r="DI379" s="103"/>
      <c r="DJ379" s="103"/>
      <c r="DK379" s="103"/>
      <c r="DL379" s="103"/>
      <c r="DM379" s="103"/>
      <c r="DN379" s="103"/>
      <c r="DO379" s="103"/>
      <c r="DP379" s="103"/>
      <c r="DQ379" s="103"/>
    </row>
    <row r="380" spans="1:121" s="90" customFormat="1" x14ac:dyDescent="0.25">
      <c r="A380" s="71"/>
      <c r="B380" s="71"/>
      <c r="C380" s="71"/>
      <c r="D380" s="71"/>
      <c r="E380" s="71"/>
      <c r="F380" s="101"/>
      <c r="G380" s="101"/>
      <c r="H380" s="71"/>
      <c r="I380" s="71"/>
      <c r="J380" s="71"/>
      <c r="K380" s="101"/>
      <c r="L380" s="101"/>
      <c r="M380" s="101"/>
      <c r="N380" s="71"/>
      <c r="O380" s="71"/>
      <c r="P380" s="71"/>
      <c r="Q380" s="71"/>
      <c r="R380" s="101"/>
      <c r="S380" s="101"/>
      <c r="T380" s="71"/>
      <c r="U380" s="101"/>
      <c r="V380" s="101"/>
      <c r="W380" s="102"/>
      <c r="X380" s="102"/>
      <c r="Y380" s="102"/>
      <c r="Z380" s="102"/>
      <c r="AA380" s="102"/>
      <c r="AB380" s="102"/>
      <c r="AC380" s="71"/>
      <c r="AD380" s="101"/>
      <c r="AE380" s="101"/>
      <c r="AF380" s="102"/>
      <c r="AG380" s="102"/>
      <c r="AH380" s="102"/>
      <c r="AI380" s="101"/>
      <c r="AJ380" s="88"/>
      <c r="AK380" s="88"/>
      <c r="AM380" s="71"/>
      <c r="AN380" s="101"/>
      <c r="AO380" s="101"/>
      <c r="AP380" s="101"/>
      <c r="AQ380" s="101"/>
      <c r="AR380" s="103"/>
      <c r="AS380" s="103"/>
      <c r="AT380" s="103"/>
      <c r="AU380" s="103"/>
      <c r="AV380" s="103"/>
      <c r="BA380" s="103"/>
      <c r="BF380" s="103"/>
      <c r="BG380" s="103"/>
      <c r="BH380" s="103"/>
      <c r="CK380" s="103"/>
      <c r="CL380" s="103"/>
      <c r="CM380" s="103"/>
      <c r="CN380" s="103"/>
      <c r="CO380" s="103"/>
      <c r="CP380" s="103"/>
      <c r="CQ380" s="103"/>
      <c r="CR380" s="103"/>
      <c r="CS380" s="103"/>
      <c r="CT380" s="103"/>
      <c r="DH380" s="103"/>
      <c r="DI380" s="103"/>
      <c r="DJ380" s="103"/>
      <c r="DK380" s="103"/>
      <c r="DL380" s="103"/>
      <c r="DM380" s="103"/>
      <c r="DN380" s="103"/>
      <c r="DO380" s="103"/>
      <c r="DP380" s="103"/>
      <c r="DQ380" s="103"/>
    </row>
    <row r="381" spans="1:121" s="90" customFormat="1" x14ac:dyDescent="0.25">
      <c r="A381" s="71"/>
      <c r="B381" s="71"/>
      <c r="C381" s="71"/>
      <c r="D381" s="71"/>
      <c r="E381" s="71"/>
      <c r="F381" s="101"/>
      <c r="G381" s="101"/>
      <c r="H381" s="71"/>
      <c r="I381" s="71"/>
      <c r="J381" s="71"/>
      <c r="K381" s="101"/>
      <c r="L381" s="101"/>
      <c r="M381" s="101"/>
      <c r="N381" s="71"/>
      <c r="O381" s="71"/>
      <c r="P381" s="71"/>
      <c r="Q381" s="71"/>
      <c r="R381" s="101"/>
      <c r="S381" s="101"/>
      <c r="T381" s="71"/>
      <c r="U381" s="101"/>
      <c r="V381" s="101"/>
      <c r="W381" s="102"/>
      <c r="X381" s="102"/>
      <c r="Y381" s="102"/>
      <c r="Z381" s="102"/>
      <c r="AA381" s="102"/>
      <c r="AB381" s="102"/>
      <c r="AC381" s="71"/>
      <c r="AD381" s="101"/>
      <c r="AE381" s="101"/>
      <c r="AF381" s="102"/>
      <c r="AG381" s="102"/>
      <c r="AH381" s="102"/>
      <c r="AI381" s="101"/>
      <c r="AJ381" s="88"/>
      <c r="AK381" s="88"/>
      <c r="AM381" s="71"/>
      <c r="AN381" s="101"/>
      <c r="AO381" s="101"/>
      <c r="AP381" s="101"/>
      <c r="AQ381" s="101"/>
      <c r="AR381" s="103"/>
      <c r="AS381" s="103"/>
      <c r="AT381" s="103"/>
      <c r="AU381" s="103"/>
      <c r="AV381" s="103"/>
      <c r="BA381" s="103"/>
      <c r="BF381" s="103"/>
      <c r="BG381" s="103"/>
      <c r="BH381" s="103"/>
      <c r="CK381" s="103"/>
      <c r="CL381" s="103"/>
      <c r="CM381" s="103"/>
      <c r="CN381" s="103"/>
      <c r="CO381" s="103"/>
      <c r="CP381" s="103"/>
      <c r="CQ381" s="103"/>
      <c r="CR381" s="103"/>
      <c r="CS381" s="103"/>
      <c r="CT381" s="103"/>
      <c r="DH381" s="103"/>
      <c r="DI381" s="103"/>
      <c r="DJ381" s="103"/>
      <c r="DK381" s="103"/>
      <c r="DL381" s="103"/>
      <c r="DM381" s="103"/>
      <c r="DN381" s="103"/>
      <c r="DO381" s="103"/>
      <c r="DP381" s="103"/>
      <c r="DQ381" s="103"/>
    </row>
    <row r="382" spans="1:121" s="90" customFormat="1" x14ac:dyDescent="0.25">
      <c r="A382" s="71"/>
      <c r="B382" s="71"/>
      <c r="C382" s="71"/>
      <c r="D382" s="71"/>
      <c r="E382" s="71"/>
      <c r="F382" s="101"/>
      <c r="G382" s="101"/>
      <c r="H382" s="71"/>
      <c r="I382" s="71"/>
      <c r="J382" s="71"/>
      <c r="K382" s="101"/>
      <c r="L382" s="101"/>
      <c r="M382" s="101"/>
      <c r="N382" s="71"/>
      <c r="O382" s="71"/>
      <c r="P382" s="71"/>
      <c r="Q382" s="71"/>
      <c r="R382" s="101"/>
      <c r="S382" s="101"/>
      <c r="T382" s="71"/>
      <c r="U382" s="101"/>
      <c r="V382" s="101"/>
      <c r="W382" s="102"/>
      <c r="X382" s="102"/>
      <c r="Y382" s="102"/>
      <c r="Z382" s="102"/>
      <c r="AA382" s="102"/>
      <c r="AB382" s="102"/>
      <c r="AC382" s="71"/>
      <c r="AD382" s="101"/>
      <c r="AE382" s="101"/>
      <c r="AF382" s="102"/>
      <c r="AG382" s="102"/>
      <c r="AH382" s="102"/>
      <c r="AI382" s="101"/>
      <c r="AJ382" s="88"/>
      <c r="AK382" s="88"/>
      <c r="AM382" s="71"/>
      <c r="AN382" s="101"/>
      <c r="AO382" s="101"/>
      <c r="AP382" s="101"/>
      <c r="AQ382" s="101"/>
      <c r="AR382" s="103"/>
      <c r="AS382" s="103"/>
      <c r="AT382" s="103"/>
      <c r="AU382" s="103"/>
      <c r="AV382" s="103"/>
      <c r="BA382" s="103"/>
      <c r="BF382" s="103"/>
      <c r="BG382" s="103"/>
      <c r="BH382" s="103"/>
      <c r="CK382" s="103"/>
      <c r="CL382" s="103"/>
      <c r="CM382" s="103"/>
      <c r="CN382" s="103"/>
      <c r="CO382" s="103"/>
      <c r="CP382" s="103"/>
      <c r="CQ382" s="103"/>
      <c r="CR382" s="103"/>
      <c r="CS382" s="103"/>
      <c r="CT382" s="103"/>
      <c r="DH382" s="103"/>
      <c r="DI382" s="103"/>
      <c r="DJ382" s="103"/>
      <c r="DK382" s="103"/>
      <c r="DL382" s="103"/>
      <c r="DM382" s="103"/>
      <c r="DN382" s="103"/>
      <c r="DO382" s="103"/>
      <c r="DP382" s="103"/>
      <c r="DQ382" s="103"/>
    </row>
    <row r="383" spans="1:121" s="90" customFormat="1" x14ac:dyDescent="0.25">
      <c r="A383" s="71"/>
      <c r="B383" s="71"/>
      <c r="C383" s="71"/>
      <c r="D383" s="71"/>
      <c r="E383" s="71"/>
      <c r="F383" s="101"/>
      <c r="G383" s="101"/>
      <c r="H383" s="71"/>
      <c r="I383" s="71"/>
      <c r="J383" s="71"/>
      <c r="K383" s="101"/>
      <c r="L383" s="101"/>
      <c r="M383" s="101"/>
      <c r="N383" s="71"/>
      <c r="O383" s="71"/>
      <c r="P383" s="71"/>
      <c r="Q383" s="71"/>
      <c r="R383" s="101"/>
      <c r="S383" s="101"/>
      <c r="T383" s="71"/>
      <c r="U383" s="101"/>
      <c r="V383" s="101"/>
      <c r="W383" s="102"/>
      <c r="X383" s="102"/>
      <c r="Y383" s="102"/>
      <c r="Z383" s="102"/>
      <c r="AA383" s="102"/>
      <c r="AB383" s="102"/>
      <c r="AC383" s="71"/>
      <c r="AD383" s="101"/>
      <c r="AE383" s="101"/>
      <c r="AF383" s="102"/>
      <c r="AG383" s="102"/>
      <c r="AH383" s="102"/>
      <c r="AI383" s="101"/>
      <c r="AJ383" s="88"/>
      <c r="AK383" s="88"/>
      <c r="AM383" s="71"/>
      <c r="AN383" s="101"/>
      <c r="AO383" s="101"/>
      <c r="AP383" s="101"/>
      <c r="AQ383" s="101"/>
      <c r="AR383" s="103"/>
      <c r="AS383" s="103"/>
      <c r="AT383" s="103"/>
      <c r="AU383" s="103"/>
      <c r="AV383" s="103"/>
      <c r="BA383" s="103"/>
      <c r="BF383" s="103"/>
      <c r="BG383" s="103"/>
      <c r="BH383" s="103"/>
      <c r="CK383" s="103"/>
      <c r="CL383" s="103"/>
      <c r="CM383" s="103"/>
      <c r="CN383" s="103"/>
      <c r="CO383" s="103"/>
      <c r="CP383" s="103"/>
      <c r="CQ383" s="103"/>
      <c r="CR383" s="103"/>
      <c r="CS383" s="103"/>
      <c r="CT383" s="103"/>
      <c r="DH383" s="103"/>
      <c r="DI383" s="103"/>
      <c r="DJ383" s="103"/>
      <c r="DK383" s="103"/>
      <c r="DL383" s="103"/>
      <c r="DM383" s="103"/>
      <c r="DN383" s="103"/>
      <c r="DO383" s="103"/>
      <c r="DP383" s="103"/>
      <c r="DQ383" s="103"/>
    </row>
    <row r="384" spans="1:121" s="90" customFormat="1" x14ac:dyDescent="0.25">
      <c r="A384" s="71"/>
      <c r="B384" s="71"/>
      <c r="C384" s="71"/>
      <c r="D384" s="71"/>
      <c r="E384" s="71"/>
      <c r="F384" s="101"/>
      <c r="G384" s="101"/>
      <c r="H384" s="71"/>
      <c r="I384" s="71"/>
      <c r="J384" s="71"/>
      <c r="K384" s="101"/>
      <c r="L384" s="101"/>
      <c r="M384" s="101"/>
      <c r="N384" s="71"/>
      <c r="O384" s="71"/>
      <c r="P384" s="71"/>
      <c r="Q384" s="71"/>
      <c r="R384" s="101"/>
      <c r="S384" s="101"/>
      <c r="T384" s="71"/>
      <c r="U384" s="101"/>
      <c r="V384" s="101"/>
      <c r="W384" s="102"/>
      <c r="X384" s="102"/>
      <c r="Y384" s="102"/>
      <c r="Z384" s="102"/>
      <c r="AA384" s="102"/>
      <c r="AB384" s="102"/>
      <c r="AC384" s="71"/>
      <c r="AD384" s="101"/>
      <c r="AE384" s="101"/>
      <c r="AF384" s="102"/>
      <c r="AG384" s="102"/>
      <c r="AH384" s="102"/>
      <c r="AI384" s="101"/>
      <c r="AJ384" s="88"/>
      <c r="AK384" s="88"/>
      <c r="AM384" s="71"/>
      <c r="AN384" s="101"/>
      <c r="AO384" s="101"/>
      <c r="AP384" s="101"/>
      <c r="AQ384" s="101"/>
      <c r="AR384" s="103"/>
      <c r="AS384" s="103"/>
      <c r="AT384" s="103"/>
      <c r="AU384" s="103"/>
      <c r="AV384" s="103"/>
      <c r="BA384" s="103"/>
      <c r="BF384" s="103"/>
      <c r="BG384" s="103"/>
      <c r="BH384" s="103"/>
      <c r="CK384" s="103"/>
      <c r="CL384" s="103"/>
      <c r="CM384" s="103"/>
      <c r="CN384" s="103"/>
      <c r="CO384" s="103"/>
      <c r="CP384" s="103"/>
      <c r="CQ384" s="103"/>
      <c r="CR384" s="103"/>
      <c r="CS384" s="103"/>
      <c r="CT384" s="103"/>
      <c r="DH384" s="103"/>
      <c r="DI384" s="103"/>
      <c r="DJ384" s="103"/>
      <c r="DK384" s="103"/>
      <c r="DL384" s="103"/>
      <c r="DM384" s="103"/>
      <c r="DN384" s="103"/>
      <c r="DO384" s="103"/>
      <c r="DP384" s="103"/>
      <c r="DQ384" s="103"/>
    </row>
    <row r="385" spans="1:121" s="90" customFormat="1" x14ac:dyDescent="0.25">
      <c r="A385" s="71"/>
      <c r="B385" s="71"/>
      <c r="C385" s="71"/>
      <c r="D385" s="71"/>
      <c r="E385" s="71"/>
      <c r="F385" s="101"/>
      <c r="G385" s="101"/>
      <c r="H385" s="71"/>
      <c r="I385" s="71"/>
      <c r="J385" s="71"/>
      <c r="K385" s="101"/>
      <c r="L385" s="101"/>
      <c r="M385" s="101"/>
      <c r="N385" s="71"/>
      <c r="O385" s="71"/>
      <c r="P385" s="71"/>
      <c r="Q385" s="71"/>
      <c r="R385" s="101"/>
      <c r="S385" s="101"/>
      <c r="T385" s="71"/>
      <c r="U385" s="101"/>
      <c r="V385" s="101"/>
      <c r="W385" s="102"/>
      <c r="X385" s="102"/>
      <c r="Y385" s="102"/>
      <c r="Z385" s="102"/>
      <c r="AA385" s="102"/>
      <c r="AB385" s="102"/>
      <c r="AC385" s="71"/>
      <c r="AD385" s="101"/>
      <c r="AE385" s="101"/>
      <c r="AF385" s="102"/>
      <c r="AG385" s="102"/>
      <c r="AH385" s="102"/>
      <c r="AI385" s="101"/>
      <c r="AJ385" s="88"/>
      <c r="AK385" s="88"/>
      <c r="AM385" s="71"/>
      <c r="AN385" s="101"/>
      <c r="AO385" s="101"/>
      <c r="AP385" s="101"/>
      <c r="AQ385" s="101"/>
      <c r="AR385" s="103"/>
      <c r="AS385" s="103"/>
      <c r="AT385" s="103"/>
      <c r="AU385" s="103"/>
      <c r="AV385" s="103"/>
      <c r="BA385" s="103"/>
      <c r="BF385" s="103"/>
      <c r="BG385" s="103"/>
      <c r="BH385" s="103"/>
      <c r="CK385" s="103"/>
      <c r="CL385" s="103"/>
      <c r="CM385" s="103"/>
      <c r="CN385" s="103"/>
      <c r="CO385" s="103"/>
      <c r="CP385" s="103"/>
      <c r="CQ385" s="103"/>
      <c r="CR385" s="103"/>
      <c r="CS385" s="103"/>
      <c r="CT385" s="103"/>
      <c r="DH385" s="103"/>
      <c r="DI385" s="103"/>
      <c r="DJ385" s="103"/>
      <c r="DK385" s="103"/>
      <c r="DL385" s="103"/>
      <c r="DM385" s="103"/>
      <c r="DN385" s="103"/>
      <c r="DO385" s="103"/>
      <c r="DP385" s="103"/>
      <c r="DQ385" s="103"/>
    </row>
    <row r="386" spans="1:121" s="90" customFormat="1" x14ac:dyDescent="0.25">
      <c r="A386" s="71"/>
      <c r="B386" s="71"/>
      <c r="C386" s="71"/>
      <c r="D386" s="71"/>
      <c r="E386" s="71"/>
      <c r="F386" s="101"/>
      <c r="G386" s="101"/>
      <c r="H386" s="71"/>
      <c r="I386" s="71"/>
      <c r="J386" s="71"/>
      <c r="K386" s="101"/>
      <c r="L386" s="101"/>
      <c r="M386" s="101"/>
      <c r="N386" s="71"/>
      <c r="O386" s="71"/>
      <c r="P386" s="71"/>
      <c r="Q386" s="71"/>
      <c r="R386" s="101"/>
      <c r="S386" s="101"/>
      <c r="T386" s="71"/>
      <c r="U386" s="101"/>
      <c r="V386" s="101"/>
      <c r="W386" s="102"/>
      <c r="X386" s="102"/>
      <c r="Y386" s="102"/>
      <c r="Z386" s="102"/>
      <c r="AA386" s="102"/>
      <c r="AB386" s="102"/>
      <c r="AC386" s="71"/>
      <c r="AD386" s="101"/>
      <c r="AE386" s="101"/>
      <c r="AF386" s="102"/>
      <c r="AG386" s="102"/>
      <c r="AH386" s="102"/>
      <c r="AI386" s="101"/>
      <c r="AJ386" s="88"/>
      <c r="AK386" s="88"/>
      <c r="AM386" s="71"/>
      <c r="AN386" s="101"/>
      <c r="AO386" s="101"/>
      <c r="AP386" s="101"/>
      <c r="AQ386" s="101"/>
      <c r="AR386" s="103"/>
      <c r="AS386" s="103"/>
      <c r="AT386" s="103"/>
      <c r="AU386" s="103"/>
      <c r="AV386" s="103"/>
      <c r="BA386" s="103"/>
      <c r="BF386" s="103"/>
      <c r="BG386" s="103"/>
      <c r="BH386" s="103"/>
      <c r="CK386" s="103"/>
      <c r="CL386" s="103"/>
      <c r="CM386" s="103"/>
      <c r="CN386" s="103"/>
      <c r="CO386" s="103"/>
      <c r="CP386" s="103"/>
      <c r="CQ386" s="103"/>
      <c r="CR386" s="103"/>
      <c r="CS386" s="103"/>
      <c r="CT386" s="103"/>
      <c r="DH386" s="103"/>
      <c r="DI386" s="103"/>
      <c r="DJ386" s="103"/>
      <c r="DK386" s="103"/>
      <c r="DL386" s="103"/>
      <c r="DM386" s="103"/>
      <c r="DN386" s="103"/>
      <c r="DO386" s="103"/>
      <c r="DP386" s="103"/>
      <c r="DQ386" s="103"/>
    </row>
    <row r="387" spans="1:121" s="90" customFormat="1" x14ac:dyDescent="0.25">
      <c r="A387" s="71"/>
      <c r="B387" s="71"/>
      <c r="C387" s="71"/>
      <c r="D387" s="71"/>
      <c r="E387" s="71"/>
      <c r="F387" s="101"/>
      <c r="G387" s="101"/>
      <c r="H387" s="71"/>
      <c r="I387" s="71"/>
      <c r="J387" s="71"/>
      <c r="K387" s="101"/>
      <c r="L387" s="101"/>
      <c r="M387" s="101"/>
      <c r="N387" s="71"/>
      <c r="O387" s="71"/>
      <c r="P387" s="71"/>
      <c r="Q387" s="71"/>
      <c r="R387" s="101"/>
      <c r="S387" s="101"/>
      <c r="T387" s="71"/>
      <c r="U387" s="101"/>
      <c r="V387" s="101"/>
      <c r="W387" s="102"/>
      <c r="X387" s="102"/>
      <c r="Y387" s="102"/>
      <c r="Z387" s="102"/>
      <c r="AA387" s="102"/>
      <c r="AB387" s="102"/>
      <c r="AC387" s="71"/>
      <c r="AD387" s="101"/>
      <c r="AE387" s="101"/>
      <c r="AF387" s="102"/>
      <c r="AG387" s="102"/>
      <c r="AH387" s="102"/>
      <c r="AI387" s="101"/>
      <c r="AJ387" s="88"/>
      <c r="AK387" s="88"/>
      <c r="AM387" s="71"/>
      <c r="AN387" s="101"/>
      <c r="AO387" s="101"/>
      <c r="AP387" s="101"/>
      <c r="AQ387" s="101"/>
      <c r="AR387" s="103"/>
      <c r="AS387" s="103"/>
      <c r="AT387" s="103"/>
      <c r="AU387" s="103"/>
      <c r="AV387" s="103"/>
      <c r="BA387" s="103"/>
      <c r="BF387" s="103"/>
      <c r="BG387" s="103"/>
      <c r="BH387" s="103"/>
      <c r="CK387" s="103"/>
      <c r="CL387" s="103"/>
      <c r="CM387" s="103"/>
      <c r="CN387" s="103"/>
      <c r="CO387" s="103"/>
      <c r="CP387" s="103"/>
      <c r="CQ387" s="103"/>
      <c r="CR387" s="103"/>
      <c r="CS387" s="103"/>
      <c r="CT387" s="103"/>
      <c r="DH387" s="103"/>
      <c r="DI387" s="103"/>
      <c r="DJ387" s="103"/>
      <c r="DK387" s="103"/>
      <c r="DL387" s="103"/>
      <c r="DM387" s="103"/>
      <c r="DN387" s="103"/>
      <c r="DO387" s="103"/>
      <c r="DP387" s="103"/>
      <c r="DQ387" s="103"/>
    </row>
    <row r="388" spans="1:121" s="90" customFormat="1" x14ac:dyDescent="0.25">
      <c r="A388" s="71"/>
      <c r="B388" s="71"/>
      <c r="C388" s="71"/>
      <c r="D388" s="71"/>
      <c r="E388" s="71"/>
      <c r="F388" s="101"/>
      <c r="G388" s="101"/>
      <c r="H388" s="71"/>
      <c r="I388" s="71"/>
      <c r="J388" s="71"/>
      <c r="K388" s="101"/>
      <c r="L388" s="101"/>
      <c r="M388" s="101"/>
      <c r="N388" s="71"/>
      <c r="O388" s="71"/>
      <c r="P388" s="71"/>
      <c r="Q388" s="71"/>
      <c r="R388" s="101"/>
      <c r="S388" s="101"/>
      <c r="T388" s="71"/>
      <c r="U388" s="101"/>
      <c r="V388" s="101"/>
      <c r="W388" s="102"/>
      <c r="X388" s="102"/>
      <c r="Y388" s="102"/>
      <c r="Z388" s="102"/>
      <c r="AA388" s="102"/>
      <c r="AB388" s="102"/>
      <c r="AC388" s="71"/>
      <c r="AD388" s="101"/>
      <c r="AE388" s="101"/>
      <c r="AF388" s="102"/>
      <c r="AG388" s="102"/>
      <c r="AH388" s="102"/>
      <c r="AI388" s="101"/>
      <c r="AJ388" s="88"/>
      <c r="AK388" s="88"/>
      <c r="AM388" s="71"/>
      <c r="AN388" s="101"/>
      <c r="AO388" s="101"/>
      <c r="AP388" s="101"/>
      <c r="AQ388" s="101"/>
      <c r="AR388" s="103"/>
      <c r="AS388" s="103"/>
      <c r="AT388" s="103"/>
      <c r="AU388" s="103"/>
      <c r="AV388" s="103"/>
      <c r="BA388" s="103"/>
      <c r="BF388" s="103"/>
      <c r="BG388" s="103"/>
      <c r="BH388" s="103"/>
      <c r="CK388" s="103"/>
      <c r="CL388" s="103"/>
      <c r="CM388" s="103"/>
      <c r="CN388" s="103"/>
      <c r="CO388" s="103"/>
      <c r="CP388" s="103"/>
      <c r="CQ388" s="103"/>
      <c r="CR388" s="103"/>
      <c r="CS388" s="103"/>
      <c r="CT388" s="103"/>
      <c r="DH388" s="103"/>
      <c r="DI388" s="103"/>
      <c r="DJ388" s="103"/>
      <c r="DK388" s="103"/>
      <c r="DL388" s="103"/>
      <c r="DM388" s="103"/>
      <c r="DN388" s="103"/>
      <c r="DO388" s="103"/>
      <c r="DP388" s="103"/>
      <c r="DQ388" s="103"/>
    </row>
    <row r="389" spans="1:121" s="90" customFormat="1" x14ac:dyDescent="0.25">
      <c r="A389" s="71"/>
      <c r="B389" s="71"/>
      <c r="C389" s="71"/>
      <c r="D389" s="71"/>
      <c r="E389" s="71"/>
      <c r="F389" s="101"/>
      <c r="G389" s="101"/>
      <c r="H389" s="71"/>
      <c r="I389" s="71"/>
      <c r="J389" s="71"/>
      <c r="K389" s="101"/>
      <c r="L389" s="101"/>
      <c r="M389" s="101"/>
      <c r="N389" s="71"/>
      <c r="O389" s="71"/>
      <c r="P389" s="71"/>
      <c r="Q389" s="71"/>
      <c r="R389" s="101"/>
      <c r="S389" s="101"/>
      <c r="T389" s="71"/>
      <c r="U389" s="101"/>
      <c r="V389" s="101"/>
      <c r="W389" s="102"/>
      <c r="X389" s="102"/>
      <c r="Y389" s="102"/>
      <c r="Z389" s="102"/>
      <c r="AA389" s="102"/>
      <c r="AB389" s="102"/>
      <c r="AC389" s="71"/>
      <c r="AD389" s="101"/>
      <c r="AE389" s="101"/>
      <c r="AF389" s="102"/>
      <c r="AG389" s="102"/>
      <c r="AH389" s="102"/>
      <c r="AI389" s="101"/>
      <c r="AJ389" s="88"/>
      <c r="AK389" s="88"/>
      <c r="AM389" s="71"/>
      <c r="AN389" s="101"/>
      <c r="AO389" s="101"/>
      <c r="AP389" s="101"/>
      <c r="AQ389" s="101"/>
      <c r="AR389" s="103"/>
      <c r="AS389" s="103"/>
      <c r="AT389" s="103"/>
      <c r="AU389" s="103"/>
      <c r="AV389" s="103"/>
      <c r="BA389" s="103"/>
      <c r="BF389" s="103"/>
      <c r="BG389" s="103"/>
      <c r="BH389" s="103"/>
      <c r="CK389" s="103"/>
      <c r="CL389" s="103"/>
      <c r="CM389" s="103"/>
      <c r="CN389" s="103"/>
      <c r="CO389" s="103"/>
      <c r="CP389" s="103"/>
      <c r="CQ389" s="103"/>
      <c r="CR389" s="103"/>
      <c r="CS389" s="103"/>
      <c r="CT389" s="103"/>
      <c r="DH389" s="103"/>
      <c r="DI389" s="103"/>
      <c r="DJ389" s="103"/>
      <c r="DK389" s="103"/>
      <c r="DL389" s="103"/>
      <c r="DM389" s="103"/>
      <c r="DN389" s="103"/>
      <c r="DO389" s="103"/>
      <c r="DP389" s="103"/>
      <c r="DQ389" s="103"/>
    </row>
    <row r="390" spans="1:121" s="90" customFormat="1" x14ac:dyDescent="0.25">
      <c r="A390" s="71"/>
      <c r="B390" s="71"/>
      <c r="C390" s="71"/>
      <c r="D390" s="71"/>
      <c r="E390" s="71"/>
      <c r="F390" s="101"/>
      <c r="G390" s="101"/>
      <c r="H390" s="71"/>
      <c r="I390" s="71"/>
      <c r="J390" s="71"/>
      <c r="K390" s="101"/>
      <c r="L390" s="101"/>
      <c r="M390" s="101"/>
      <c r="N390" s="71"/>
      <c r="O390" s="71"/>
      <c r="P390" s="71"/>
      <c r="Q390" s="71"/>
      <c r="R390" s="101"/>
      <c r="S390" s="101"/>
      <c r="T390" s="71"/>
      <c r="U390" s="101"/>
      <c r="V390" s="101"/>
      <c r="W390" s="102"/>
      <c r="X390" s="102"/>
      <c r="Y390" s="102"/>
      <c r="Z390" s="102"/>
      <c r="AA390" s="102"/>
      <c r="AB390" s="102"/>
      <c r="AC390" s="71"/>
      <c r="AD390" s="101"/>
      <c r="AE390" s="101"/>
      <c r="AF390" s="102"/>
      <c r="AG390" s="102"/>
      <c r="AH390" s="102"/>
      <c r="AI390" s="101"/>
      <c r="AJ390" s="88"/>
      <c r="AK390" s="88"/>
      <c r="AM390" s="71"/>
      <c r="AN390" s="101"/>
      <c r="AO390" s="101"/>
      <c r="AP390" s="101"/>
      <c r="AQ390" s="101"/>
      <c r="AR390" s="103"/>
      <c r="AS390" s="103"/>
      <c r="AT390" s="103"/>
      <c r="AU390" s="103"/>
      <c r="AV390" s="103"/>
      <c r="BA390" s="103"/>
      <c r="BF390" s="103"/>
      <c r="BG390" s="103"/>
      <c r="BH390" s="103"/>
      <c r="CK390" s="103"/>
      <c r="CL390" s="103"/>
      <c r="CM390" s="103"/>
      <c r="CN390" s="103"/>
      <c r="CO390" s="103"/>
      <c r="CP390" s="103"/>
      <c r="CQ390" s="103"/>
      <c r="CR390" s="103"/>
      <c r="CS390" s="103"/>
      <c r="CT390" s="103"/>
      <c r="DH390" s="103"/>
      <c r="DI390" s="103"/>
      <c r="DJ390" s="103"/>
      <c r="DK390" s="103"/>
      <c r="DL390" s="103"/>
      <c r="DM390" s="103"/>
      <c r="DN390" s="103"/>
      <c r="DO390" s="103"/>
      <c r="DP390" s="103"/>
      <c r="DQ390" s="103"/>
    </row>
    <row r="391" spans="1:121" s="90" customFormat="1" x14ac:dyDescent="0.25">
      <c r="A391" s="71"/>
      <c r="B391" s="71"/>
      <c r="C391" s="71"/>
      <c r="D391" s="71"/>
      <c r="E391" s="71"/>
      <c r="F391" s="101"/>
      <c r="G391" s="101"/>
      <c r="H391" s="71"/>
      <c r="I391" s="71"/>
      <c r="J391" s="71"/>
      <c r="K391" s="101"/>
      <c r="L391" s="101"/>
      <c r="M391" s="101"/>
      <c r="N391" s="71"/>
      <c r="O391" s="71"/>
      <c r="P391" s="71"/>
      <c r="Q391" s="71"/>
      <c r="R391" s="101"/>
      <c r="S391" s="101"/>
      <c r="T391" s="71"/>
      <c r="U391" s="101"/>
      <c r="V391" s="101"/>
      <c r="W391" s="102"/>
      <c r="X391" s="102"/>
      <c r="Y391" s="102"/>
      <c r="Z391" s="102"/>
      <c r="AA391" s="102"/>
      <c r="AB391" s="102"/>
      <c r="AC391" s="71"/>
      <c r="AD391" s="101"/>
      <c r="AE391" s="101"/>
      <c r="AF391" s="102"/>
      <c r="AG391" s="102"/>
      <c r="AH391" s="102"/>
      <c r="AI391" s="101"/>
      <c r="AJ391" s="88"/>
      <c r="AK391" s="88"/>
      <c r="AM391" s="71"/>
      <c r="AN391" s="101"/>
      <c r="AO391" s="101"/>
      <c r="AP391" s="101"/>
      <c r="AQ391" s="101"/>
      <c r="AR391" s="103"/>
      <c r="AS391" s="103"/>
      <c r="AT391" s="103"/>
      <c r="AU391" s="103"/>
      <c r="AV391" s="103"/>
      <c r="BA391" s="103"/>
      <c r="BF391" s="103"/>
      <c r="BG391" s="103"/>
      <c r="BH391" s="103"/>
      <c r="CK391" s="103"/>
      <c r="CL391" s="103"/>
      <c r="CM391" s="103"/>
      <c r="CN391" s="103"/>
      <c r="CO391" s="103"/>
      <c r="CP391" s="103"/>
      <c r="CQ391" s="103"/>
      <c r="CR391" s="103"/>
      <c r="CS391" s="103"/>
      <c r="CT391" s="103"/>
      <c r="DH391" s="103"/>
      <c r="DI391" s="103"/>
      <c r="DJ391" s="103"/>
      <c r="DK391" s="103"/>
      <c r="DL391" s="103"/>
      <c r="DM391" s="103"/>
      <c r="DN391" s="103"/>
      <c r="DO391" s="103"/>
      <c r="DP391" s="103"/>
      <c r="DQ391" s="103"/>
    </row>
    <row r="392" spans="1:121" s="90" customFormat="1" x14ac:dyDescent="0.25">
      <c r="A392" s="71"/>
      <c r="B392" s="71"/>
      <c r="C392" s="71"/>
      <c r="D392" s="71"/>
      <c r="E392" s="71"/>
      <c r="F392" s="101"/>
      <c r="G392" s="101"/>
      <c r="H392" s="71"/>
      <c r="I392" s="71"/>
      <c r="J392" s="71"/>
      <c r="K392" s="101"/>
      <c r="L392" s="101"/>
      <c r="M392" s="101"/>
      <c r="N392" s="71"/>
      <c r="O392" s="71"/>
      <c r="P392" s="71"/>
      <c r="Q392" s="71"/>
      <c r="R392" s="101"/>
      <c r="S392" s="101"/>
      <c r="T392" s="71"/>
      <c r="U392" s="101"/>
      <c r="V392" s="101"/>
      <c r="W392" s="102"/>
      <c r="X392" s="102"/>
      <c r="Y392" s="102"/>
      <c r="Z392" s="102"/>
      <c r="AA392" s="102"/>
      <c r="AB392" s="102"/>
      <c r="AC392" s="71"/>
      <c r="AD392" s="101"/>
      <c r="AE392" s="101"/>
      <c r="AF392" s="102"/>
      <c r="AG392" s="102"/>
      <c r="AH392" s="102"/>
      <c r="AI392" s="101"/>
      <c r="AJ392" s="88"/>
      <c r="AK392" s="88"/>
      <c r="AM392" s="71"/>
      <c r="AN392" s="101"/>
      <c r="AO392" s="101"/>
      <c r="AP392" s="101"/>
      <c r="AQ392" s="101"/>
      <c r="AR392" s="103"/>
      <c r="AS392" s="103"/>
      <c r="AT392" s="103"/>
      <c r="AU392" s="103"/>
      <c r="AV392" s="103"/>
      <c r="BA392" s="103"/>
      <c r="BF392" s="103"/>
      <c r="BG392" s="103"/>
      <c r="BH392" s="103"/>
      <c r="CK392" s="103"/>
      <c r="CL392" s="103"/>
      <c r="CM392" s="103"/>
      <c r="CN392" s="103"/>
      <c r="CO392" s="103"/>
      <c r="CP392" s="103"/>
      <c r="CQ392" s="103"/>
      <c r="CR392" s="103"/>
      <c r="CS392" s="103"/>
      <c r="CT392" s="103"/>
      <c r="DH392" s="103"/>
      <c r="DI392" s="103"/>
      <c r="DJ392" s="103"/>
      <c r="DK392" s="103"/>
      <c r="DL392" s="103"/>
      <c r="DM392" s="103"/>
      <c r="DN392" s="103"/>
      <c r="DO392" s="103"/>
      <c r="DP392" s="103"/>
      <c r="DQ392" s="103"/>
    </row>
    <row r="393" spans="1:121" s="90" customFormat="1" x14ac:dyDescent="0.25">
      <c r="A393" s="71"/>
      <c r="B393" s="71"/>
      <c r="C393" s="71"/>
      <c r="D393" s="71"/>
      <c r="E393" s="71"/>
      <c r="F393" s="101"/>
      <c r="G393" s="101"/>
      <c r="H393" s="71"/>
      <c r="I393" s="71"/>
      <c r="J393" s="71"/>
      <c r="K393" s="101"/>
      <c r="L393" s="101"/>
      <c r="M393" s="101"/>
      <c r="N393" s="71"/>
      <c r="O393" s="71"/>
      <c r="P393" s="71"/>
      <c r="Q393" s="71"/>
      <c r="R393" s="101"/>
      <c r="S393" s="101"/>
      <c r="T393" s="71"/>
      <c r="U393" s="101"/>
      <c r="V393" s="101"/>
      <c r="W393" s="102"/>
      <c r="X393" s="102"/>
      <c r="Y393" s="102"/>
      <c r="Z393" s="102"/>
      <c r="AA393" s="102"/>
      <c r="AB393" s="102"/>
      <c r="AC393" s="71"/>
      <c r="AD393" s="101"/>
      <c r="AE393" s="101"/>
      <c r="AF393" s="102"/>
      <c r="AG393" s="102"/>
      <c r="AH393" s="102"/>
      <c r="AI393" s="101"/>
      <c r="AJ393" s="88"/>
      <c r="AK393" s="88"/>
      <c r="AM393" s="71"/>
      <c r="AN393" s="101"/>
      <c r="AO393" s="101"/>
      <c r="AP393" s="101"/>
      <c r="AQ393" s="101"/>
      <c r="AR393" s="103"/>
      <c r="AS393" s="103"/>
      <c r="AT393" s="103"/>
      <c r="AU393" s="103"/>
      <c r="AV393" s="103"/>
      <c r="BA393" s="103"/>
      <c r="BF393" s="103"/>
      <c r="BG393" s="103"/>
      <c r="BH393" s="103"/>
      <c r="CK393" s="103"/>
      <c r="CL393" s="103"/>
      <c r="CM393" s="103"/>
      <c r="CN393" s="103"/>
      <c r="CO393" s="103"/>
      <c r="CP393" s="103"/>
      <c r="CQ393" s="103"/>
      <c r="CR393" s="103"/>
      <c r="CS393" s="103"/>
      <c r="CT393" s="103"/>
      <c r="DH393" s="103"/>
      <c r="DI393" s="103"/>
      <c r="DJ393" s="103"/>
      <c r="DK393" s="103"/>
      <c r="DL393" s="103"/>
      <c r="DM393" s="103"/>
      <c r="DN393" s="103"/>
      <c r="DO393" s="103"/>
      <c r="DP393" s="103"/>
      <c r="DQ393" s="103"/>
    </row>
    <row r="394" spans="1:121" s="90" customFormat="1" x14ac:dyDescent="0.25">
      <c r="A394" s="71"/>
      <c r="B394" s="71"/>
      <c r="C394" s="71"/>
      <c r="D394" s="71"/>
      <c r="E394" s="71"/>
      <c r="F394" s="101"/>
      <c r="G394" s="101"/>
      <c r="H394" s="71"/>
      <c r="I394" s="71"/>
      <c r="J394" s="71"/>
      <c r="K394" s="101"/>
      <c r="L394" s="101"/>
      <c r="M394" s="101"/>
      <c r="N394" s="71"/>
      <c r="O394" s="71"/>
      <c r="P394" s="71"/>
      <c r="Q394" s="71"/>
      <c r="R394" s="101"/>
      <c r="S394" s="101"/>
      <c r="T394" s="71"/>
      <c r="U394" s="101"/>
      <c r="V394" s="101"/>
      <c r="W394" s="102"/>
      <c r="X394" s="102"/>
      <c r="Y394" s="102"/>
      <c r="Z394" s="102"/>
      <c r="AA394" s="102"/>
      <c r="AB394" s="102"/>
      <c r="AC394" s="71"/>
      <c r="AD394" s="101"/>
      <c r="AE394" s="101"/>
      <c r="AF394" s="102"/>
      <c r="AG394" s="102"/>
      <c r="AH394" s="102"/>
      <c r="AI394" s="101"/>
      <c r="AJ394" s="88"/>
      <c r="AK394" s="88"/>
      <c r="AM394" s="71"/>
      <c r="AN394" s="101"/>
      <c r="AO394" s="101"/>
      <c r="AP394" s="101"/>
      <c r="AQ394" s="101"/>
      <c r="AR394" s="103"/>
      <c r="AS394" s="103"/>
      <c r="AT394" s="103"/>
      <c r="AU394" s="103"/>
      <c r="AV394" s="103"/>
      <c r="BA394" s="103"/>
      <c r="BF394" s="103"/>
      <c r="BG394" s="103"/>
      <c r="BH394" s="103"/>
      <c r="CK394" s="103"/>
      <c r="CL394" s="103"/>
      <c r="CM394" s="103"/>
      <c r="CN394" s="103"/>
      <c r="CO394" s="103"/>
      <c r="CP394" s="103"/>
      <c r="CQ394" s="103"/>
      <c r="CR394" s="103"/>
      <c r="CS394" s="103"/>
      <c r="CT394" s="103"/>
      <c r="DH394" s="103"/>
      <c r="DI394" s="103"/>
      <c r="DJ394" s="103"/>
      <c r="DK394" s="103"/>
      <c r="DL394" s="103"/>
      <c r="DM394" s="103"/>
      <c r="DN394" s="103"/>
      <c r="DO394" s="103"/>
      <c r="DP394" s="103"/>
      <c r="DQ394" s="103"/>
    </row>
    <row r="395" spans="1:121" s="90" customFormat="1" x14ac:dyDescent="0.25">
      <c r="A395" s="71"/>
      <c r="B395" s="71"/>
      <c r="C395" s="71"/>
      <c r="D395" s="71"/>
      <c r="E395" s="71"/>
      <c r="F395" s="101"/>
      <c r="G395" s="101"/>
      <c r="H395" s="71"/>
      <c r="I395" s="71"/>
      <c r="J395" s="71"/>
      <c r="K395" s="101"/>
      <c r="L395" s="101"/>
      <c r="M395" s="101"/>
      <c r="N395" s="71"/>
      <c r="O395" s="71"/>
      <c r="P395" s="71"/>
      <c r="Q395" s="71"/>
      <c r="R395" s="101"/>
      <c r="S395" s="101"/>
      <c r="T395" s="71"/>
      <c r="U395" s="101"/>
      <c r="V395" s="101"/>
      <c r="W395" s="102"/>
      <c r="X395" s="102"/>
      <c r="Y395" s="102"/>
      <c r="Z395" s="102"/>
      <c r="AA395" s="102"/>
      <c r="AB395" s="102"/>
      <c r="AC395" s="71"/>
      <c r="AD395" s="101"/>
      <c r="AE395" s="101"/>
      <c r="AF395" s="102"/>
      <c r="AG395" s="102"/>
      <c r="AH395" s="102"/>
      <c r="AI395" s="101"/>
      <c r="AJ395" s="88"/>
      <c r="AK395" s="88"/>
      <c r="AM395" s="71"/>
      <c r="AN395" s="101"/>
      <c r="AO395" s="101"/>
      <c r="AP395" s="101"/>
      <c r="AQ395" s="101"/>
      <c r="AR395" s="103"/>
      <c r="AS395" s="103"/>
      <c r="AT395" s="103"/>
      <c r="AU395" s="103"/>
      <c r="AV395" s="103"/>
      <c r="BA395" s="103"/>
      <c r="BF395" s="103"/>
      <c r="BG395" s="103"/>
      <c r="BH395" s="103"/>
      <c r="CK395" s="103"/>
      <c r="CL395" s="103"/>
      <c r="CM395" s="103"/>
      <c r="CN395" s="103"/>
      <c r="CO395" s="103"/>
      <c r="CP395" s="103"/>
      <c r="CQ395" s="103"/>
      <c r="CR395" s="103"/>
      <c r="CS395" s="103"/>
      <c r="CT395" s="103"/>
      <c r="DH395" s="103"/>
      <c r="DI395" s="103"/>
      <c r="DJ395" s="103"/>
      <c r="DK395" s="103"/>
      <c r="DL395" s="103"/>
      <c r="DM395" s="103"/>
      <c r="DN395" s="103"/>
      <c r="DO395" s="103"/>
      <c r="DP395" s="103"/>
      <c r="DQ395" s="103"/>
    </row>
    <row r="396" spans="1:121" s="90" customFormat="1" x14ac:dyDescent="0.25">
      <c r="A396" s="71"/>
      <c r="B396" s="71"/>
      <c r="C396" s="71"/>
      <c r="D396" s="71"/>
      <c r="E396" s="71"/>
      <c r="F396" s="101"/>
      <c r="G396" s="101"/>
      <c r="H396" s="71"/>
      <c r="I396" s="71"/>
      <c r="J396" s="71"/>
      <c r="K396" s="101"/>
      <c r="L396" s="101"/>
      <c r="M396" s="101"/>
      <c r="N396" s="71"/>
      <c r="O396" s="71"/>
      <c r="P396" s="71"/>
      <c r="Q396" s="71"/>
      <c r="R396" s="101"/>
      <c r="S396" s="101"/>
      <c r="T396" s="71"/>
      <c r="U396" s="101"/>
      <c r="V396" s="101"/>
      <c r="W396" s="102"/>
      <c r="X396" s="102"/>
      <c r="Y396" s="102"/>
      <c r="Z396" s="102"/>
      <c r="AA396" s="102"/>
      <c r="AB396" s="102"/>
      <c r="AC396" s="71"/>
      <c r="AD396" s="101"/>
      <c r="AE396" s="101"/>
      <c r="AF396" s="102"/>
      <c r="AG396" s="102"/>
      <c r="AH396" s="102"/>
      <c r="AI396" s="101"/>
      <c r="AJ396" s="88"/>
      <c r="AK396" s="88"/>
      <c r="AM396" s="71"/>
      <c r="AN396" s="101"/>
      <c r="AO396" s="101"/>
      <c r="AP396" s="101"/>
      <c r="AQ396" s="101"/>
      <c r="AR396" s="103"/>
      <c r="AS396" s="103"/>
      <c r="AT396" s="103"/>
      <c r="AU396" s="103"/>
      <c r="AV396" s="103"/>
      <c r="BA396" s="103"/>
      <c r="BF396" s="103"/>
      <c r="BG396" s="103"/>
      <c r="BH396" s="103"/>
      <c r="CK396" s="103"/>
      <c r="CL396" s="103"/>
      <c r="CM396" s="103"/>
      <c r="CN396" s="103"/>
      <c r="CO396" s="103"/>
      <c r="CP396" s="103"/>
      <c r="CQ396" s="103"/>
      <c r="CR396" s="103"/>
      <c r="CS396" s="103"/>
      <c r="CT396" s="103"/>
      <c r="DH396" s="103"/>
      <c r="DI396" s="103"/>
      <c r="DJ396" s="103"/>
      <c r="DK396" s="103"/>
      <c r="DL396" s="103"/>
      <c r="DM396" s="103"/>
      <c r="DN396" s="103"/>
      <c r="DO396" s="103"/>
      <c r="DP396" s="103"/>
      <c r="DQ396" s="103"/>
    </row>
    <row r="397" spans="1:121" s="90" customFormat="1" x14ac:dyDescent="0.25">
      <c r="A397" s="71"/>
      <c r="B397" s="71"/>
      <c r="C397" s="71"/>
      <c r="D397" s="71"/>
      <c r="E397" s="71"/>
      <c r="F397" s="101"/>
      <c r="G397" s="101"/>
      <c r="H397" s="71"/>
      <c r="I397" s="71"/>
      <c r="J397" s="71"/>
      <c r="K397" s="101"/>
      <c r="L397" s="101"/>
      <c r="M397" s="101"/>
      <c r="N397" s="71"/>
      <c r="O397" s="71"/>
      <c r="P397" s="71"/>
      <c r="Q397" s="71"/>
      <c r="R397" s="101"/>
      <c r="S397" s="101"/>
      <c r="T397" s="71"/>
      <c r="U397" s="101"/>
      <c r="V397" s="101"/>
      <c r="W397" s="102"/>
      <c r="X397" s="102"/>
      <c r="Y397" s="102"/>
      <c r="Z397" s="102"/>
      <c r="AA397" s="102"/>
      <c r="AB397" s="102"/>
      <c r="AC397" s="71"/>
      <c r="AD397" s="101"/>
      <c r="AE397" s="101"/>
      <c r="AF397" s="102"/>
      <c r="AG397" s="102"/>
      <c r="AH397" s="102"/>
      <c r="AI397" s="101"/>
      <c r="AJ397" s="88"/>
      <c r="AK397" s="88"/>
      <c r="AM397" s="71"/>
      <c r="AN397" s="101"/>
      <c r="AO397" s="101"/>
      <c r="AP397" s="101"/>
      <c r="AQ397" s="101"/>
      <c r="AR397" s="103"/>
      <c r="AS397" s="103"/>
      <c r="AT397" s="103"/>
      <c r="AU397" s="103"/>
      <c r="AV397" s="103"/>
      <c r="BA397" s="103"/>
      <c r="BF397" s="103"/>
      <c r="BG397" s="103"/>
      <c r="BH397" s="103"/>
      <c r="CK397" s="103"/>
      <c r="CL397" s="103"/>
      <c r="CM397" s="103"/>
      <c r="CN397" s="103"/>
      <c r="CO397" s="103"/>
      <c r="CP397" s="103"/>
      <c r="CQ397" s="103"/>
      <c r="CR397" s="103"/>
      <c r="CS397" s="103"/>
      <c r="CT397" s="103"/>
      <c r="DH397" s="103"/>
      <c r="DI397" s="103"/>
      <c r="DJ397" s="103"/>
      <c r="DK397" s="103"/>
      <c r="DL397" s="103"/>
      <c r="DM397" s="103"/>
      <c r="DN397" s="103"/>
      <c r="DO397" s="103"/>
      <c r="DP397" s="103"/>
      <c r="DQ397" s="103"/>
    </row>
    <row r="398" spans="1:121" s="90" customFormat="1" x14ac:dyDescent="0.25">
      <c r="A398" s="71"/>
      <c r="B398" s="71"/>
      <c r="C398" s="71"/>
      <c r="D398" s="71"/>
      <c r="E398" s="71"/>
      <c r="F398" s="101"/>
      <c r="G398" s="101"/>
      <c r="H398" s="71"/>
      <c r="I398" s="71"/>
      <c r="J398" s="71"/>
      <c r="K398" s="101"/>
      <c r="L398" s="101"/>
      <c r="M398" s="101"/>
      <c r="N398" s="71"/>
      <c r="O398" s="71"/>
      <c r="P398" s="71"/>
      <c r="Q398" s="71"/>
      <c r="R398" s="101"/>
      <c r="S398" s="101"/>
      <c r="T398" s="71"/>
      <c r="U398" s="101"/>
      <c r="V398" s="101"/>
      <c r="W398" s="102"/>
      <c r="X398" s="102"/>
      <c r="Y398" s="102"/>
      <c r="Z398" s="102"/>
      <c r="AA398" s="102"/>
      <c r="AB398" s="102"/>
      <c r="AC398" s="71"/>
      <c r="AD398" s="101"/>
      <c r="AE398" s="101"/>
      <c r="AF398" s="102"/>
      <c r="AG398" s="102"/>
      <c r="AH398" s="102"/>
      <c r="AI398" s="101"/>
      <c r="AJ398" s="88"/>
      <c r="AK398" s="88"/>
      <c r="AM398" s="71"/>
      <c r="AN398" s="101"/>
      <c r="AO398" s="101"/>
      <c r="AP398" s="101"/>
      <c r="AQ398" s="101"/>
      <c r="AR398" s="103"/>
      <c r="AS398" s="103"/>
      <c r="AT398" s="103"/>
      <c r="AU398" s="103"/>
      <c r="AV398" s="103"/>
      <c r="BA398" s="103"/>
      <c r="BF398" s="103"/>
      <c r="BG398" s="103"/>
      <c r="BH398" s="103"/>
      <c r="CK398" s="103"/>
      <c r="CL398" s="103"/>
      <c r="CM398" s="103"/>
      <c r="CN398" s="103"/>
      <c r="CO398" s="103"/>
      <c r="CP398" s="103"/>
      <c r="CQ398" s="103"/>
      <c r="CR398" s="103"/>
      <c r="CS398" s="103"/>
      <c r="CT398" s="103"/>
      <c r="DH398" s="103"/>
      <c r="DI398" s="103"/>
      <c r="DJ398" s="103"/>
      <c r="DK398" s="103"/>
      <c r="DL398" s="103"/>
      <c r="DM398" s="103"/>
      <c r="DN398" s="103"/>
      <c r="DO398" s="103"/>
      <c r="DP398" s="103"/>
      <c r="DQ398" s="103"/>
    </row>
    <row r="399" spans="1:121" s="90" customFormat="1" x14ac:dyDescent="0.25">
      <c r="A399" s="71"/>
      <c r="B399" s="71"/>
      <c r="C399" s="71"/>
      <c r="D399" s="71"/>
      <c r="E399" s="71"/>
      <c r="F399" s="101"/>
      <c r="G399" s="101"/>
      <c r="H399" s="71"/>
      <c r="I399" s="71"/>
      <c r="J399" s="71"/>
      <c r="K399" s="101"/>
      <c r="L399" s="101"/>
      <c r="M399" s="101"/>
      <c r="N399" s="71"/>
      <c r="O399" s="71"/>
      <c r="P399" s="71"/>
      <c r="Q399" s="71"/>
      <c r="R399" s="101"/>
      <c r="S399" s="101"/>
      <c r="T399" s="71"/>
      <c r="U399" s="101"/>
      <c r="V399" s="101"/>
      <c r="W399" s="102"/>
      <c r="X399" s="102"/>
      <c r="Y399" s="102"/>
      <c r="Z399" s="102"/>
      <c r="AA399" s="102"/>
      <c r="AB399" s="102"/>
      <c r="AC399" s="71"/>
      <c r="AD399" s="101"/>
      <c r="AE399" s="101"/>
      <c r="AF399" s="102"/>
      <c r="AG399" s="102"/>
      <c r="AH399" s="102"/>
      <c r="AI399" s="101"/>
      <c r="AJ399" s="88"/>
      <c r="AK399" s="88"/>
      <c r="AM399" s="71"/>
      <c r="AN399" s="101"/>
      <c r="AO399" s="101"/>
      <c r="AP399" s="101"/>
      <c r="AQ399" s="101"/>
      <c r="AR399" s="103"/>
      <c r="AS399" s="103"/>
      <c r="AT399" s="103"/>
      <c r="AU399" s="103"/>
      <c r="AV399" s="103"/>
      <c r="BA399" s="103"/>
      <c r="BF399" s="103"/>
      <c r="BG399" s="103"/>
      <c r="BH399" s="103"/>
      <c r="CK399" s="103"/>
      <c r="CL399" s="103"/>
      <c r="CM399" s="103"/>
      <c r="CN399" s="103"/>
      <c r="CO399" s="103"/>
      <c r="CP399" s="103"/>
      <c r="CQ399" s="103"/>
      <c r="CR399" s="103"/>
      <c r="CS399" s="103"/>
      <c r="CT399" s="103"/>
      <c r="DH399" s="103"/>
      <c r="DI399" s="103"/>
      <c r="DJ399" s="103"/>
      <c r="DK399" s="103"/>
      <c r="DL399" s="103"/>
      <c r="DM399" s="103"/>
      <c r="DN399" s="103"/>
      <c r="DO399" s="103"/>
      <c r="DP399" s="103"/>
      <c r="DQ399" s="103"/>
    </row>
    <row r="400" spans="1:121" s="90" customFormat="1" x14ac:dyDescent="0.25">
      <c r="A400" s="71"/>
      <c r="B400" s="71"/>
      <c r="C400" s="71"/>
      <c r="D400" s="71"/>
      <c r="E400" s="71"/>
      <c r="F400" s="101"/>
      <c r="G400" s="101"/>
      <c r="H400" s="71"/>
      <c r="I400" s="71"/>
      <c r="J400" s="71"/>
      <c r="K400" s="101"/>
      <c r="L400" s="101"/>
      <c r="M400" s="101"/>
      <c r="N400" s="71"/>
      <c r="O400" s="71"/>
      <c r="P400" s="71"/>
      <c r="Q400" s="71"/>
      <c r="R400" s="101"/>
      <c r="S400" s="101"/>
      <c r="T400" s="71"/>
      <c r="U400" s="101"/>
      <c r="V400" s="101"/>
      <c r="W400" s="102"/>
      <c r="X400" s="102"/>
      <c r="Y400" s="102"/>
      <c r="Z400" s="102"/>
      <c r="AA400" s="102"/>
      <c r="AB400" s="102"/>
      <c r="AC400" s="71"/>
      <c r="AD400" s="101"/>
      <c r="AE400" s="101"/>
      <c r="AF400" s="102"/>
      <c r="AG400" s="102"/>
      <c r="AH400" s="102"/>
      <c r="AI400" s="101"/>
      <c r="AJ400" s="88"/>
      <c r="AK400" s="88"/>
      <c r="AM400" s="71"/>
      <c r="AN400" s="101"/>
      <c r="AO400" s="101"/>
      <c r="AP400" s="101"/>
      <c r="AQ400" s="101"/>
      <c r="AR400" s="103"/>
      <c r="AS400" s="103"/>
      <c r="AT400" s="103"/>
      <c r="AU400" s="103"/>
      <c r="AV400" s="103"/>
      <c r="BA400" s="103"/>
      <c r="BF400" s="103"/>
      <c r="BG400" s="103"/>
      <c r="BH400" s="103"/>
      <c r="CK400" s="103"/>
      <c r="CL400" s="103"/>
      <c r="CM400" s="103"/>
      <c r="CN400" s="103"/>
      <c r="CO400" s="103"/>
      <c r="CP400" s="103"/>
      <c r="CQ400" s="103"/>
      <c r="CR400" s="103"/>
      <c r="CS400" s="103"/>
      <c r="CT400" s="103"/>
      <c r="DH400" s="103"/>
      <c r="DI400" s="103"/>
      <c r="DJ400" s="103"/>
      <c r="DK400" s="103"/>
      <c r="DL400" s="103"/>
      <c r="DM400" s="103"/>
      <c r="DN400" s="103"/>
      <c r="DO400" s="103"/>
      <c r="DP400" s="103"/>
      <c r="DQ400" s="103"/>
    </row>
    <row r="401" spans="1:121" s="90" customFormat="1" x14ac:dyDescent="0.25">
      <c r="A401" s="71"/>
      <c r="B401" s="71"/>
      <c r="C401" s="71"/>
      <c r="D401" s="71"/>
      <c r="E401" s="71"/>
      <c r="F401" s="101"/>
      <c r="G401" s="101"/>
      <c r="H401" s="71"/>
      <c r="I401" s="71"/>
      <c r="J401" s="71"/>
      <c r="K401" s="101"/>
      <c r="L401" s="101"/>
      <c r="M401" s="101"/>
      <c r="N401" s="71"/>
      <c r="O401" s="71"/>
      <c r="P401" s="71"/>
      <c r="Q401" s="71"/>
      <c r="R401" s="101"/>
      <c r="S401" s="101"/>
      <c r="T401" s="71"/>
      <c r="U401" s="101"/>
      <c r="V401" s="101"/>
      <c r="W401" s="102"/>
      <c r="X401" s="102"/>
      <c r="Y401" s="102"/>
      <c r="Z401" s="102"/>
      <c r="AA401" s="102"/>
      <c r="AB401" s="102"/>
      <c r="AC401" s="71"/>
      <c r="AD401" s="101"/>
      <c r="AE401" s="101"/>
      <c r="AF401" s="102"/>
      <c r="AG401" s="102"/>
      <c r="AH401" s="102"/>
      <c r="AI401" s="101"/>
      <c r="AJ401" s="88"/>
      <c r="AK401" s="88"/>
      <c r="AM401" s="71"/>
      <c r="AN401" s="101"/>
      <c r="AO401" s="101"/>
      <c r="AP401" s="101"/>
      <c r="AQ401" s="101"/>
      <c r="AR401" s="103"/>
      <c r="AS401" s="103"/>
      <c r="AT401" s="103"/>
      <c r="AU401" s="103"/>
      <c r="AV401" s="103"/>
      <c r="BA401" s="103"/>
      <c r="BF401" s="103"/>
      <c r="BG401" s="103"/>
      <c r="BH401" s="103"/>
      <c r="CK401" s="103"/>
      <c r="CL401" s="103"/>
      <c r="CM401" s="103"/>
      <c r="CN401" s="103"/>
      <c r="CO401" s="103"/>
      <c r="CP401" s="103"/>
      <c r="CQ401" s="103"/>
      <c r="CR401" s="103"/>
      <c r="CS401" s="103"/>
      <c r="CT401" s="103"/>
      <c r="DH401" s="103"/>
      <c r="DI401" s="103"/>
      <c r="DJ401" s="103"/>
      <c r="DK401" s="103"/>
      <c r="DL401" s="103"/>
      <c r="DM401" s="103"/>
      <c r="DN401" s="103"/>
      <c r="DO401" s="103"/>
      <c r="DP401" s="103"/>
      <c r="DQ401" s="103"/>
    </row>
    <row r="402" spans="1:121" s="90" customFormat="1" x14ac:dyDescent="0.25">
      <c r="A402" s="71"/>
      <c r="B402" s="71"/>
      <c r="C402" s="71"/>
      <c r="D402" s="71"/>
      <c r="E402" s="71"/>
      <c r="F402" s="101"/>
      <c r="G402" s="101"/>
      <c r="H402" s="71"/>
      <c r="I402" s="71"/>
      <c r="J402" s="71"/>
      <c r="K402" s="101"/>
      <c r="L402" s="101"/>
      <c r="M402" s="101"/>
      <c r="N402" s="71"/>
      <c r="O402" s="71"/>
      <c r="P402" s="71"/>
      <c r="Q402" s="71"/>
      <c r="R402" s="101"/>
      <c r="S402" s="101"/>
      <c r="T402" s="71"/>
      <c r="U402" s="101"/>
      <c r="V402" s="101"/>
      <c r="W402" s="102"/>
      <c r="X402" s="102"/>
      <c r="Y402" s="102"/>
      <c r="Z402" s="102"/>
      <c r="AA402" s="102"/>
      <c r="AB402" s="102"/>
      <c r="AC402" s="71"/>
      <c r="AD402" s="101"/>
      <c r="AE402" s="101"/>
      <c r="AF402" s="102"/>
      <c r="AG402" s="102"/>
      <c r="AH402" s="102"/>
      <c r="AI402" s="101"/>
      <c r="AJ402" s="88"/>
      <c r="AK402" s="88"/>
      <c r="AM402" s="71"/>
      <c r="AN402" s="101"/>
      <c r="AO402" s="101"/>
      <c r="AP402" s="101"/>
      <c r="AQ402" s="101"/>
      <c r="AR402" s="103"/>
      <c r="AS402" s="103"/>
      <c r="AT402" s="103"/>
      <c r="AU402" s="103"/>
      <c r="AV402" s="103"/>
      <c r="BA402" s="103"/>
      <c r="BF402" s="103"/>
      <c r="BG402" s="103"/>
      <c r="BH402" s="103"/>
      <c r="CK402" s="103"/>
      <c r="CL402" s="103"/>
      <c r="CM402" s="103"/>
      <c r="CN402" s="103"/>
      <c r="CO402" s="103"/>
      <c r="CP402" s="103"/>
      <c r="CQ402" s="103"/>
      <c r="CR402" s="103"/>
      <c r="CS402" s="103"/>
      <c r="CT402" s="103"/>
      <c r="DH402" s="103"/>
      <c r="DI402" s="103"/>
      <c r="DJ402" s="103"/>
      <c r="DK402" s="103"/>
      <c r="DL402" s="103"/>
      <c r="DM402" s="103"/>
      <c r="DN402" s="103"/>
      <c r="DO402" s="103"/>
      <c r="DP402" s="103"/>
      <c r="DQ402" s="103"/>
    </row>
    <row r="403" spans="1:121" s="90" customFormat="1" x14ac:dyDescent="0.25">
      <c r="A403" s="71"/>
      <c r="B403" s="71"/>
      <c r="C403" s="71"/>
      <c r="D403" s="71"/>
      <c r="E403" s="71"/>
      <c r="F403" s="101"/>
      <c r="G403" s="101"/>
      <c r="H403" s="71"/>
      <c r="I403" s="71"/>
      <c r="J403" s="71"/>
      <c r="K403" s="101"/>
      <c r="L403" s="101"/>
      <c r="M403" s="101"/>
      <c r="N403" s="71"/>
      <c r="O403" s="71"/>
      <c r="P403" s="71"/>
      <c r="Q403" s="71"/>
      <c r="R403" s="101"/>
      <c r="S403" s="101"/>
      <c r="T403" s="71"/>
      <c r="U403" s="101"/>
      <c r="V403" s="101"/>
      <c r="W403" s="102"/>
      <c r="X403" s="102"/>
      <c r="Y403" s="102"/>
      <c r="Z403" s="102"/>
      <c r="AA403" s="102"/>
      <c r="AB403" s="102"/>
      <c r="AC403" s="71"/>
      <c r="AD403" s="101"/>
      <c r="AE403" s="101"/>
      <c r="AF403" s="102"/>
      <c r="AG403" s="102"/>
      <c r="AH403" s="102"/>
      <c r="AI403" s="101"/>
      <c r="AJ403" s="88"/>
      <c r="AK403" s="88"/>
      <c r="AM403" s="71"/>
      <c r="AN403" s="101"/>
      <c r="AO403" s="101"/>
      <c r="AP403" s="101"/>
      <c r="AQ403" s="101"/>
      <c r="AR403" s="103"/>
      <c r="AS403" s="103"/>
      <c r="AT403" s="103"/>
      <c r="AU403" s="103"/>
      <c r="AV403" s="103"/>
      <c r="BA403" s="103"/>
      <c r="BF403" s="103"/>
      <c r="BG403" s="103"/>
      <c r="BH403" s="103"/>
      <c r="CK403" s="103"/>
      <c r="CL403" s="103"/>
      <c r="CM403" s="103"/>
      <c r="CN403" s="103"/>
      <c r="CO403" s="103"/>
      <c r="CP403" s="103"/>
      <c r="CQ403" s="103"/>
      <c r="CR403" s="103"/>
      <c r="CS403" s="103"/>
      <c r="CT403" s="103"/>
      <c r="DH403" s="103"/>
      <c r="DI403" s="103"/>
      <c r="DJ403" s="103"/>
      <c r="DK403" s="103"/>
      <c r="DL403" s="103"/>
      <c r="DM403" s="103"/>
      <c r="DN403" s="103"/>
      <c r="DO403" s="103"/>
      <c r="DP403" s="103"/>
      <c r="DQ403" s="103"/>
    </row>
    <row r="404" spans="1:121" s="90" customFormat="1" x14ac:dyDescent="0.25">
      <c r="A404" s="71"/>
      <c r="B404" s="71"/>
      <c r="C404" s="71"/>
      <c r="D404" s="71"/>
      <c r="E404" s="71"/>
      <c r="F404" s="101"/>
      <c r="G404" s="101"/>
      <c r="H404" s="71"/>
      <c r="I404" s="71"/>
      <c r="J404" s="71"/>
      <c r="K404" s="101"/>
      <c r="L404" s="101"/>
      <c r="M404" s="101"/>
      <c r="N404" s="71"/>
      <c r="O404" s="71"/>
      <c r="P404" s="71"/>
      <c r="Q404" s="71"/>
      <c r="R404" s="101"/>
      <c r="S404" s="101"/>
      <c r="T404" s="71"/>
      <c r="U404" s="101"/>
      <c r="V404" s="101"/>
      <c r="W404" s="102"/>
      <c r="X404" s="102"/>
      <c r="Y404" s="102"/>
      <c r="Z404" s="102"/>
      <c r="AA404" s="102"/>
      <c r="AB404" s="102"/>
      <c r="AC404" s="71"/>
      <c r="AD404" s="101"/>
      <c r="AE404" s="101"/>
      <c r="AF404" s="102"/>
      <c r="AG404" s="102"/>
      <c r="AH404" s="102"/>
      <c r="AI404" s="101"/>
      <c r="AJ404" s="88"/>
      <c r="AK404" s="88"/>
      <c r="AM404" s="71"/>
      <c r="AN404" s="101"/>
      <c r="AO404" s="101"/>
      <c r="AP404" s="101"/>
      <c r="AQ404" s="101"/>
      <c r="AR404" s="103"/>
      <c r="AS404" s="103"/>
      <c r="AT404" s="103"/>
      <c r="AU404" s="103"/>
      <c r="AV404" s="103"/>
      <c r="BA404" s="103"/>
      <c r="BF404" s="103"/>
      <c r="BG404" s="103"/>
      <c r="BH404" s="103"/>
      <c r="CK404" s="103"/>
      <c r="CL404" s="103"/>
      <c r="CM404" s="103"/>
      <c r="CN404" s="103"/>
      <c r="CO404" s="103"/>
      <c r="CP404" s="103"/>
      <c r="CQ404" s="103"/>
      <c r="CR404" s="103"/>
      <c r="CS404" s="103"/>
      <c r="CT404" s="103"/>
      <c r="DH404" s="103"/>
      <c r="DI404" s="103"/>
      <c r="DJ404" s="103"/>
      <c r="DK404" s="103"/>
      <c r="DL404" s="103"/>
      <c r="DM404" s="103"/>
      <c r="DN404" s="103"/>
      <c r="DO404" s="103"/>
      <c r="DP404" s="103"/>
      <c r="DQ404" s="103"/>
    </row>
    <row r="405" spans="1:121" s="90" customFormat="1" x14ac:dyDescent="0.25">
      <c r="A405" s="71"/>
      <c r="B405" s="71"/>
      <c r="C405" s="71"/>
      <c r="D405" s="71"/>
      <c r="E405" s="71"/>
      <c r="F405" s="101"/>
      <c r="G405" s="101"/>
      <c r="H405" s="71"/>
      <c r="I405" s="71"/>
      <c r="J405" s="71"/>
      <c r="K405" s="101"/>
      <c r="L405" s="101"/>
      <c r="M405" s="101"/>
      <c r="N405" s="71"/>
      <c r="O405" s="71"/>
      <c r="P405" s="71"/>
      <c r="Q405" s="71"/>
      <c r="R405" s="101"/>
      <c r="S405" s="101"/>
      <c r="T405" s="71"/>
      <c r="U405" s="101"/>
      <c r="V405" s="101"/>
      <c r="W405" s="102"/>
      <c r="X405" s="102"/>
      <c r="Y405" s="102"/>
      <c r="Z405" s="102"/>
      <c r="AA405" s="102"/>
      <c r="AB405" s="102"/>
      <c r="AC405" s="71"/>
      <c r="AD405" s="101"/>
      <c r="AE405" s="101"/>
      <c r="AF405" s="102"/>
      <c r="AG405" s="102"/>
      <c r="AH405" s="102"/>
      <c r="AI405" s="101"/>
      <c r="AJ405" s="88"/>
      <c r="AK405" s="88"/>
      <c r="AM405" s="71"/>
      <c r="AN405" s="101"/>
      <c r="AO405" s="101"/>
      <c r="AP405" s="101"/>
      <c r="AQ405" s="101"/>
      <c r="AR405" s="103"/>
      <c r="AS405" s="103"/>
      <c r="AT405" s="103"/>
      <c r="AU405" s="103"/>
      <c r="AV405" s="103"/>
      <c r="BA405" s="103"/>
      <c r="BF405" s="103"/>
      <c r="BG405" s="103"/>
      <c r="BH405" s="103"/>
      <c r="CK405" s="103"/>
      <c r="CL405" s="103"/>
      <c r="CM405" s="103"/>
      <c r="CN405" s="103"/>
      <c r="CO405" s="103"/>
      <c r="CP405" s="103"/>
      <c r="CQ405" s="103"/>
      <c r="CR405" s="103"/>
      <c r="CS405" s="103"/>
      <c r="CT405" s="103"/>
      <c r="DH405" s="103"/>
      <c r="DI405" s="103"/>
      <c r="DJ405" s="103"/>
      <c r="DK405" s="103"/>
      <c r="DL405" s="103"/>
      <c r="DM405" s="103"/>
      <c r="DN405" s="103"/>
      <c r="DO405" s="103"/>
      <c r="DP405" s="103"/>
      <c r="DQ405" s="103"/>
    </row>
    <row r="406" spans="1:121" s="90" customFormat="1" x14ac:dyDescent="0.25">
      <c r="A406" s="71"/>
      <c r="B406" s="71"/>
      <c r="C406" s="71"/>
      <c r="D406" s="71"/>
      <c r="E406" s="71"/>
      <c r="F406" s="101"/>
      <c r="G406" s="101"/>
      <c r="H406" s="71"/>
      <c r="I406" s="71"/>
      <c r="J406" s="71"/>
      <c r="K406" s="101"/>
      <c r="L406" s="101"/>
      <c r="M406" s="101"/>
      <c r="N406" s="71"/>
      <c r="O406" s="71"/>
      <c r="P406" s="71"/>
      <c r="Q406" s="71"/>
      <c r="R406" s="101"/>
      <c r="S406" s="101"/>
      <c r="T406" s="71"/>
      <c r="U406" s="101"/>
      <c r="V406" s="101"/>
      <c r="W406" s="102"/>
      <c r="X406" s="102"/>
      <c r="Y406" s="102"/>
      <c r="Z406" s="102"/>
      <c r="AA406" s="102"/>
      <c r="AB406" s="102"/>
      <c r="AC406" s="71"/>
      <c r="AD406" s="101"/>
      <c r="AE406" s="101"/>
      <c r="AF406" s="102"/>
      <c r="AG406" s="102"/>
      <c r="AH406" s="102"/>
      <c r="AI406" s="101"/>
      <c r="AJ406" s="88"/>
      <c r="AK406" s="88"/>
      <c r="AM406" s="71"/>
      <c r="AN406" s="101"/>
      <c r="AO406" s="101"/>
      <c r="AP406" s="101"/>
      <c r="AQ406" s="101"/>
      <c r="AR406" s="103"/>
      <c r="AS406" s="103"/>
      <c r="AT406" s="103"/>
      <c r="AU406" s="103"/>
      <c r="AV406" s="103"/>
      <c r="BA406" s="103"/>
      <c r="BF406" s="103"/>
      <c r="BG406" s="103"/>
      <c r="BH406" s="103"/>
      <c r="CK406" s="103"/>
      <c r="CL406" s="103"/>
      <c r="CM406" s="103"/>
      <c r="CN406" s="103"/>
      <c r="CO406" s="103"/>
      <c r="CP406" s="103"/>
      <c r="CQ406" s="103"/>
      <c r="CR406" s="103"/>
      <c r="CS406" s="103"/>
      <c r="CT406" s="103"/>
      <c r="DH406" s="103"/>
      <c r="DI406" s="103"/>
      <c r="DJ406" s="103"/>
      <c r="DK406" s="103"/>
      <c r="DL406" s="103"/>
      <c r="DM406" s="103"/>
      <c r="DN406" s="103"/>
      <c r="DO406" s="103"/>
      <c r="DP406" s="103"/>
      <c r="DQ406" s="103"/>
    </row>
    <row r="407" spans="1:121" s="90" customFormat="1" x14ac:dyDescent="0.25">
      <c r="A407" s="71"/>
      <c r="B407" s="71"/>
      <c r="C407" s="71"/>
      <c r="D407" s="71"/>
      <c r="E407" s="71"/>
      <c r="F407" s="101"/>
      <c r="G407" s="101"/>
      <c r="H407" s="71"/>
      <c r="I407" s="71"/>
      <c r="J407" s="71"/>
      <c r="K407" s="101"/>
      <c r="L407" s="101"/>
      <c r="M407" s="101"/>
      <c r="N407" s="71"/>
      <c r="O407" s="71"/>
      <c r="P407" s="71"/>
      <c r="Q407" s="71"/>
      <c r="R407" s="101"/>
      <c r="S407" s="101"/>
      <c r="T407" s="71"/>
      <c r="U407" s="101"/>
      <c r="V407" s="101"/>
      <c r="W407" s="102"/>
      <c r="X407" s="102"/>
      <c r="Y407" s="102"/>
      <c r="Z407" s="102"/>
      <c r="AA407" s="102"/>
      <c r="AB407" s="102"/>
      <c r="AC407" s="71"/>
      <c r="AD407" s="101"/>
      <c r="AE407" s="101"/>
      <c r="AF407" s="102"/>
      <c r="AG407" s="102"/>
      <c r="AH407" s="102"/>
      <c r="AI407" s="101"/>
      <c r="AJ407" s="88"/>
      <c r="AK407" s="88"/>
      <c r="AM407" s="71"/>
      <c r="AN407" s="101"/>
      <c r="AO407" s="101"/>
      <c r="AP407" s="101"/>
      <c r="AQ407" s="101"/>
      <c r="AR407" s="103"/>
      <c r="AS407" s="103"/>
      <c r="AT407" s="103"/>
      <c r="AU407" s="103"/>
      <c r="AV407" s="103"/>
      <c r="BA407" s="103"/>
      <c r="BF407" s="103"/>
      <c r="BG407" s="103"/>
      <c r="BH407" s="103"/>
      <c r="CK407" s="103"/>
      <c r="CL407" s="103"/>
      <c r="CM407" s="103"/>
      <c r="CN407" s="103"/>
      <c r="CO407" s="103"/>
      <c r="CP407" s="103"/>
      <c r="CQ407" s="103"/>
      <c r="CR407" s="103"/>
      <c r="CS407" s="103"/>
      <c r="CT407" s="103"/>
      <c r="DH407" s="103"/>
      <c r="DI407" s="103"/>
      <c r="DJ407" s="103"/>
      <c r="DK407" s="103"/>
      <c r="DL407" s="103"/>
      <c r="DM407" s="103"/>
      <c r="DN407" s="103"/>
      <c r="DO407" s="103"/>
      <c r="DP407" s="103"/>
      <c r="DQ407" s="103"/>
    </row>
    <row r="408" spans="1:121" s="90" customFormat="1" x14ac:dyDescent="0.25">
      <c r="A408" s="71"/>
      <c r="B408" s="71"/>
      <c r="C408" s="71"/>
      <c r="D408" s="71"/>
      <c r="E408" s="71"/>
      <c r="F408" s="101"/>
      <c r="G408" s="101"/>
      <c r="H408" s="71"/>
      <c r="I408" s="71"/>
      <c r="J408" s="71"/>
      <c r="K408" s="101"/>
      <c r="L408" s="101"/>
      <c r="M408" s="101"/>
      <c r="N408" s="71"/>
      <c r="O408" s="71"/>
      <c r="P408" s="71"/>
      <c r="Q408" s="71"/>
      <c r="R408" s="101"/>
      <c r="S408" s="101"/>
      <c r="T408" s="71"/>
      <c r="U408" s="101"/>
      <c r="V408" s="101"/>
      <c r="W408" s="102"/>
      <c r="X408" s="102"/>
      <c r="Y408" s="102"/>
      <c r="Z408" s="102"/>
      <c r="AA408" s="102"/>
      <c r="AB408" s="102"/>
      <c r="AC408" s="71"/>
      <c r="AD408" s="101"/>
      <c r="AE408" s="101"/>
      <c r="AF408" s="102"/>
      <c r="AG408" s="102"/>
      <c r="AH408" s="102"/>
      <c r="AI408" s="101"/>
      <c r="AJ408" s="88"/>
      <c r="AK408" s="88"/>
      <c r="AM408" s="71"/>
      <c r="AN408" s="101"/>
      <c r="AO408" s="101"/>
      <c r="AP408" s="101"/>
      <c r="AQ408" s="101"/>
      <c r="AR408" s="103"/>
      <c r="AS408" s="103"/>
      <c r="AT408" s="103"/>
      <c r="AU408" s="103"/>
      <c r="AV408" s="103"/>
      <c r="BA408" s="103"/>
      <c r="BF408" s="103"/>
      <c r="BG408" s="103"/>
      <c r="BH408" s="103"/>
      <c r="CK408" s="103"/>
      <c r="CL408" s="103"/>
      <c r="CM408" s="103"/>
      <c r="CN408" s="103"/>
      <c r="CO408" s="103"/>
      <c r="CP408" s="103"/>
      <c r="CQ408" s="103"/>
      <c r="CR408" s="103"/>
      <c r="CS408" s="103"/>
      <c r="CT408" s="103"/>
      <c r="DH408" s="103"/>
      <c r="DI408" s="103"/>
      <c r="DJ408" s="103"/>
      <c r="DK408" s="103"/>
      <c r="DL408" s="103"/>
      <c r="DM408" s="103"/>
      <c r="DN408" s="103"/>
      <c r="DO408" s="103"/>
      <c r="DP408" s="103"/>
      <c r="DQ408" s="103"/>
    </row>
    <row r="409" spans="1:121" s="90" customFormat="1" x14ac:dyDescent="0.25">
      <c r="A409" s="71"/>
      <c r="B409" s="71"/>
      <c r="C409" s="71"/>
      <c r="D409" s="71"/>
      <c r="E409" s="71"/>
      <c r="F409" s="101"/>
      <c r="G409" s="101"/>
      <c r="H409" s="71"/>
      <c r="I409" s="71"/>
      <c r="J409" s="71"/>
      <c r="K409" s="101"/>
      <c r="L409" s="101"/>
      <c r="M409" s="101"/>
      <c r="N409" s="71"/>
      <c r="O409" s="71"/>
      <c r="P409" s="71"/>
      <c r="Q409" s="71"/>
      <c r="R409" s="101"/>
      <c r="S409" s="101"/>
      <c r="T409" s="71"/>
      <c r="U409" s="101"/>
      <c r="V409" s="101"/>
      <c r="W409" s="102"/>
      <c r="X409" s="102"/>
      <c r="Y409" s="102"/>
      <c r="Z409" s="102"/>
      <c r="AA409" s="102"/>
      <c r="AB409" s="102"/>
      <c r="AC409" s="71"/>
      <c r="AD409" s="101"/>
      <c r="AE409" s="101"/>
      <c r="AF409" s="102"/>
      <c r="AG409" s="102"/>
      <c r="AH409" s="102"/>
      <c r="AI409" s="101"/>
      <c r="AJ409" s="88"/>
      <c r="AK409" s="88"/>
      <c r="AM409" s="71"/>
      <c r="AN409" s="101"/>
      <c r="AO409" s="101"/>
      <c r="AP409" s="101"/>
      <c r="AQ409" s="101"/>
      <c r="AR409" s="103"/>
      <c r="AS409" s="103"/>
      <c r="AT409" s="103"/>
      <c r="AU409" s="103"/>
      <c r="AV409" s="103"/>
      <c r="BA409" s="103"/>
      <c r="BF409" s="103"/>
      <c r="BG409" s="103"/>
      <c r="BH409" s="103"/>
      <c r="CK409" s="103"/>
      <c r="CL409" s="103"/>
      <c r="CM409" s="103"/>
      <c r="CN409" s="103"/>
      <c r="CO409" s="103"/>
      <c r="CP409" s="103"/>
      <c r="CQ409" s="103"/>
      <c r="CR409" s="103"/>
      <c r="CS409" s="103"/>
      <c r="CT409" s="103"/>
      <c r="DH409" s="103"/>
      <c r="DI409" s="103"/>
      <c r="DJ409" s="103"/>
      <c r="DK409" s="103"/>
      <c r="DL409" s="103"/>
      <c r="DM409" s="103"/>
      <c r="DN409" s="103"/>
      <c r="DO409" s="103"/>
      <c r="DP409" s="103"/>
      <c r="DQ409" s="103"/>
    </row>
    <row r="410" spans="1:121" s="90" customFormat="1" x14ac:dyDescent="0.25">
      <c r="A410" s="71"/>
      <c r="B410" s="71"/>
      <c r="C410" s="71"/>
      <c r="D410" s="71"/>
      <c r="E410" s="71"/>
      <c r="F410" s="101"/>
      <c r="G410" s="101"/>
      <c r="H410" s="71"/>
      <c r="I410" s="71"/>
      <c r="J410" s="71"/>
      <c r="K410" s="101"/>
      <c r="L410" s="101"/>
      <c r="M410" s="101"/>
      <c r="N410" s="71"/>
      <c r="O410" s="71"/>
      <c r="P410" s="71"/>
      <c r="Q410" s="71"/>
      <c r="R410" s="101"/>
      <c r="S410" s="101"/>
      <c r="T410" s="71"/>
      <c r="U410" s="101"/>
      <c r="V410" s="101"/>
      <c r="W410" s="102"/>
      <c r="X410" s="102"/>
      <c r="Y410" s="102"/>
      <c r="Z410" s="102"/>
      <c r="AA410" s="102"/>
      <c r="AB410" s="102"/>
      <c r="AC410" s="71"/>
      <c r="AD410" s="101"/>
      <c r="AE410" s="101"/>
      <c r="AF410" s="102"/>
      <c r="AG410" s="102"/>
      <c r="AH410" s="102"/>
      <c r="AI410" s="101"/>
      <c r="AJ410" s="88"/>
      <c r="AK410" s="88"/>
      <c r="AM410" s="71"/>
      <c r="AN410" s="101"/>
      <c r="AO410" s="101"/>
      <c r="AP410" s="101"/>
      <c r="AQ410" s="101"/>
      <c r="AR410" s="103"/>
      <c r="AS410" s="103"/>
      <c r="AT410" s="103"/>
      <c r="AU410" s="103"/>
      <c r="AV410" s="103"/>
      <c r="BA410" s="103"/>
      <c r="BF410" s="103"/>
      <c r="BG410" s="103"/>
      <c r="BH410" s="103"/>
      <c r="CK410" s="103"/>
      <c r="CL410" s="103"/>
      <c r="CM410" s="103"/>
      <c r="CN410" s="103"/>
      <c r="CO410" s="103"/>
      <c r="CP410" s="103"/>
      <c r="CQ410" s="103"/>
      <c r="CR410" s="103"/>
      <c r="CS410" s="103"/>
      <c r="CT410" s="103"/>
      <c r="DH410" s="103"/>
      <c r="DI410" s="103"/>
      <c r="DJ410" s="103"/>
      <c r="DK410" s="103"/>
      <c r="DL410" s="103"/>
      <c r="DM410" s="103"/>
      <c r="DN410" s="103"/>
      <c r="DO410" s="103"/>
      <c r="DP410" s="103"/>
      <c r="DQ410" s="103"/>
    </row>
    <row r="411" spans="1:121" s="90" customFormat="1" x14ac:dyDescent="0.25">
      <c r="A411" s="71"/>
      <c r="B411" s="71"/>
      <c r="C411" s="71"/>
      <c r="D411" s="71"/>
      <c r="E411" s="71"/>
      <c r="F411" s="101"/>
      <c r="G411" s="101"/>
      <c r="H411" s="71"/>
      <c r="I411" s="71"/>
      <c r="J411" s="71"/>
      <c r="K411" s="101"/>
      <c r="L411" s="101"/>
      <c r="M411" s="101"/>
      <c r="N411" s="71"/>
      <c r="O411" s="71"/>
      <c r="P411" s="71"/>
      <c r="Q411" s="71"/>
      <c r="R411" s="101"/>
      <c r="S411" s="101"/>
      <c r="T411" s="71"/>
      <c r="U411" s="101"/>
      <c r="V411" s="101"/>
      <c r="W411" s="102"/>
      <c r="X411" s="102"/>
      <c r="Y411" s="102"/>
      <c r="Z411" s="102"/>
      <c r="AA411" s="102"/>
      <c r="AB411" s="102"/>
      <c r="AC411" s="71"/>
      <c r="AD411" s="101"/>
      <c r="AE411" s="101"/>
      <c r="AF411" s="102"/>
      <c r="AG411" s="102"/>
      <c r="AH411" s="102"/>
      <c r="AI411" s="101"/>
      <c r="AJ411" s="88"/>
      <c r="AK411" s="88"/>
      <c r="AM411" s="71"/>
      <c r="AN411" s="101"/>
      <c r="AO411" s="101"/>
      <c r="AP411" s="101"/>
      <c r="AQ411" s="101"/>
      <c r="AR411" s="103"/>
      <c r="AS411" s="103"/>
      <c r="AT411" s="103"/>
      <c r="AU411" s="103"/>
      <c r="AV411" s="103"/>
      <c r="BA411" s="103"/>
      <c r="BF411" s="103"/>
      <c r="BG411" s="103"/>
      <c r="BH411" s="103"/>
      <c r="CK411" s="103"/>
      <c r="CL411" s="103"/>
      <c r="CM411" s="103"/>
      <c r="CN411" s="103"/>
      <c r="CO411" s="103"/>
      <c r="CP411" s="103"/>
      <c r="CQ411" s="103"/>
      <c r="CR411" s="103"/>
      <c r="CS411" s="103"/>
      <c r="CT411" s="103"/>
      <c r="DH411" s="103"/>
      <c r="DI411" s="103"/>
      <c r="DJ411" s="103"/>
      <c r="DK411" s="103"/>
      <c r="DL411" s="103"/>
      <c r="DM411" s="103"/>
      <c r="DN411" s="103"/>
      <c r="DO411" s="103"/>
      <c r="DP411" s="103"/>
      <c r="DQ411" s="103"/>
    </row>
    <row r="412" spans="1:121" s="90" customFormat="1" x14ac:dyDescent="0.25">
      <c r="A412" s="71"/>
      <c r="B412" s="71"/>
      <c r="C412" s="71"/>
      <c r="D412" s="71"/>
      <c r="E412" s="71"/>
      <c r="F412" s="101"/>
      <c r="G412" s="101"/>
      <c r="H412" s="71"/>
      <c r="I412" s="71"/>
      <c r="J412" s="71"/>
      <c r="K412" s="101"/>
      <c r="L412" s="101"/>
      <c r="M412" s="101"/>
      <c r="N412" s="71"/>
      <c r="O412" s="71"/>
      <c r="P412" s="71"/>
      <c r="Q412" s="71"/>
      <c r="R412" s="101"/>
      <c r="S412" s="101"/>
      <c r="T412" s="71"/>
      <c r="U412" s="101"/>
      <c r="V412" s="101"/>
      <c r="W412" s="102"/>
      <c r="X412" s="102"/>
      <c r="Y412" s="102"/>
      <c r="Z412" s="102"/>
      <c r="AA412" s="102"/>
      <c r="AB412" s="102"/>
      <c r="AC412" s="71"/>
      <c r="AD412" s="101"/>
      <c r="AE412" s="101"/>
      <c r="AF412" s="102"/>
      <c r="AG412" s="102"/>
      <c r="AH412" s="102"/>
      <c r="AI412" s="101"/>
      <c r="AJ412" s="88"/>
      <c r="AK412" s="88"/>
      <c r="AM412" s="71"/>
      <c r="AN412" s="101"/>
      <c r="AO412" s="101"/>
      <c r="AP412" s="101"/>
      <c r="AQ412" s="101"/>
      <c r="AR412" s="103"/>
      <c r="AS412" s="103"/>
      <c r="AT412" s="103"/>
      <c r="AU412" s="103"/>
      <c r="AV412" s="103"/>
      <c r="BA412" s="103"/>
      <c r="BF412" s="103"/>
      <c r="BG412" s="103"/>
      <c r="BH412" s="103"/>
      <c r="CK412" s="103"/>
      <c r="CL412" s="103"/>
      <c r="CM412" s="103"/>
      <c r="CN412" s="103"/>
      <c r="CO412" s="103"/>
      <c r="CP412" s="103"/>
      <c r="CQ412" s="103"/>
      <c r="CR412" s="103"/>
      <c r="CS412" s="103"/>
      <c r="CT412" s="103"/>
      <c r="DH412" s="103"/>
      <c r="DI412" s="103"/>
      <c r="DJ412" s="103"/>
      <c r="DK412" s="103"/>
      <c r="DL412" s="103"/>
      <c r="DM412" s="103"/>
      <c r="DN412" s="103"/>
      <c r="DO412" s="103"/>
      <c r="DP412" s="103"/>
      <c r="DQ412" s="103"/>
    </row>
    <row r="413" spans="1:121" s="90" customFormat="1" x14ac:dyDescent="0.25">
      <c r="A413" s="71"/>
      <c r="B413" s="71"/>
      <c r="C413" s="71"/>
      <c r="D413" s="71"/>
      <c r="E413" s="71"/>
      <c r="F413" s="101"/>
      <c r="G413" s="101"/>
      <c r="H413" s="71"/>
      <c r="I413" s="71"/>
      <c r="J413" s="71"/>
      <c r="K413" s="101"/>
      <c r="L413" s="101"/>
      <c r="M413" s="101"/>
      <c r="N413" s="71"/>
      <c r="O413" s="71"/>
      <c r="P413" s="71"/>
      <c r="Q413" s="71"/>
      <c r="R413" s="101"/>
      <c r="S413" s="101"/>
      <c r="T413" s="71"/>
      <c r="U413" s="101"/>
      <c r="V413" s="101"/>
      <c r="W413" s="102"/>
      <c r="X413" s="102"/>
      <c r="Y413" s="102"/>
      <c r="Z413" s="102"/>
      <c r="AA413" s="102"/>
      <c r="AB413" s="102"/>
      <c r="AC413" s="71"/>
      <c r="AD413" s="101"/>
      <c r="AE413" s="101"/>
      <c r="AF413" s="102"/>
      <c r="AG413" s="102"/>
      <c r="AH413" s="102"/>
      <c r="AI413" s="101"/>
      <c r="AJ413" s="88"/>
      <c r="AK413" s="88"/>
      <c r="AM413" s="71"/>
      <c r="AN413" s="101"/>
      <c r="AO413" s="101"/>
      <c r="AP413" s="101"/>
      <c r="AQ413" s="101"/>
      <c r="AR413" s="103"/>
      <c r="AS413" s="103"/>
      <c r="AT413" s="103"/>
      <c r="AU413" s="103"/>
      <c r="AV413" s="103"/>
      <c r="BA413" s="103"/>
      <c r="BF413" s="103"/>
      <c r="BG413" s="103"/>
      <c r="BH413" s="103"/>
      <c r="CK413" s="103"/>
      <c r="CL413" s="103"/>
      <c r="CM413" s="103"/>
      <c r="CN413" s="103"/>
      <c r="CO413" s="103"/>
      <c r="CP413" s="103"/>
      <c r="CQ413" s="103"/>
      <c r="CR413" s="103"/>
      <c r="CS413" s="103"/>
      <c r="CT413" s="103"/>
      <c r="DH413" s="103"/>
      <c r="DI413" s="103"/>
      <c r="DJ413" s="103"/>
      <c r="DK413" s="103"/>
      <c r="DL413" s="103"/>
      <c r="DM413" s="103"/>
      <c r="DN413" s="103"/>
      <c r="DO413" s="103"/>
      <c r="DP413" s="103"/>
      <c r="DQ413" s="103"/>
    </row>
    <row r="414" spans="1:121" s="90" customFormat="1" x14ac:dyDescent="0.25">
      <c r="A414" s="71"/>
      <c r="B414" s="71"/>
      <c r="C414" s="71"/>
      <c r="D414" s="71"/>
      <c r="E414" s="71"/>
      <c r="F414" s="101"/>
      <c r="G414" s="101"/>
      <c r="H414" s="71"/>
      <c r="I414" s="71"/>
      <c r="J414" s="71"/>
      <c r="K414" s="101"/>
      <c r="L414" s="101"/>
      <c r="M414" s="101"/>
      <c r="N414" s="71"/>
      <c r="O414" s="71"/>
      <c r="P414" s="71"/>
      <c r="Q414" s="71"/>
      <c r="R414" s="101"/>
      <c r="S414" s="101"/>
      <c r="T414" s="71"/>
      <c r="U414" s="101"/>
      <c r="V414" s="101"/>
      <c r="W414" s="102"/>
      <c r="X414" s="102"/>
      <c r="Y414" s="102"/>
      <c r="Z414" s="102"/>
      <c r="AA414" s="102"/>
      <c r="AB414" s="102"/>
      <c r="AC414" s="71"/>
      <c r="AD414" s="101"/>
      <c r="AE414" s="101"/>
      <c r="AF414" s="102"/>
      <c r="AG414" s="102"/>
      <c r="AH414" s="102"/>
      <c r="AI414" s="101"/>
      <c r="AJ414" s="88"/>
      <c r="AK414" s="88"/>
      <c r="AM414" s="71"/>
      <c r="AN414" s="101"/>
      <c r="AO414" s="101"/>
      <c r="AP414" s="101"/>
      <c r="AQ414" s="101"/>
      <c r="AR414" s="103"/>
      <c r="AS414" s="103"/>
      <c r="AT414" s="103"/>
      <c r="AU414" s="103"/>
      <c r="AV414" s="103"/>
      <c r="BA414" s="103"/>
      <c r="BF414" s="103"/>
      <c r="BG414" s="103"/>
      <c r="BH414" s="103"/>
      <c r="CK414" s="103"/>
      <c r="CL414" s="103"/>
      <c r="CM414" s="103"/>
      <c r="CN414" s="103"/>
      <c r="CO414" s="103"/>
      <c r="CP414" s="103"/>
      <c r="CQ414" s="103"/>
      <c r="CR414" s="103"/>
      <c r="CS414" s="103"/>
      <c r="CT414" s="103"/>
      <c r="DH414" s="103"/>
      <c r="DI414" s="103"/>
      <c r="DJ414" s="103"/>
      <c r="DK414" s="103"/>
      <c r="DL414" s="103"/>
      <c r="DM414" s="103"/>
      <c r="DN414" s="103"/>
      <c r="DO414" s="103"/>
      <c r="DP414" s="103"/>
      <c r="DQ414" s="103"/>
    </row>
    <row r="415" spans="1:121" s="90" customFormat="1" x14ac:dyDescent="0.25">
      <c r="A415" s="71"/>
      <c r="B415" s="71"/>
      <c r="C415" s="71"/>
      <c r="D415" s="71"/>
      <c r="E415" s="71"/>
      <c r="F415" s="101"/>
      <c r="G415" s="101"/>
      <c r="H415" s="71"/>
      <c r="I415" s="71"/>
      <c r="J415" s="71"/>
      <c r="K415" s="101"/>
      <c r="L415" s="101"/>
      <c r="M415" s="101"/>
      <c r="N415" s="71"/>
      <c r="O415" s="71"/>
      <c r="P415" s="71"/>
      <c r="Q415" s="71"/>
      <c r="R415" s="101"/>
      <c r="S415" s="101"/>
      <c r="T415" s="71"/>
      <c r="U415" s="101"/>
      <c r="V415" s="101"/>
      <c r="W415" s="102"/>
      <c r="X415" s="102"/>
      <c r="Y415" s="102"/>
      <c r="Z415" s="102"/>
      <c r="AA415" s="102"/>
      <c r="AB415" s="102"/>
      <c r="AC415" s="71"/>
      <c r="AD415" s="101"/>
      <c r="AE415" s="101"/>
      <c r="AF415" s="102"/>
      <c r="AG415" s="102"/>
      <c r="AH415" s="102"/>
      <c r="AI415" s="101"/>
      <c r="AJ415" s="88"/>
      <c r="AK415" s="88"/>
      <c r="AM415" s="71"/>
      <c r="AN415" s="101"/>
      <c r="AO415" s="101"/>
      <c r="AP415" s="101"/>
      <c r="AQ415" s="101"/>
      <c r="AR415" s="103"/>
      <c r="AS415" s="103"/>
      <c r="AT415" s="103"/>
      <c r="AU415" s="103"/>
      <c r="AV415" s="103"/>
      <c r="BA415" s="103"/>
      <c r="BF415" s="103"/>
      <c r="BG415" s="103"/>
      <c r="BH415" s="103"/>
      <c r="CK415" s="103"/>
      <c r="CL415" s="103"/>
      <c r="CM415" s="103"/>
      <c r="CN415" s="103"/>
      <c r="CO415" s="103"/>
      <c r="CP415" s="103"/>
      <c r="CQ415" s="103"/>
      <c r="CR415" s="103"/>
      <c r="CS415" s="103"/>
      <c r="CT415" s="103"/>
      <c r="DH415" s="103"/>
      <c r="DI415" s="103"/>
      <c r="DJ415" s="103"/>
      <c r="DK415" s="103"/>
      <c r="DL415" s="103"/>
      <c r="DM415" s="103"/>
      <c r="DN415" s="103"/>
      <c r="DO415" s="103"/>
      <c r="DP415" s="103"/>
      <c r="DQ415" s="103"/>
    </row>
    <row r="416" spans="1:121" s="90" customFormat="1" x14ac:dyDescent="0.25">
      <c r="A416" s="71"/>
      <c r="B416" s="71"/>
      <c r="C416" s="71"/>
      <c r="D416" s="71"/>
      <c r="E416" s="71"/>
      <c r="F416" s="101"/>
      <c r="G416" s="101"/>
      <c r="H416" s="71"/>
      <c r="I416" s="71"/>
      <c r="J416" s="71"/>
      <c r="K416" s="101"/>
      <c r="L416" s="101"/>
      <c r="M416" s="101"/>
      <c r="N416" s="71"/>
      <c r="O416" s="71"/>
      <c r="P416" s="71"/>
      <c r="Q416" s="71"/>
      <c r="R416" s="101"/>
      <c r="S416" s="101"/>
      <c r="T416" s="71"/>
      <c r="U416" s="101"/>
      <c r="V416" s="101"/>
      <c r="W416" s="102"/>
      <c r="X416" s="102"/>
      <c r="Y416" s="102"/>
      <c r="Z416" s="102"/>
      <c r="AA416" s="102"/>
      <c r="AB416" s="102"/>
      <c r="AC416" s="71"/>
      <c r="AD416" s="101"/>
      <c r="AE416" s="101"/>
      <c r="AF416" s="102"/>
      <c r="AG416" s="102"/>
      <c r="AH416" s="102"/>
      <c r="AI416" s="101"/>
      <c r="AJ416" s="88"/>
      <c r="AK416" s="88"/>
      <c r="AM416" s="71"/>
      <c r="AN416" s="101"/>
      <c r="AO416" s="101"/>
      <c r="AP416" s="101"/>
      <c r="AQ416" s="101"/>
      <c r="AR416" s="103"/>
      <c r="AS416" s="103"/>
      <c r="AT416" s="103"/>
      <c r="AU416" s="103"/>
      <c r="AV416" s="103"/>
      <c r="BA416" s="103"/>
      <c r="BF416" s="103"/>
      <c r="BG416" s="103"/>
      <c r="BH416" s="103"/>
      <c r="CK416" s="103"/>
      <c r="CL416" s="103"/>
      <c r="CM416" s="103"/>
      <c r="CN416" s="103"/>
      <c r="CO416" s="103"/>
      <c r="CP416" s="103"/>
      <c r="CQ416" s="103"/>
      <c r="CR416" s="103"/>
      <c r="CS416" s="103"/>
      <c r="CT416" s="103"/>
      <c r="DH416" s="103"/>
      <c r="DI416" s="103"/>
      <c r="DJ416" s="103"/>
      <c r="DK416" s="103"/>
      <c r="DL416" s="103"/>
      <c r="DM416" s="103"/>
      <c r="DN416" s="103"/>
      <c r="DO416" s="103"/>
      <c r="DP416" s="103"/>
      <c r="DQ416" s="103"/>
    </row>
    <row r="417" spans="1:121" s="90" customFormat="1" x14ac:dyDescent="0.25">
      <c r="A417" s="71"/>
      <c r="B417" s="71"/>
      <c r="C417" s="71"/>
      <c r="D417" s="71"/>
      <c r="E417" s="71"/>
      <c r="F417" s="101"/>
      <c r="G417" s="101"/>
      <c r="H417" s="71"/>
      <c r="I417" s="71"/>
      <c r="J417" s="71"/>
      <c r="K417" s="101"/>
      <c r="L417" s="101"/>
      <c r="M417" s="101"/>
      <c r="N417" s="71"/>
      <c r="O417" s="71"/>
      <c r="P417" s="71"/>
      <c r="Q417" s="71"/>
      <c r="R417" s="101"/>
      <c r="S417" s="101"/>
      <c r="T417" s="71"/>
      <c r="U417" s="101"/>
      <c r="V417" s="101"/>
      <c r="W417" s="102"/>
      <c r="X417" s="102"/>
      <c r="Y417" s="102"/>
      <c r="Z417" s="102"/>
      <c r="AA417" s="102"/>
      <c r="AB417" s="102"/>
      <c r="AC417" s="71"/>
      <c r="AD417" s="101"/>
      <c r="AE417" s="101"/>
      <c r="AF417" s="102"/>
      <c r="AG417" s="102"/>
      <c r="AH417" s="102"/>
      <c r="AI417" s="101"/>
      <c r="AJ417" s="88"/>
      <c r="AK417" s="88"/>
      <c r="AM417" s="71"/>
      <c r="AN417" s="101"/>
      <c r="AO417" s="101"/>
      <c r="AP417" s="101"/>
      <c r="AQ417" s="101"/>
      <c r="AR417" s="103"/>
      <c r="AS417" s="103"/>
      <c r="AT417" s="103"/>
      <c r="AU417" s="103"/>
      <c r="AV417" s="103"/>
      <c r="BA417" s="103"/>
      <c r="BF417" s="103"/>
      <c r="BG417" s="103"/>
      <c r="BH417" s="103"/>
      <c r="CK417" s="103"/>
      <c r="CL417" s="103"/>
      <c r="CM417" s="103"/>
      <c r="CN417" s="103"/>
      <c r="CO417" s="103"/>
      <c r="CP417" s="103"/>
      <c r="CQ417" s="103"/>
      <c r="CR417" s="103"/>
      <c r="CS417" s="103"/>
      <c r="CT417" s="103"/>
      <c r="DH417" s="103"/>
      <c r="DI417" s="103"/>
      <c r="DJ417" s="103"/>
      <c r="DK417" s="103"/>
      <c r="DL417" s="103"/>
      <c r="DM417" s="103"/>
      <c r="DN417" s="103"/>
      <c r="DO417" s="103"/>
      <c r="DP417" s="103"/>
      <c r="DQ417" s="103"/>
    </row>
    <row r="418" spans="1:121" s="90" customFormat="1" x14ac:dyDescent="0.25">
      <c r="A418" s="71"/>
      <c r="B418" s="71"/>
      <c r="C418" s="71"/>
      <c r="D418" s="71"/>
      <c r="E418" s="71"/>
      <c r="F418" s="101"/>
      <c r="G418" s="101"/>
      <c r="H418" s="71"/>
      <c r="I418" s="71"/>
      <c r="J418" s="71"/>
      <c r="K418" s="101"/>
      <c r="L418" s="101"/>
      <c r="M418" s="101"/>
      <c r="N418" s="71"/>
      <c r="O418" s="71"/>
      <c r="P418" s="71"/>
      <c r="Q418" s="71"/>
      <c r="R418" s="101"/>
      <c r="S418" s="101"/>
      <c r="T418" s="71"/>
      <c r="U418" s="101"/>
      <c r="V418" s="101"/>
      <c r="W418" s="102"/>
      <c r="X418" s="102"/>
      <c r="Y418" s="102"/>
      <c r="Z418" s="102"/>
      <c r="AA418" s="102"/>
      <c r="AB418" s="102"/>
      <c r="AC418" s="71"/>
      <c r="AD418" s="101"/>
      <c r="AE418" s="101"/>
      <c r="AF418" s="102"/>
      <c r="AG418" s="102"/>
      <c r="AH418" s="102"/>
      <c r="AI418" s="101"/>
      <c r="AJ418" s="88"/>
      <c r="AK418" s="88"/>
      <c r="AM418" s="71"/>
      <c r="AN418" s="101"/>
      <c r="AO418" s="101"/>
      <c r="AP418" s="101"/>
      <c r="AQ418" s="101"/>
      <c r="AR418" s="103"/>
      <c r="AS418" s="103"/>
      <c r="AT418" s="103"/>
      <c r="AU418" s="103"/>
      <c r="AV418" s="103"/>
      <c r="BA418" s="103"/>
      <c r="BF418" s="103"/>
      <c r="BG418" s="103"/>
      <c r="BH418" s="103"/>
      <c r="CK418" s="103"/>
      <c r="CL418" s="103"/>
      <c r="CM418" s="103"/>
      <c r="CN418" s="103"/>
      <c r="CO418" s="103"/>
      <c r="CP418" s="103"/>
      <c r="CQ418" s="103"/>
      <c r="CR418" s="103"/>
      <c r="CS418" s="103"/>
      <c r="CT418" s="103"/>
      <c r="DH418" s="103"/>
      <c r="DI418" s="103"/>
      <c r="DJ418" s="103"/>
      <c r="DK418" s="103"/>
      <c r="DL418" s="103"/>
      <c r="DM418" s="103"/>
      <c r="DN418" s="103"/>
      <c r="DO418" s="103"/>
      <c r="DP418" s="103"/>
      <c r="DQ418" s="103"/>
    </row>
    <row r="419" spans="1:121" s="90" customFormat="1" x14ac:dyDescent="0.25">
      <c r="A419" s="71"/>
      <c r="B419" s="71"/>
      <c r="C419" s="71"/>
      <c r="D419" s="71"/>
      <c r="E419" s="71"/>
      <c r="F419" s="101"/>
      <c r="G419" s="101"/>
      <c r="H419" s="71"/>
      <c r="I419" s="71"/>
      <c r="J419" s="71"/>
      <c r="K419" s="101"/>
      <c r="L419" s="101"/>
      <c r="M419" s="101"/>
      <c r="N419" s="71"/>
      <c r="O419" s="71"/>
      <c r="P419" s="71"/>
      <c r="Q419" s="71"/>
      <c r="R419" s="101"/>
      <c r="S419" s="101"/>
      <c r="T419" s="71"/>
      <c r="U419" s="101"/>
      <c r="V419" s="101"/>
      <c r="W419" s="102"/>
      <c r="X419" s="102"/>
      <c r="Y419" s="102"/>
      <c r="Z419" s="102"/>
      <c r="AA419" s="102"/>
      <c r="AB419" s="102"/>
      <c r="AC419" s="71"/>
      <c r="AD419" s="101"/>
      <c r="AE419" s="101"/>
      <c r="AF419" s="102"/>
      <c r="AG419" s="102"/>
      <c r="AH419" s="102"/>
      <c r="AI419" s="101"/>
      <c r="AJ419" s="88"/>
      <c r="AK419" s="88"/>
      <c r="AM419" s="71"/>
      <c r="AN419" s="101"/>
      <c r="AO419" s="101"/>
      <c r="AP419" s="101"/>
      <c r="AQ419" s="101"/>
      <c r="AR419" s="103"/>
      <c r="AS419" s="103"/>
      <c r="AT419" s="103"/>
      <c r="AU419" s="103"/>
      <c r="AV419" s="103"/>
      <c r="BA419" s="103"/>
      <c r="BF419" s="103"/>
      <c r="BG419" s="103"/>
      <c r="BH419" s="103"/>
      <c r="CK419" s="103"/>
      <c r="CL419" s="103"/>
      <c r="CM419" s="103"/>
      <c r="CN419" s="103"/>
      <c r="CO419" s="103"/>
      <c r="CP419" s="103"/>
      <c r="CQ419" s="103"/>
      <c r="CR419" s="103"/>
      <c r="CS419" s="103"/>
      <c r="CT419" s="103"/>
      <c r="DH419" s="103"/>
      <c r="DI419" s="103"/>
      <c r="DJ419" s="103"/>
      <c r="DK419" s="103"/>
      <c r="DL419" s="103"/>
      <c r="DM419" s="103"/>
      <c r="DN419" s="103"/>
      <c r="DO419" s="103"/>
      <c r="DP419" s="103"/>
      <c r="DQ419" s="103"/>
    </row>
    <row r="420" spans="1:121" s="90" customFormat="1" x14ac:dyDescent="0.25">
      <c r="A420" s="71"/>
      <c r="B420" s="71"/>
      <c r="C420" s="71"/>
      <c r="D420" s="71"/>
      <c r="E420" s="71"/>
      <c r="F420" s="101"/>
      <c r="G420" s="101"/>
      <c r="H420" s="71"/>
      <c r="I420" s="71"/>
      <c r="J420" s="71"/>
      <c r="K420" s="101"/>
      <c r="L420" s="101"/>
      <c r="M420" s="101"/>
      <c r="N420" s="71"/>
      <c r="O420" s="71"/>
      <c r="P420" s="71"/>
      <c r="Q420" s="71"/>
      <c r="R420" s="101"/>
      <c r="S420" s="101"/>
      <c r="T420" s="71"/>
      <c r="U420" s="101"/>
      <c r="V420" s="101"/>
      <c r="W420" s="102"/>
      <c r="X420" s="102"/>
      <c r="Y420" s="102"/>
      <c r="Z420" s="102"/>
      <c r="AA420" s="102"/>
      <c r="AB420" s="102"/>
      <c r="AC420" s="71"/>
      <c r="AD420" s="101"/>
      <c r="AE420" s="101"/>
      <c r="AF420" s="102"/>
      <c r="AG420" s="102"/>
      <c r="AH420" s="102"/>
      <c r="AI420" s="101"/>
      <c r="AJ420" s="88"/>
      <c r="AK420" s="88"/>
      <c r="AM420" s="71"/>
      <c r="AN420" s="101"/>
      <c r="AO420" s="101"/>
      <c r="AP420" s="101"/>
      <c r="AQ420" s="101"/>
      <c r="AR420" s="103"/>
      <c r="AS420" s="103"/>
      <c r="AT420" s="103"/>
      <c r="AU420" s="103"/>
      <c r="AV420" s="103"/>
      <c r="BA420" s="103"/>
      <c r="BF420" s="103"/>
      <c r="BG420" s="103"/>
      <c r="BH420" s="103"/>
      <c r="CK420" s="103"/>
      <c r="CL420" s="103"/>
      <c r="CM420" s="103"/>
      <c r="CN420" s="103"/>
      <c r="CO420" s="103"/>
      <c r="CP420" s="103"/>
      <c r="CQ420" s="103"/>
      <c r="CR420" s="103"/>
      <c r="CS420" s="103"/>
      <c r="CT420" s="103"/>
      <c r="DH420" s="103"/>
      <c r="DI420" s="103"/>
      <c r="DJ420" s="103"/>
      <c r="DK420" s="103"/>
      <c r="DL420" s="103"/>
      <c r="DM420" s="103"/>
      <c r="DN420" s="103"/>
      <c r="DO420" s="103"/>
      <c r="DP420" s="103"/>
      <c r="DQ420" s="103"/>
    </row>
    <row r="421" spans="1:121" s="90" customFormat="1" x14ac:dyDescent="0.25">
      <c r="A421" s="71"/>
      <c r="B421" s="71"/>
      <c r="C421" s="71"/>
      <c r="D421" s="71"/>
      <c r="E421" s="71"/>
      <c r="F421" s="101"/>
      <c r="G421" s="101"/>
      <c r="H421" s="71"/>
      <c r="I421" s="71"/>
      <c r="J421" s="71"/>
      <c r="K421" s="101"/>
      <c r="L421" s="101"/>
      <c r="M421" s="101"/>
      <c r="N421" s="71"/>
      <c r="O421" s="71"/>
      <c r="P421" s="71"/>
      <c r="Q421" s="71"/>
      <c r="R421" s="101"/>
      <c r="S421" s="101"/>
      <c r="T421" s="71"/>
      <c r="U421" s="101"/>
      <c r="V421" s="101"/>
      <c r="W421" s="102"/>
      <c r="X421" s="102"/>
      <c r="Y421" s="102"/>
      <c r="Z421" s="102"/>
      <c r="AA421" s="102"/>
      <c r="AB421" s="102"/>
      <c r="AC421" s="71"/>
      <c r="AD421" s="101"/>
      <c r="AE421" s="101"/>
      <c r="AF421" s="102"/>
      <c r="AG421" s="102"/>
      <c r="AH421" s="102"/>
      <c r="AI421" s="101"/>
      <c r="AJ421" s="88"/>
      <c r="AK421" s="88"/>
      <c r="AM421" s="71"/>
      <c r="AN421" s="101"/>
      <c r="AO421" s="101"/>
      <c r="AP421" s="101"/>
      <c r="AQ421" s="101"/>
      <c r="AR421" s="103"/>
      <c r="AS421" s="103"/>
      <c r="AT421" s="103"/>
      <c r="AU421" s="103"/>
      <c r="AV421" s="103"/>
      <c r="BA421" s="103"/>
      <c r="BF421" s="103"/>
      <c r="BG421" s="103"/>
      <c r="BH421" s="103"/>
      <c r="CK421" s="103"/>
      <c r="CL421" s="103"/>
      <c r="CM421" s="103"/>
      <c r="CN421" s="103"/>
      <c r="CO421" s="103"/>
      <c r="CP421" s="103"/>
      <c r="CQ421" s="103"/>
      <c r="CR421" s="103"/>
      <c r="CS421" s="103"/>
      <c r="CT421" s="103"/>
      <c r="DH421" s="103"/>
      <c r="DI421" s="103"/>
      <c r="DJ421" s="103"/>
      <c r="DK421" s="103"/>
      <c r="DL421" s="103"/>
      <c r="DM421" s="103"/>
      <c r="DN421" s="103"/>
      <c r="DO421" s="103"/>
      <c r="DP421" s="103"/>
      <c r="DQ421" s="103"/>
    </row>
    <row r="422" spans="1:121" s="90" customFormat="1" x14ac:dyDescent="0.25">
      <c r="A422" s="71"/>
      <c r="B422" s="71"/>
      <c r="C422" s="71"/>
      <c r="D422" s="71"/>
      <c r="E422" s="71"/>
      <c r="F422" s="101"/>
      <c r="G422" s="101"/>
      <c r="H422" s="71"/>
      <c r="I422" s="71"/>
      <c r="J422" s="71"/>
      <c r="K422" s="101"/>
      <c r="L422" s="101"/>
      <c r="M422" s="101"/>
      <c r="N422" s="71"/>
      <c r="O422" s="71"/>
      <c r="P422" s="71"/>
      <c r="Q422" s="71"/>
      <c r="R422" s="101"/>
      <c r="S422" s="101"/>
      <c r="T422" s="71"/>
      <c r="U422" s="101"/>
      <c r="V422" s="101"/>
      <c r="W422" s="102"/>
      <c r="X422" s="102"/>
      <c r="Y422" s="102"/>
      <c r="Z422" s="102"/>
      <c r="AA422" s="102"/>
      <c r="AB422" s="102"/>
      <c r="AC422" s="71"/>
      <c r="AD422" s="101"/>
      <c r="AE422" s="101"/>
      <c r="AF422" s="102"/>
      <c r="AG422" s="102"/>
      <c r="AH422" s="102"/>
      <c r="AI422" s="101"/>
      <c r="AJ422" s="88"/>
      <c r="AK422" s="88"/>
      <c r="AM422" s="71"/>
      <c r="AN422" s="101"/>
      <c r="AO422" s="101"/>
      <c r="AP422" s="101"/>
      <c r="AQ422" s="101"/>
      <c r="AR422" s="103"/>
      <c r="AS422" s="103"/>
      <c r="AT422" s="103"/>
      <c r="AU422" s="103"/>
      <c r="AV422" s="103"/>
      <c r="BA422" s="103"/>
      <c r="BF422" s="103"/>
      <c r="BG422" s="103"/>
      <c r="BH422" s="103"/>
      <c r="CK422" s="103"/>
      <c r="CL422" s="103"/>
      <c r="CM422" s="103"/>
      <c r="CN422" s="103"/>
      <c r="CO422" s="103"/>
      <c r="CP422" s="103"/>
      <c r="CQ422" s="103"/>
      <c r="CR422" s="103"/>
      <c r="CS422" s="103"/>
      <c r="CT422" s="103"/>
      <c r="DH422" s="103"/>
      <c r="DI422" s="103"/>
      <c r="DJ422" s="103"/>
      <c r="DK422" s="103"/>
      <c r="DL422" s="103"/>
      <c r="DM422" s="103"/>
      <c r="DN422" s="103"/>
      <c r="DO422" s="103"/>
      <c r="DP422" s="103"/>
      <c r="DQ422" s="103"/>
    </row>
    <row r="423" spans="1:121" s="90" customFormat="1" x14ac:dyDescent="0.25">
      <c r="A423" s="71"/>
      <c r="B423" s="71"/>
      <c r="C423" s="71"/>
      <c r="D423" s="71"/>
      <c r="E423" s="71"/>
      <c r="F423" s="101"/>
      <c r="G423" s="101"/>
      <c r="H423" s="71"/>
      <c r="I423" s="71"/>
      <c r="J423" s="71"/>
      <c r="K423" s="101"/>
      <c r="L423" s="101"/>
      <c r="M423" s="101"/>
      <c r="N423" s="71"/>
      <c r="O423" s="71"/>
      <c r="P423" s="71"/>
      <c r="Q423" s="71"/>
      <c r="R423" s="101"/>
      <c r="S423" s="101"/>
      <c r="T423" s="71"/>
      <c r="U423" s="101"/>
      <c r="V423" s="101"/>
      <c r="W423" s="102"/>
      <c r="X423" s="102"/>
      <c r="Y423" s="102"/>
      <c r="Z423" s="102"/>
      <c r="AA423" s="102"/>
      <c r="AB423" s="102"/>
      <c r="AC423" s="71"/>
      <c r="AD423" s="101"/>
      <c r="AE423" s="101"/>
      <c r="AF423" s="102"/>
      <c r="AG423" s="102"/>
      <c r="AH423" s="102"/>
      <c r="AI423" s="101"/>
      <c r="AJ423" s="88"/>
      <c r="AK423" s="88"/>
      <c r="AM423" s="71"/>
      <c r="AN423" s="101"/>
      <c r="AO423" s="101"/>
      <c r="AP423" s="101"/>
      <c r="AQ423" s="101"/>
      <c r="AR423" s="103"/>
      <c r="AS423" s="103"/>
      <c r="AT423" s="103"/>
      <c r="AU423" s="103"/>
      <c r="AV423" s="103"/>
      <c r="BA423" s="103"/>
      <c r="BF423" s="103"/>
      <c r="BG423" s="103"/>
      <c r="BH423" s="103"/>
      <c r="CK423" s="103"/>
      <c r="CL423" s="103"/>
      <c r="CM423" s="103"/>
      <c r="CN423" s="103"/>
      <c r="CO423" s="103"/>
      <c r="CP423" s="103"/>
      <c r="CQ423" s="103"/>
      <c r="CR423" s="103"/>
      <c r="CS423" s="103"/>
      <c r="CT423" s="103"/>
      <c r="DH423" s="103"/>
      <c r="DI423" s="103"/>
      <c r="DJ423" s="103"/>
      <c r="DK423" s="103"/>
      <c r="DL423" s="103"/>
      <c r="DM423" s="103"/>
      <c r="DN423" s="103"/>
      <c r="DO423" s="103"/>
      <c r="DP423" s="103"/>
      <c r="DQ423" s="103"/>
    </row>
    <row r="424" spans="1:121" s="90" customFormat="1" x14ac:dyDescent="0.25">
      <c r="A424" s="71"/>
      <c r="B424" s="71"/>
      <c r="C424" s="71"/>
      <c r="D424" s="71"/>
      <c r="E424" s="71"/>
      <c r="F424" s="101"/>
      <c r="G424" s="101"/>
      <c r="H424" s="71"/>
      <c r="I424" s="71"/>
      <c r="J424" s="71"/>
      <c r="K424" s="101"/>
      <c r="L424" s="101"/>
      <c r="M424" s="101"/>
      <c r="N424" s="71"/>
      <c r="O424" s="71"/>
      <c r="P424" s="71"/>
      <c r="Q424" s="71"/>
      <c r="R424" s="101"/>
      <c r="S424" s="101"/>
      <c r="T424" s="71"/>
      <c r="U424" s="101"/>
      <c r="V424" s="101"/>
      <c r="W424" s="102"/>
      <c r="X424" s="102"/>
      <c r="Y424" s="102"/>
      <c r="Z424" s="102"/>
      <c r="AA424" s="102"/>
      <c r="AB424" s="102"/>
      <c r="AC424" s="71"/>
      <c r="AD424" s="101"/>
      <c r="AE424" s="101"/>
      <c r="AF424" s="102"/>
      <c r="AG424" s="102"/>
      <c r="AH424" s="102"/>
      <c r="AI424" s="101"/>
      <c r="AJ424" s="88"/>
      <c r="AK424" s="88"/>
      <c r="AM424" s="71"/>
      <c r="AN424" s="101"/>
      <c r="AO424" s="101"/>
      <c r="AP424" s="101"/>
      <c r="AQ424" s="101"/>
      <c r="AR424" s="103"/>
      <c r="AS424" s="103"/>
      <c r="AT424" s="103"/>
      <c r="AU424" s="103"/>
      <c r="AV424" s="103"/>
      <c r="BA424" s="103"/>
      <c r="BF424" s="103"/>
      <c r="BG424" s="103"/>
      <c r="BH424" s="103"/>
      <c r="CK424" s="103"/>
      <c r="CL424" s="103"/>
      <c r="CM424" s="103"/>
      <c r="CN424" s="103"/>
      <c r="CO424" s="103"/>
      <c r="CP424" s="103"/>
      <c r="CQ424" s="103"/>
      <c r="CR424" s="103"/>
      <c r="CS424" s="103"/>
      <c r="CT424" s="103"/>
      <c r="DH424" s="103"/>
      <c r="DI424" s="103"/>
      <c r="DJ424" s="103"/>
      <c r="DK424" s="103"/>
      <c r="DL424" s="103"/>
      <c r="DM424" s="103"/>
      <c r="DN424" s="103"/>
      <c r="DO424" s="103"/>
      <c r="DP424" s="103"/>
      <c r="DQ424" s="103"/>
    </row>
    <row r="425" spans="1:121" s="90" customFormat="1" x14ac:dyDescent="0.25">
      <c r="A425" s="71"/>
      <c r="B425" s="71"/>
      <c r="C425" s="71"/>
      <c r="D425" s="71"/>
      <c r="E425" s="71"/>
      <c r="F425" s="101"/>
      <c r="G425" s="101"/>
      <c r="H425" s="71"/>
      <c r="I425" s="71"/>
      <c r="J425" s="71"/>
      <c r="K425" s="101"/>
      <c r="L425" s="101"/>
      <c r="M425" s="101"/>
      <c r="N425" s="71"/>
      <c r="O425" s="71"/>
      <c r="P425" s="71"/>
      <c r="Q425" s="71"/>
      <c r="R425" s="101"/>
      <c r="S425" s="101"/>
      <c r="T425" s="71"/>
      <c r="U425" s="101"/>
      <c r="V425" s="101"/>
      <c r="W425" s="102"/>
      <c r="X425" s="102"/>
      <c r="Y425" s="102"/>
      <c r="Z425" s="102"/>
      <c r="AA425" s="102"/>
      <c r="AB425" s="102"/>
      <c r="AC425" s="71"/>
      <c r="AD425" s="101"/>
      <c r="AE425" s="101"/>
      <c r="AF425" s="102"/>
      <c r="AG425" s="102"/>
      <c r="AH425" s="102"/>
      <c r="AI425" s="101"/>
      <c r="AJ425" s="88"/>
      <c r="AK425" s="88"/>
      <c r="AM425" s="71"/>
      <c r="AN425" s="101"/>
      <c r="AO425" s="101"/>
      <c r="AP425" s="101"/>
      <c r="AQ425" s="101"/>
      <c r="AR425" s="103"/>
      <c r="AS425" s="103"/>
      <c r="AT425" s="103"/>
      <c r="AU425" s="103"/>
      <c r="AV425" s="103"/>
      <c r="BA425" s="103"/>
      <c r="BF425" s="103"/>
      <c r="BG425" s="103"/>
      <c r="BH425" s="103"/>
      <c r="CK425" s="103"/>
      <c r="CL425" s="103"/>
      <c r="CM425" s="103"/>
      <c r="CN425" s="103"/>
      <c r="CO425" s="103"/>
      <c r="CP425" s="103"/>
      <c r="CQ425" s="103"/>
      <c r="CR425" s="103"/>
      <c r="CS425" s="103"/>
      <c r="CT425" s="103"/>
      <c r="DH425" s="103"/>
      <c r="DI425" s="103"/>
      <c r="DJ425" s="103"/>
      <c r="DK425" s="103"/>
      <c r="DL425" s="103"/>
      <c r="DM425" s="103"/>
      <c r="DN425" s="103"/>
      <c r="DO425" s="103"/>
      <c r="DP425" s="103"/>
      <c r="DQ425" s="103"/>
    </row>
    <row r="426" spans="1:121" s="90" customFormat="1" x14ac:dyDescent="0.25">
      <c r="A426" s="71"/>
      <c r="B426" s="71"/>
      <c r="C426" s="71"/>
      <c r="D426" s="71"/>
      <c r="E426" s="71"/>
      <c r="F426" s="101"/>
      <c r="G426" s="101"/>
      <c r="H426" s="71"/>
      <c r="I426" s="71"/>
      <c r="J426" s="71"/>
      <c r="K426" s="101"/>
      <c r="L426" s="101"/>
      <c r="M426" s="101"/>
      <c r="N426" s="71"/>
      <c r="O426" s="71"/>
      <c r="P426" s="71"/>
      <c r="Q426" s="71"/>
      <c r="R426" s="101"/>
      <c r="S426" s="101"/>
      <c r="T426" s="71"/>
      <c r="U426" s="101"/>
      <c r="V426" s="101"/>
      <c r="W426" s="102"/>
      <c r="X426" s="102"/>
      <c r="Y426" s="102"/>
      <c r="Z426" s="102"/>
      <c r="AA426" s="102"/>
      <c r="AB426" s="102"/>
      <c r="AC426" s="71"/>
      <c r="AD426" s="101"/>
      <c r="AE426" s="101"/>
      <c r="AF426" s="102"/>
      <c r="AG426" s="102"/>
      <c r="AH426" s="102"/>
      <c r="AI426" s="101"/>
      <c r="AJ426" s="88"/>
      <c r="AK426" s="88"/>
      <c r="AM426" s="71"/>
      <c r="AN426" s="101"/>
      <c r="AO426" s="101"/>
      <c r="AP426" s="101"/>
      <c r="AQ426" s="101"/>
      <c r="AR426" s="103"/>
      <c r="AS426" s="103"/>
      <c r="AT426" s="103"/>
      <c r="AU426" s="103"/>
      <c r="AV426" s="103"/>
      <c r="BA426" s="103"/>
      <c r="BF426" s="103"/>
      <c r="BG426" s="103"/>
      <c r="BH426" s="103"/>
      <c r="CK426" s="103"/>
      <c r="CL426" s="103"/>
      <c r="CM426" s="103"/>
      <c r="CN426" s="103"/>
      <c r="CO426" s="103"/>
      <c r="CP426" s="103"/>
      <c r="CQ426" s="103"/>
      <c r="CR426" s="103"/>
      <c r="CS426" s="103"/>
      <c r="CT426" s="103"/>
      <c r="DH426" s="103"/>
      <c r="DI426" s="103"/>
      <c r="DJ426" s="103"/>
      <c r="DK426" s="103"/>
      <c r="DL426" s="103"/>
      <c r="DM426" s="103"/>
      <c r="DN426" s="103"/>
      <c r="DO426" s="103"/>
      <c r="DP426" s="103"/>
      <c r="DQ426" s="103"/>
    </row>
    <row r="427" spans="1:121" s="90" customFormat="1" x14ac:dyDescent="0.25">
      <c r="A427" s="71"/>
      <c r="B427" s="71"/>
      <c r="C427" s="71"/>
      <c r="D427" s="71"/>
      <c r="E427" s="71"/>
      <c r="F427" s="101"/>
      <c r="G427" s="101"/>
      <c r="H427" s="71"/>
      <c r="I427" s="71"/>
      <c r="J427" s="71"/>
      <c r="K427" s="101"/>
      <c r="L427" s="101"/>
      <c r="M427" s="101"/>
      <c r="N427" s="71"/>
      <c r="O427" s="71"/>
      <c r="P427" s="71"/>
      <c r="Q427" s="71"/>
      <c r="R427" s="101"/>
      <c r="S427" s="101"/>
      <c r="T427" s="71"/>
      <c r="U427" s="101"/>
      <c r="V427" s="101"/>
      <c r="W427" s="102"/>
      <c r="X427" s="102"/>
      <c r="Y427" s="102"/>
      <c r="Z427" s="102"/>
      <c r="AA427" s="102"/>
      <c r="AB427" s="102"/>
      <c r="AC427" s="71"/>
      <c r="AD427" s="101"/>
      <c r="AE427" s="101"/>
      <c r="AF427" s="102"/>
      <c r="AG427" s="102"/>
      <c r="AH427" s="102"/>
      <c r="AI427" s="101"/>
      <c r="AJ427" s="88"/>
      <c r="AK427" s="88"/>
      <c r="AM427" s="71"/>
      <c r="AN427" s="101"/>
      <c r="AO427" s="101"/>
      <c r="AP427" s="101"/>
      <c r="AQ427" s="101"/>
      <c r="AR427" s="103"/>
      <c r="AS427" s="103"/>
      <c r="AT427" s="103"/>
      <c r="AU427" s="103"/>
      <c r="AV427" s="103"/>
      <c r="BA427" s="103"/>
      <c r="BF427" s="103"/>
      <c r="BG427" s="103"/>
      <c r="BH427" s="103"/>
      <c r="CK427" s="103"/>
      <c r="CL427" s="103"/>
      <c r="CM427" s="103"/>
      <c r="CN427" s="103"/>
      <c r="CO427" s="103"/>
      <c r="CP427" s="103"/>
      <c r="CQ427" s="103"/>
      <c r="CR427" s="103"/>
      <c r="CS427" s="103"/>
      <c r="CT427" s="103"/>
      <c r="DH427" s="103"/>
      <c r="DI427" s="103"/>
      <c r="DJ427" s="103"/>
      <c r="DK427" s="103"/>
      <c r="DL427" s="103"/>
      <c r="DM427" s="103"/>
      <c r="DN427" s="103"/>
      <c r="DO427" s="103"/>
      <c r="DP427" s="103"/>
      <c r="DQ427" s="103"/>
    </row>
    <row r="428" spans="1:121" s="90" customFormat="1" x14ac:dyDescent="0.25">
      <c r="A428" s="71"/>
      <c r="B428" s="71"/>
      <c r="C428" s="71"/>
      <c r="D428" s="71"/>
      <c r="E428" s="71"/>
      <c r="F428" s="101"/>
      <c r="G428" s="101"/>
      <c r="H428" s="71"/>
      <c r="I428" s="71"/>
      <c r="J428" s="71"/>
      <c r="K428" s="101"/>
      <c r="L428" s="101"/>
      <c r="M428" s="101"/>
      <c r="N428" s="71"/>
      <c r="O428" s="71"/>
      <c r="P428" s="71"/>
      <c r="Q428" s="71"/>
      <c r="R428" s="101"/>
      <c r="S428" s="101"/>
      <c r="T428" s="71"/>
      <c r="U428" s="101"/>
      <c r="V428" s="101"/>
      <c r="W428" s="102"/>
      <c r="X428" s="102"/>
      <c r="Y428" s="102"/>
      <c r="Z428" s="102"/>
      <c r="AA428" s="102"/>
      <c r="AB428" s="102"/>
      <c r="AC428" s="71"/>
      <c r="AD428" s="101"/>
      <c r="AE428" s="101"/>
      <c r="AF428" s="102"/>
      <c r="AG428" s="102"/>
      <c r="AH428" s="102"/>
      <c r="AI428" s="101"/>
      <c r="AJ428" s="88"/>
      <c r="AK428" s="88"/>
      <c r="AM428" s="71"/>
      <c r="AN428" s="101"/>
      <c r="AO428" s="101"/>
      <c r="AP428" s="101"/>
      <c r="AQ428" s="101"/>
      <c r="AR428" s="103"/>
      <c r="AS428" s="103"/>
      <c r="AT428" s="103"/>
      <c r="AU428" s="103"/>
      <c r="AV428" s="103"/>
      <c r="BA428" s="103"/>
      <c r="BF428" s="103"/>
      <c r="BG428" s="103"/>
      <c r="BH428" s="103"/>
      <c r="CK428" s="103"/>
      <c r="CL428" s="103"/>
      <c r="CM428" s="103"/>
      <c r="CN428" s="103"/>
      <c r="CO428" s="103"/>
      <c r="CP428" s="103"/>
      <c r="CQ428" s="103"/>
      <c r="CR428" s="103"/>
      <c r="CS428" s="103"/>
      <c r="CT428" s="103"/>
      <c r="DH428" s="103"/>
      <c r="DI428" s="103"/>
      <c r="DJ428" s="103"/>
      <c r="DK428" s="103"/>
      <c r="DL428" s="103"/>
      <c r="DM428" s="103"/>
      <c r="DN428" s="103"/>
      <c r="DO428" s="103"/>
      <c r="DP428" s="103"/>
      <c r="DQ428" s="103"/>
    </row>
    <row r="429" spans="1:121" s="90" customFormat="1" x14ac:dyDescent="0.25">
      <c r="A429" s="71"/>
      <c r="B429" s="71"/>
      <c r="C429" s="71"/>
      <c r="D429" s="71"/>
      <c r="E429" s="71"/>
      <c r="F429" s="101"/>
      <c r="G429" s="101"/>
      <c r="H429" s="71"/>
      <c r="I429" s="71"/>
      <c r="J429" s="71"/>
      <c r="K429" s="101"/>
      <c r="L429" s="101"/>
      <c r="M429" s="101"/>
      <c r="N429" s="71"/>
      <c r="O429" s="71"/>
      <c r="P429" s="71"/>
      <c r="Q429" s="71"/>
      <c r="R429" s="101"/>
      <c r="S429" s="101"/>
      <c r="T429" s="71"/>
      <c r="U429" s="101"/>
      <c r="V429" s="101"/>
      <c r="W429" s="102"/>
      <c r="X429" s="102"/>
      <c r="Y429" s="102"/>
      <c r="Z429" s="102"/>
      <c r="AA429" s="102"/>
      <c r="AB429" s="102"/>
      <c r="AC429" s="71"/>
      <c r="AD429" s="101"/>
      <c r="AE429" s="101"/>
      <c r="AF429" s="102"/>
      <c r="AG429" s="102"/>
      <c r="AH429" s="102"/>
      <c r="AI429" s="101"/>
      <c r="AJ429" s="88"/>
      <c r="AK429" s="88"/>
      <c r="AM429" s="71"/>
      <c r="AN429" s="101"/>
      <c r="AO429" s="101"/>
      <c r="AP429" s="101"/>
      <c r="AQ429" s="101"/>
      <c r="AR429" s="103"/>
      <c r="AS429" s="103"/>
      <c r="AT429" s="103"/>
      <c r="AU429" s="103"/>
      <c r="AV429" s="103"/>
      <c r="BA429" s="103"/>
      <c r="BF429" s="103"/>
      <c r="BG429" s="103"/>
      <c r="BH429" s="103"/>
      <c r="CK429" s="103"/>
      <c r="CL429" s="103"/>
      <c r="CM429" s="103"/>
      <c r="CN429" s="103"/>
      <c r="CO429" s="103"/>
      <c r="CP429" s="103"/>
      <c r="CQ429" s="103"/>
      <c r="CR429" s="103"/>
      <c r="CS429" s="103"/>
      <c r="CT429" s="103"/>
      <c r="DH429" s="103"/>
      <c r="DI429" s="103"/>
      <c r="DJ429" s="103"/>
      <c r="DK429" s="103"/>
      <c r="DL429" s="103"/>
      <c r="DM429" s="103"/>
      <c r="DN429" s="103"/>
      <c r="DO429" s="103"/>
      <c r="DP429" s="103"/>
      <c r="DQ429" s="103"/>
    </row>
    <row r="430" spans="1:121" s="90" customFormat="1" x14ac:dyDescent="0.25">
      <c r="A430" s="71"/>
      <c r="B430" s="71"/>
      <c r="C430" s="71"/>
      <c r="D430" s="71"/>
      <c r="E430" s="71"/>
      <c r="F430" s="101"/>
      <c r="G430" s="101"/>
      <c r="H430" s="71"/>
      <c r="I430" s="71"/>
      <c r="J430" s="71"/>
      <c r="K430" s="101"/>
      <c r="L430" s="101"/>
      <c r="M430" s="101"/>
      <c r="N430" s="71"/>
      <c r="O430" s="71"/>
      <c r="P430" s="71"/>
      <c r="Q430" s="71"/>
      <c r="R430" s="101"/>
      <c r="S430" s="101"/>
      <c r="T430" s="71"/>
      <c r="U430" s="101"/>
      <c r="V430" s="101"/>
      <c r="W430" s="102"/>
      <c r="X430" s="102"/>
      <c r="Y430" s="102"/>
      <c r="Z430" s="102"/>
      <c r="AA430" s="102"/>
      <c r="AB430" s="102"/>
      <c r="AC430" s="71"/>
      <c r="AD430" s="101"/>
      <c r="AE430" s="101"/>
      <c r="AF430" s="102"/>
      <c r="AG430" s="102"/>
      <c r="AH430" s="102"/>
      <c r="AI430" s="101"/>
      <c r="AJ430" s="88"/>
      <c r="AK430" s="88"/>
      <c r="AM430" s="71"/>
      <c r="AN430" s="101"/>
      <c r="AO430" s="101"/>
      <c r="AP430" s="101"/>
      <c r="AQ430" s="101"/>
      <c r="AR430" s="103"/>
      <c r="AS430" s="103"/>
      <c r="AT430" s="103"/>
      <c r="AU430" s="103"/>
      <c r="AV430" s="103"/>
      <c r="BA430" s="103"/>
      <c r="BF430" s="103"/>
      <c r="BG430" s="103"/>
      <c r="BH430" s="103"/>
      <c r="CK430" s="103"/>
      <c r="CL430" s="103"/>
      <c r="CM430" s="103"/>
      <c r="CN430" s="103"/>
      <c r="CO430" s="103"/>
      <c r="CP430" s="103"/>
      <c r="CQ430" s="103"/>
      <c r="CR430" s="103"/>
      <c r="CS430" s="103"/>
      <c r="CT430" s="103"/>
      <c r="DH430" s="103"/>
      <c r="DI430" s="103"/>
      <c r="DJ430" s="103"/>
      <c r="DK430" s="103"/>
      <c r="DL430" s="103"/>
      <c r="DM430" s="103"/>
      <c r="DN430" s="103"/>
      <c r="DO430" s="103"/>
      <c r="DP430" s="103"/>
      <c r="DQ430" s="103"/>
    </row>
    <row r="431" spans="1:121" s="90" customFormat="1" x14ac:dyDescent="0.25">
      <c r="A431" s="71"/>
      <c r="B431" s="71"/>
      <c r="C431" s="71"/>
      <c r="D431" s="71"/>
      <c r="E431" s="71"/>
      <c r="F431" s="101"/>
      <c r="G431" s="101"/>
      <c r="H431" s="71"/>
      <c r="I431" s="71"/>
      <c r="J431" s="71"/>
      <c r="K431" s="101"/>
      <c r="L431" s="101"/>
      <c r="M431" s="101"/>
      <c r="N431" s="71"/>
      <c r="O431" s="71"/>
      <c r="P431" s="71"/>
      <c r="Q431" s="71"/>
      <c r="R431" s="101"/>
      <c r="S431" s="101"/>
      <c r="T431" s="71"/>
      <c r="U431" s="101"/>
      <c r="V431" s="101"/>
      <c r="W431" s="102"/>
      <c r="X431" s="102"/>
      <c r="Y431" s="102"/>
      <c r="Z431" s="102"/>
      <c r="AA431" s="102"/>
      <c r="AB431" s="102"/>
      <c r="AC431" s="71"/>
      <c r="AD431" s="101"/>
      <c r="AE431" s="101"/>
      <c r="AF431" s="102"/>
      <c r="AG431" s="102"/>
      <c r="AH431" s="102"/>
      <c r="AI431" s="101"/>
      <c r="AJ431" s="88"/>
      <c r="AK431" s="88"/>
      <c r="AM431" s="71"/>
      <c r="AN431" s="101"/>
      <c r="AO431" s="101"/>
      <c r="AP431" s="101"/>
      <c r="AQ431" s="101"/>
      <c r="AR431" s="103"/>
      <c r="AS431" s="103"/>
      <c r="AT431" s="103"/>
      <c r="AU431" s="103"/>
      <c r="AV431" s="103"/>
      <c r="BA431" s="103"/>
      <c r="BF431" s="103"/>
      <c r="BG431" s="103"/>
      <c r="BH431" s="103"/>
      <c r="CK431" s="103"/>
      <c r="CL431" s="103"/>
      <c r="CM431" s="103"/>
      <c r="CN431" s="103"/>
      <c r="CO431" s="103"/>
      <c r="CP431" s="103"/>
      <c r="CQ431" s="103"/>
      <c r="CR431" s="103"/>
      <c r="CS431" s="103"/>
      <c r="CT431" s="103"/>
      <c r="DH431" s="103"/>
      <c r="DI431" s="103"/>
      <c r="DJ431" s="103"/>
      <c r="DK431" s="103"/>
      <c r="DL431" s="103"/>
      <c r="DM431" s="103"/>
      <c r="DN431" s="103"/>
      <c r="DO431" s="103"/>
      <c r="DP431" s="103"/>
      <c r="DQ431" s="103"/>
    </row>
    <row r="432" spans="1:121" s="90" customFormat="1" x14ac:dyDescent="0.25">
      <c r="A432" s="71"/>
      <c r="B432" s="71"/>
      <c r="C432" s="71"/>
      <c r="D432" s="71"/>
      <c r="E432" s="71"/>
      <c r="F432" s="101"/>
      <c r="G432" s="101"/>
      <c r="H432" s="71"/>
      <c r="I432" s="71"/>
      <c r="J432" s="71"/>
      <c r="K432" s="101"/>
      <c r="L432" s="101"/>
      <c r="M432" s="101"/>
      <c r="N432" s="71"/>
      <c r="O432" s="71"/>
      <c r="P432" s="71"/>
      <c r="Q432" s="71"/>
      <c r="R432" s="101"/>
      <c r="S432" s="101"/>
      <c r="T432" s="71"/>
      <c r="U432" s="101"/>
      <c r="V432" s="101"/>
      <c r="W432" s="102"/>
      <c r="X432" s="102"/>
      <c r="Y432" s="102"/>
      <c r="Z432" s="102"/>
      <c r="AA432" s="102"/>
      <c r="AB432" s="102"/>
      <c r="AC432" s="71"/>
      <c r="AD432" s="101"/>
      <c r="AE432" s="101"/>
      <c r="AF432" s="102"/>
      <c r="AG432" s="102"/>
      <c r="AH432" s="102"/>
      <c r="AI432" s="101"/>
      <c r="AJ432" s="88"/>
      <c r="AK432" s="88"/>
      <c r="AM432" s="71"/>
      <c r="AN432" s="101"/>
      <c r="AO432" s="101"/>
      <c r="AP432" s="101"/>
      <c r="AQ432" s="101"/>
      <c r="AR432" s="103"/>
      <c r="AS432" s="103"/>
      <c r="AT432" s="103"/>
      <c r="AU432" s="103"/>
      <c r="AV432" s="103"/>
      <c r="BA432" s="103"/>
      <c r="BF432" s="103"/>
      <c r="BG432" s="103"/>
      <c r="BH432" s="103"/>
      <c r="CK432" s="103"/>
      <c r="CL432" s="103"/>
      <c r="CM432" s="103"/>
      <c r="CN432" s="103"/>
      <c r="CO432" s="103"/>
      <c r="CP432" s="103"/>
      <c r="CQ432" s="103"/>
      <c r="CR432" s="103"/>
      <c r="CS432" s="103"/>
      <c r="CT432" s="103"/>
      <c r="DH432" s="103"/>
      <c r="DI432" s="103"/>
      <c r="DJ432" s="103"/>
      <c r="DK432" s="103"/>
      <c r="DL432" s="103"/>
      <c r="DM432" s="103"/>
      <c r="DN432" s="103"/>
      <c r="DO432" s="103"/>
      <c r="DP432" s="103"/>
      <c r="DQ432" s="103"/>
    </row>
    <row r="433" spans="1:121" s="90" customFormat="1" x14ac:dyDescent="0.25">
      <c r="A433" s="71"/>
      <c r="B433" s="71"/>
      <c r="C433" s="71"/>
      <c r="D433" s="71"/>
      <c r="E433" s="71"/>
      <c r="F433" s="101"/>
      <c r="G433" s="101"/>
      <c r="H433" s="71"/>
      <c r="I433" s="71"/>
      <c r="J433" s="71"/>
      <c r="K433" s="101"/>
      <c r="L433" s="101"/>
      <c r="M433" s="101"/>
      <c r="N433" s="71"/>
      <c r="O433" s="71"/>
      <c r="P433" s="71"/>
      <c r="Q433" s="71"/>
      <c r="R433" s="101"/>
      <c r="S433" s="101"/>
      <c r="T433" s="71"/>
      <c r="U433" s="101"/>
      <c r="V433" s="101"/>
      <c r="W433" s="102"/>
      <c r="X433" s="102"/>
      <c r="Y433" s="102"/>
      <c r="Z433" s="102"/>
      <c r="AA433" s="102"/>
      <c r="AB433" s="102"/>
      <c r="AC433" s="71"/>
      <c r="AD433" s="101"/>
      <c r="AE433" s="101"/>
      <c r="AF433" s="102"/>
      <c r="AG433" s="102"/>
      <c r="AH433" s="102"/>
      <c r="AI433" s="101"/>
      <c r="AJ433" s="88"/>
      <c r="AK433" s="88"/>
      <c r="AM433" s="71"/>
      <c r="AN433" s="101"/>
      <c r="AO433" s="101"/>
      <c r="AP433" s="101"/>
      <c r="AQ433" s="101"/>
      <c r="AR433" s="103"/>
      <c r="AS433" s="103"/>
      <c r="AT433" s="103"/>
      <c r="AU433" s="103"/>
      <c r="AV433" s="103"/>
      <c r="BA433" s="103"/>
      <c r="BF433" s="103"/>
      <c r="BG433" s="103"/>
      <c r="BH433" s="103"/>
      <c r="CK433" s="103"/>
      <c r="CL433" s="103"/>
      <c r="CM433" s="103"/>
      <c r="CN433" s="103"/>
      <c r="CO433" s="103"/>
      <c r="CP433" s="103"/>
      <c r="CQ433" s="103"/>
      <c r="CR433" s="103"/>
      <c r="CS433" s="103"/>
      <c r="CT433" s="103"/>
      <c r="DH433" s="103"/>
      <c r="DI433" s="103"/>
      <c r="DJ433" s="103"/>
      <c r="DK433" s="103"/>
      <c r="DL433" s="103"/>
      <c r="DM433" s="103"/>
      <c r="DN433" s="103"/>
      <c r="DO433" s="103"/>
      <c r="DP433" s="103"/>
      <c r="DQ433" s="103"/>
    </row>
    <row r="434" spans="1:121" s="90" customFormat="1" x14ac:dyDescent="0.25">
      <c r="A434" s="71"/>
      <c r="B434" s="71"/>
      <c r="C434" s="71"/>
      <c r="D434" s="71"/>
      <c r="E434" s="71"/>
      <c r="F434" s="101"/>
      <c r="G434" s="101"/>
      <c r="H434" s="71"/>
      <c r="I434" s="71"/>
      <c r="J434" s="71"/>
      <c r="K434" s="101"/>
      <c r="L434" s="101"/>
      <c r="M434" s="101"/>
      <c r="N434" s="71"/>
      <c r="O434" s="71"/>
      <c r="P434" s="71"/>
      <c r="Q434" s="71"/>
      <c r="R434" s="101"/>
      <c r="S434" s="101"/>
      <c r="T434" s="71"/>
      <c r="U434" s="101"/>
      <c r="V434" s="101"/>
      <c r="W434" s="102"/>
      <c r="X434" s="102"/>
      <c r="Y434" s="102"/>
      <c r="Z434" s="102"/>
      <c r="AA434" s="102"/>
      <c r="AB434" s="102"/>
      <c r="AC434" s="71"/>
      <c r="AD434" s="101"/>
      <c r="AE434" s="101"/>
      <c r="AF434" s="102"/>
      <c r="AG434" s="102"/>
      <c r="AH434" s="102"/>
      <c r="AI434" s="101"/>
      <c r="AJ434" s="88"/>
      <c r="AK434" s="88"/>
      <c r="AM434" s="71"/>
      <c r="AN434" s="101"/>
      <c r="AO434" s="101"/>
      <c r="AP434" s="101"/>
      <c r="AQ434" s="101"/>
      <c r="AR434" s="103"/>
      <c r="AS434" s="103"/>
      <c r="AT434" s="103"/>
      <c r="AU434" s="103"/>
      <c r="AV434" s="103"/>
      <c r="BA434" s="103"/>
      <c r="BF434" s="103"/>
      <c r="BG434" s="103"/>
      <c r="BH434" s="103"/>
      <c r="CK434" s="103"/>
      <c r="CL434" s="103"/>
      <c r="CM434" s="103"/>
      <c r="CN434" s="103"/>
      <c r="CO434" s="103"/>
      <c r="CP434" s="103"/>
      <c r="CQ434" s="103"/>
      <c r="CR434" s="103"/>
      <c r="CS434" s="103"/>
      <c r="CT434" s="103"/>
      <c r="DH434" s="103"/>
      <c r="DI434" s="103"/>
      <c r="DJ434" s="103"/>
      <c r="DK434" s="103"/>
      <c r="DL434" s="103"/>
      <c r="DM434" s="103"/>
      <c r="DN434" s="103"/>
      <c r="DO434" s="103"/>
      <c r="DP434" s="103"/>
      <c r="DQ434" s="103"/>
    </row>
    <row r="435" spans="1:121" s="90" customFormat="1" x14ac:dyDescent="0.25">
      <c r="A435" s="71"/>
      <c r="B435" s="71"/>
      <c r="C435" s="71"/>
      <c r="D435" s="71"/>
      <c r="E435" s="71"/>
      <c r="F435" s="101"/>
      <c r="G435" s="101"/>
      <c r="H435" s="71"/>
      <c r="I435" s="71"/>
      <c r="J435" s="71"/>
      <c r="K435" s="101"/>
      <c r="L435" s="101"/>
      <c r="M435" s="101"/>
      <c r="N435" s="71"/>
      <c r="O435" s="71"/>
      <c r="P435" s="71"/>
      <c r="Q435" s="71"/>
      <c r="R435" s="101"/>
      <c r="S435" s="101"/>
      <c r="T435" s="71"/>
      <c r="U435" s="101"/>
      <c r="V435" s="101"/>
      <c r="W435" s="102"/>
      <c r="X435" s="102"/>
      <c r="Y435" s="102"/>
      <c r="Z435" s="102"/>
      <c r="AA435" s="102"/>
      <c r="AB435" s="102"/>
      <c r="AC435" s="71"/>
      <c r="AD435" s="101"/>
      <c r="AE435" s="101"/>
      <c r="AF435" s="102"/>
      <c r="AG435" s="102"/>
      <c r="AH435" s="102"/>
      <c r="AI435" s="101"/>
      <c r="AJ435" s="88"/>
      <c r="AK435" s="88"/>
      <c r="AM435" s="71"/>
      <c r="AN435" s="101"/>
      <c r="AO435" s="101"/>
      <c r="AP435" s="101"/>
      <c r="AQ435" s="101"/>
      <c r="AR435" s="103"/>
      <c r="AS435" s="103"/>
      <c r="AT435" s="103"/>
      <c r="AU435" s="103"/>
      <c r="AV435" s="103"/>
      <c r="BA435" s="103"/>
      <c r="BF435" s="103"/>
      <c r="BG435" s="103"/>
      <c r="BH435" s="103"/>
      <c r="CK435" s="103"/>
      <c r="CL435" s="103"/>
      <c r="CM435" s="103"/>
      <c r="CN435" s="103"/>
      <c r="CO435" s="103"/>
      <c r="CP435" s="103"/>
      <c r="CQ435" s="103"/>
      <c r="CR435" s="103"/>
      <c r="CS435" s="103"/>
      <c r="CT435" s="103"/>
      <c r="DH435" s="103"/>
      <c r="DI435" s="103"/>
      <c r="DJ435" s="103"/>
      <c r="DK435" s="103"/>
      <c r="DL435" s="103"/>
      <c r="DM435" s="103"/>
      <c r="DN435" s="103"/>
      <c r="DO435" s="103"/>
      <c r="DP435" s="103"/>
      <c r="DQ435" s="103"/>
    </row>
    <row r="436" spans="1:121" s="90" customFormat="1" x14ac:dyDescent="0.25">
      <c r="A436" s="71"/>
      <c r="B436" s="71"/>
      <c r="C436" s="71"/>
      <c r="D436" s="71"/>
      <c r="E436" s="71"/>
      <c r="F436" s="101"/>
      <c r="G436" s="101"/>
      <c r="H436" s="71"/>
      <c r="I436" s="71"/>
      <c r="J436" s="71"/>
      <c r="K436" s="101"/>
      <c r="L436" s="101"/>
      <c r="M436" s="101"/>
      <c r="N436" s="71"/>
      <c r="O436" s="71"/>
      <c r="P436" s="71"/>
      <c r="Q436" s="71"/>
      <c r="R436" s="101"/>
      <c r="S436" s="101"/>
      <c r="T436" s="71"/>
      <c r="U436" s="101"/>
      <c r="V436" s="101"/>
      <c r="W436" s="102"/>
      <c r="X436" s="102"/>
      <c r="Y436" s="102"/>
      <c r="Z436" s="102"/>
      <c r="AA436" s="102"/>
      <c r="AB436" s="102"/>
      <c r="AC436" s="71"/>
      <c r="AD436" s="101"/>
      <c r="AE436" s="101"/>
      <c r="AF436" s="102"/>
      <c r="AG436" s="102"/>
      <c r="AH436" s="102"/>
      <c r="AI436" s="101"/>
      <c r="AJ436" s="88"/>
      <c r="AK436" s="88"/>
      <c r="AM436" s="71"/>
      <c r="AN436" s="101"/>
      <c r="AO436" s="101"/>
      <c r="AP436" s="101"/>
      <c r="AQ436" s="101"/>
      <c r="AR436" s="103"/>
      <c r="AS436" s="103"/>
      <c r="AT436" s="103"/>
      <c r="AU436" s="103"/>
      <c r="AV436" s="103"/>
      <c r="BA436" s="103"/>
      <c r="BF436" s="103"/>
      <c r="BG436" s="103"/>
      <c r="BH436" s="103"/>
      <c r="CK436" s="103"/>
      <c r="CL436" s="103"/>
      <c r="CM436" s="103"/>
      <c r="CN436" s="103"/>
      <c r="CO436" s="103"/>
      <c r="CP436" s="103"/>
      <c r="CQ436" s="103"/>
      <c r="CR436" s="103"/>
      <c r="CS436" s="103"/>
      <c r="CT436" s="103"/>
      <c r="DH436" s="103"/>
      <c r="DI436" s="103"/>
      <c r="DJ436" s="103"/>
      <c r="DK436" s="103"/>
      <c r="DL436" s="103"/>
      <c r="DM436" s="103"/>
      <c r="DN436" s="103"/>
      <c r="DO436" s="103"/>
      <c r="DP436" s="103"/>
      <c r="DQ436" s="103"/>
    </row>
    <row r="437" spans="1:121" s="90" customFormat="1" x14ac:dyDescent="0.25">
      <c r="A437" s="71"/>
      <c r="B437" s="71"/>
      <c r="C437" s="71"/>
      <c r="D437" s="71"/>
      <c r="E437" s="71"/>
      <c r="F437" s="101"/>
      <c r="G437" s="101"/>
      <c r="H437" s="71"/>
      <c r="I437" s="71"/>
      <c r="J437" s="71"/>
      <c r="K437" s="101"/>
      <c r="L437" s="101"/>
      <c r="M437" s="101"/>
      <c r="N437" s="71"/>
      <c r="O437" s="71"/>
      <c r="P437" s="71"/>
      <c r="Q437" s="71"/>
      <c r="R437" s="101"/>
      <c r="S437" s="101"/>
      <c r="T437" s="71"/>
      <c r="U437" s="101"/>
      <c r="V437" s="101"/>
      <c r="W437" s="102"/>
      <c r="X437" s="102"/>
      <c r="Y437" s="102"/>
      <c r="Z437" s="102"/>
      <c r="AA437" s="102"/>
      <c r="AB437" s="102"/>
      <c r="AC437" s="71"/>
      <c r="AD437" s="101"/>
      <c r="AE437" s="101"/>
      <c r="AF437" s="102"/>
      <c r="AG437" s="102"/>
      <c r="AH437" s="102"/>
      <c r="AI437" s="101"/>
      <c r="AJ437" s="88"/>
      <c r="AK437" s="88"/>
      <c r="AM437" s="71"/>
      <c r="AN437" s="101"/>
      <c r="AO437" s="101"/>
      <c r="AP437" s="101"/>
      <c r="AQ437" s="101"/>
      <c r="AR437" s="103"/>
      <c r="AS437" s="103"/>
      <c r="AT437" s="103"/>
      <c r="AU437" s="103"/>
      <c r="AV437" s="103"/>
      <c r="BA437" s="103"/>
      <c r="BF437" s="103"/>
      <c r="BG437" s="103"/>
      <c r="BH437" s="103"/>
      <c r="CK437" s="103"/>
      <c r="CL437" s="103"/>
      <c r="CM437" s="103"/>
      <c r="CN437" s="103"/>
      <c r="CO437" s="103"/>
      <c r="CP437" s="103"/>
      <c r="CQ437" s="103"/>
      <c r="CR437" s="103"/>
      <c r="CS437" s="103"/>
      <c r="CT437" s="103"/>
      <c r="DH437" s="103"/>
      <c r="DI437" s="103"/>
      <c r="DJ437" s="103"/>
      <c r="DK437" s="103"/>
      <c r="DL437" s="103"/>
      <c r="DM437" s="103"/>
      <c r="DN437" s="103"/>
      <c r="DO437" s="103"/>
      <c r="DP437" s="103"/>
      <c r="DQ437" s="103"/>
    </row>
    <row r="438" spans="1:121" s="90" customFormat="1" x14ac:dyDescent="0.25">
      <c r="A438" s="71"/>
      <c r="B438" s="71"/>
      <c r="C438" s="71"/>
      <c r="D438" s="71"/>
      <c r="E438" s="71"/>
      <c r="F438" s="101"/>
      <c r="G438" s="101"/>
      <c r="H438" s="71"/>
      <c r="I438" s="71"/>
      <c r="J438" s="71"/>
      <c r="K438" s="101"/>
      <c r="L438" s="101"/>
      <c r="M438" s="101"/>
      <c r="N438" s="71"/>
      <c r="O438" s="71"/>
      <c r="P438" s="71"/>
      <c r="Q438" s="71"/>
      <c r="R438" s="101"/>
      <c r="S438" s="101"/>
      <c r="T438" s="71"/>
      <c r="U438" s="101"/>
      <c r="V438" s="101"/>
      <c r="W438" s="102"/>
      <c r="X438" s="102"/>
      <c r="Y438" s="102"/>
      <c r="Z438" s="102"/>
      <c r="AA438" s="102"/>
      <c r="AB438" s="102"/>
      <c r="AC438" s="71"/>
      <c r="AD438" s="101"/>
      <c r="AE438" s="101"/>
      <c r="AF438" s="102"/>
      <c r="AG438" s="102"/>
      <c r="AH438" s="102"/>
      <c r="AI438" s="101"/>
      <c r="AJ438" s="88"/>
      <c r="AK438" s="88"/>
      <c r="AM438" s="71"/>
      <c r="AN438" s="101"/>
      <c r="AO438" s="101"/>
      <c r="AP438" s="101"/>
      <c r="AQ438" s="101"/>
      <c r="AR438" s="103"/>
      <c r="AS438" s="103"/>
      <c r="AT438" s="103"/>
      <c r="AU438" s="103"/>
      <c r="AV438" s="103"/>
      <c r="BA438" s="103"/>
      <c r="BF438" s="103"/>
      <c r="BG438" s="103"/>
      <c r="BH438" s="103"/>
      <c r="CK438" s="103"/>
      <c r="CL438" s="103"/>
      <c r="CM438" s="103"/>
      <c r="CN438" s="103"/>
      <c r="CO438" s="103"/>
      <c r="CP438" s="103"/>
      <c r="CQ438" s="103"/>
      <c r="CR438" s="103"/>
      <c r="CS438" s="103"/>
      <c r="CT438" s="103"/>
      <c r="DH438" s="103"/>
      <c r="DI438" s="103"/>
      <c r="DJ438" s="103"/>
      <c r="DK438" s="103"/>
      <c r="DL438" s="103"/>
      <c r="DM438" s="103"/>
      <c r="DN438" s="103"/>
      <c r="DO438" s="103"/>
      <c r="DP438" s="103"/>
      <c r="DQ438" s="103"/>
    </row>
    <row r="439" spans="1:121" s="90" customFormat="1" x14ac:dyDescent="0.25">
      <c r="A439" s="71"/>
      <c r="B439" s="71"/>
      <c r="C439" s="71"/>
      <c r="D439" s="71"/>
      <c r="E439" s="71"/>
      <c r="F439" s="101"/>
      <c r="G439" s="101"/>
      <c r="H439" s="71"/>
      <c r="I439" s="71"/>
      <c r="J439" s="71"/>
      <c r="K439" s="101"/>
      <c r="L439" s="101"/>
      <c r="M439" s="101"/>
      <c r="N439" s="71"/>
      <c r="O439" s="71"/>
      <c r="P439" s="71"/>
      <c r="Q439" s="71"/>
      <c r="R439" s="101"/>
      <c r="S439" s="101"/>
      <c r="T439" s="71"/>
      <c r="U439" s="101"/>
      <c r="V439" s="101"/>
      <c r="W439" s="102"/>
      <c r="X439" s="102"/>
      <c r="Y439" s="102"/>
      <c r="Z439" s="102"/>
      <c r="AA439" s="102"/>
      <c r="AB439" s="102"/>
      <c r="AC439" s="71"/>
      <c r="AD439" s="101"/>
      <c r="AE439" s="101"/>
      <c r="AF439" s="102"/>
      <c r="AG439" s="102"/>
      <c r="AH439" s="102"/>
      <c r="AI439" s="101"/>
      <c r="AJ439" s="88"/>
      <c r="AK439" s="88"/>
      <c r="AM439" s="71"/>
      <c r="AN439" s="101"/>
      <c r="AO439" s="101"/>
      <c r="AP439" s="101"/>
      <c r="AQ439" s="101"/>
      <c r="AR439" s="103"/>
      <c r="AS439" s="103"/>
      <c r="AT439" s="103"/>
      <c r="AU439" s="103"/>
      <c r="AV439" s="103"/>
      <c r="BA439" s="103"/>
      <c r="BF439" s="103"/>
      <c r="BG439" s="103"/>
      <c r="BH439" s="103"/>
      <c r="CK439" s="103"/>
      <c r="CL439" s="103"/>
      <c r="CM439" s="103"/>
      <c r="CN439" s="103"/>
      <c r="CO439" s="103"/>
      <c r="CP439" s="103"/>
      <c r="CQ439" s="103"/>
      <c r="CR439" s="103"/>
      <c r="CS439" s="103"/>
      <c r="CT439" s="103"/>
      <c r="DH439" s="103"/>
      <c r="DI439" s="103"/>
      <c r="DJ439" s="103"/>
      <c r="DK439" s="103"/>
      <c r="DL439" s="103"/>
      <c r="DM439" s="103"/>
      <c r="DN439" s="103"/>
      <c r="DO439" s="103"/>
      <c r="DP439" s="103"/>
      <c r="DQ439" s="103"/>
    </row>
    <row r="440" spans="1:121" s="90" customFormat="1" x14ac:dyDescent="0.25">
      <c r="A440" s="71"/>
      <c r="B440" s="71"/>
      <c r="C440" s="71"/>
      <c r="D440" s="71"/>
      <c r="E440" s="71"/>
      <c r="F440" s="101"/>
      <c r="G440" s="101"/>
      <c r="H440" s="71"/>
      <c r="I440" s="71"/>
      <c r="J440" s="71"/>
      <c r="K440" s="101"/>
      <c r="L440" s="101"/>
      <c r="M440" s="101"/>
      <c r="N440" s="71"/>
      <c r="O440" s="71"/>
      <c r="P440" s="71"/>
      <c r="Q440" s="71"/>
      <c r="R440" s="101"/>
      <c r="S440" s="101"/>
      <c r="T440" s="71"/>
      <c r="U440" s="101"/>
      <c r="V440" s="101"/>
      <c r="W440" s="102"/>
      <c r="X440" s="102"/>
      <c r="Y440" s="102"/>
      <c r="Z440" s="102"/>
      <c r="AA440" s="102"/>
      <c r="AB440" s="102"/>
      <c r="AC440" s="71"/>
      <c r="AD440" s="101"/>
      <c r="AE440" s="101"/>
      <c r="AF440" s="102"/>
      <c r="AG440" s="102"/>
      <c r="AH440" s="102"/>
      <c r="AI440" s="101"/>
      <c r="AJ440" s="88"/>
      <c r="AK440" s="88"/>
      <c r="AM440" s="71"/>
      <c r="AN440" s="101"/>
      <c r="AO440" s="101"/>
      <c r="AP440" s="101"/>
      <c r="AQ440" s="101"/>
      <c r="AR440" s="103"/>
      <c r="AS440" s="103"/>
      <c r="AT440" s="103"/>
      <c r="AU440" s="103"/>
      <c r="AV440" s="103"/>
      <c r="BA440" s="103"/>
      <c r="BF440" s="103"/>
      <c r="BG440" s="103"/>
      <c r="BH440" s="103"/>
      <c r="CK440" s="103"/>
      <c r="CL440" s="103"/>
      <c r="CM440" s="103"/>
      <c r="CN440" s="103"/>
      <c r="CO440" s="103"/>
      <c r="CP440" s="103"/>
      <c r="CQ440" s="103"/>
      <c r="CR440" s="103"/>
      <c r="CS440" s="103"/>
      <c r="CT440" s="103"/>
      <c r="DH440" s="103"/>
      <c r="DI440" s="103"/>
      <c r="DJ440" s="103"/>
      <c r="DK440" s="103"/>
      <c r="DL440" s="103"/>
      <c r="DM440" s="103"/>
      <c r="DN440" s="103"/>
      <c r="DO440" s="103"/>
      <c r="DP440" s="103"/>
      <c r="DQ440" s="103"/>
    </row>
    <row r="441" spans="1:121" s="90" customFormat="1" x14ac:dyDescent="0.25">
      <c r="A441" s="71"/>
      <c r="B441" s="71"/>
      <c r="C441" s="71"/>
      <c r="D441" s="71"/>
      <c r="E441" s="71"/>
      <c r="F441" s="101"/>
      <c r="G441" s="101"/>
      <c r="H441" s="71"/>
      <c r="I441" s="71"/>
      <c r="J441" s="71"/>
      <c r="K441" s="101"/>
      <c r="L441" s="101"/>
      <c r="M441" s="101"/>
      <c r="N441" s="71"/>
      <c r="O441" s="71"/>
      <c r="P441" s="71"/>
      <c r="Q441" s="71"/>
      <c r="R441" s="101"/>
      <c r="S441" s="101"/>
      <c r="T441" s="71"/>
      <c r="U441" s="101"/>
      <c r="V441" s="101"/>
      <c r="W441" s="102"/>
      <c r="X441" s="102"/>
      <c r="Y441" s="102"/>
      <c r="Z441" s="102"/>
      <c r="AA441" s="102"/>
      <c r="AB441" s="102"/>
      <c r="AC441" s="71"/>
      <c r="AD441" s="101"/>
      <c r="AE441" s="101"/>
      <c r="AF441" s="102"/>
      <c r="AG441" s="102"/>
      <c r="AH441" s="102"/>
      <c r="AI441" s="101"/>
      <c r="AJ441" s="88"/>
      <c r="AK441" s="88"/>
      <c r="AM441" s="71"/>
      <c r="AN441" s="101"/>
      <c r="AO441" s="101"/>
      <c r="AP441" s="101"/>
      <c r="AQ441" s="101"/>
      <c r="AR441" s="103"/>
      <c r="AS441" s="103"/>
      <c r="AT441" s="103"/>
      <c r="AU441" s="103"/>
      <c r="AV441" s="103"/>
      <c r="BA441" s="103"/>
      <c r="BF441" s="103"/>
      <c r="BG441" s="103"/>
      <c r="BH441" s="103"/>
      <c r="CK441" s="103"/>
      <c r="CL441" s="103"/>
      <c r="CM441" s="103"/>
      <c r="CN441" s="103"/>
      <c r="CO441" s="103"/>
      <c r="CP441" s="103"/>
      <c r="CQ441" s="103"/>
      <c r="CR441" s="103"/>
      <c r="CS441" s="103"/>
      <c r="CT441" s="103"/>
      <c r="DH441" s="103"/>
      <c r="DI441" s="103"/>
      <c r="DJ441" s="103"/>
      <c r="DK441" s="103"/>
      <c r="DL441" s="103"/>
      <c r="DM441" s="103"/>
      <c r="DN441" s="103"/>
      <c r="DO441" s="103"/>
      <c r="DP441" s="103"/>
      <c r="DQ441" s="103"/>
    </row>
    <row r="442" spans="1:121" s="90" customFormat="1" x14ac:dyDescent="0.25">
      <c r="A442" s="71"/>
      <c r="B442" s="71"/>
      <c r="C442" s="71"/>
      <c r="D442" s="71"/>
      <c r="E442" s="71"/>
      <c r="F442" s="101"/>
      <c r="G442" s="101"/>
      <c r="H442" s="71"/>
      <c r="I442" s="71"/>
      <c r="J442" s="71"/>
      <c r="K442" s="101"/>
      <c r="L442" s="101"/>
      <c r="M442" s="101"/>
      <c r="N442" s="71"/>
      <c r="O442" s="71"/>
      <c r="P442" s="71"/>
      <c r="Q442" s="71"/>
      <c r="R442" s="101"/>
      <c r="S442" s="101"/>
      <c r="T442" s="71"/>
      <c r="U442" s="101"/>
      <c r="V442" s="101"/>
      <c r="W442" s="102"/>
      <c r="X442" s="102"/>
      <c r="Y442" s="102"/>
      <c r="Z442" s="102"/>
      <c r="AA442" s="102"/>
      <c r="AB442" s="102"/>
      <c r="AC442" s="71"/>
      <c r="AD442" s="101"/>
      <c r="AE442" s="101"/>
      <c r="AF442" s="102"/>
      <c r="AG442" s="102"/>
      <c r="AH442" s="102"/>
      <c r="AI442" s="101"/>
      <c r="AJ442" s="88"/>
      <c r="AK442" s="88"/>
      <c r="AM442" s="71"/>
      <c r="AN442" s="101"/>
      <c r="AO442" s="101"/>
      <c r="AP442" s="101"/>
      <c r="AQ442" s="101"/>
      <c r="AR442" s="103"/>
      <c r="AS442" s="103"/>
      <c r="AT442" s="103"/>
      <c r="AU442" s="103"/>
      <c r="AV442" s="103"/>
      <c r="BA442" s="103"/>
      <c r="BF442" s="103"/>
      <c r="BG442" s="103"/>
      <c r="BH442" s="103"/>
      <c r="CK442" s="103"/>
      <c r="CL442" s="103"/>
      <c r="CM442" s="103"/>
      <c r="CN442" s="103"/>
      <c r="CO442" s="103"/>
      <c r="CP442" s="103"/>
      <c r="CQ442" s="103"/>
      <c r="CR442" s="103"/>
      <c r="CS442" s="103"/>
      <c r="CT442" s="103"/>
      <c r="DH442" s="103"/>
      <c r="DI442" s="103"/>
      <c r="DJ442" s="103"/>
      <c r="DK442" s="103"/>
      <c r="DL442" s="103"/>
      <c r="DM442" s="103"/>
      <c r="DN442" s="103"/>
      <c r="DO442" s="103"/>
      <c r="DP442" s="103"/>
      <c r="DQ442" s="103"/>
    </row>
    <row r="443" spans="1:121" s="90" customFormat="1" x14ac:dyDescent="0.25">
      <c r="A443" s="71"/>
      <c r="B443" s="71"/>
      <c r="C443" s="71"/>
      <c r="D443" s="71"/>
      <c r="E443" s="71"/>
      <c r="F443" s="101"/>
      <c r="G443" s="101"/>
      <c r="H443" s="71"/>
      <c r="I443" s="71"/>
      <c r="J443" s="71"/>
      <c r="K443" s="101"/>
      <c r="L443" s="101"/>
      <c r="M443" s="101"/>
      <c r="N443" s="71"/>
      <c r="O443" s="71"/>
      <c r="P443" s="71"/>
      <c r="Q443" s="71"/>
      <c r="R443" s="101"/>
      <c r="S443" s="101"/>
      <c r="T443" s="71"/>
      <c r="U443" s="101"/>
      <c r="V443" s="101"/>
      <c r="W443" s="102"/>
      <c r="X443" s="102"/>
      <c r="Y443" s="102"/>
      <c r="Z443" s="102"/>
      <c r="AA443" s="102"/>
      <c r="AB443" s="102"/>
      <c r="AC443" s="71"/>
      <c r="AD443" s="101"/>
      <c r="AE443" s="101"/>
      <c r="AF443" s="102"/>
      <c r="AG443" s="102"/>
      <c r="AH443" s="102"/>
      <c r="AI443" s="101"/>
      <c r="AJ443" s="88"/>
      <c r="AK443" s="88"/>
      <c r="AM443" s="71"/>
      <c r="AN443" s="101"/>
      <c r="AO443" s="101"/>
      <c r="AP443" s="101"/>
      <c r="AQ443" s="101"/>
      <c r="AR443" s="103"/>
      <c r="AS443" s="103"/>
      <c r="AT443" s="103"/>
      <c r="AU443" s="103"/>
      <c r="AV443" s="103"/>
      <c r="BA443" s="103"/>
      <c r="BF443" s="103"/>
      <c r="BG443" s="103"/>
      <c r="BH443" s="103"/>
      <c r="CK443" s="103"/>
      <c r="CL443" s="103"/>
      <c r="CM443" s="103"/>
      <c r="CN443" s="103"/>
      <c r="CO443" s="103"/>
      <c r="CP443" s="103"/>
      <c r="CQ443" s="103"/>
      <c r="CR443" s="103"/>
      <c r="CS443" s="103"/>
      <c r="CT443" s="103"/>
      <c r="DH443" s="103"/>
      <c r="DI443" s="103"/>
      <c r="DJ443" s="103"/>
      <c r="DK443" s="103"/>
      <c r="DL443" s="103"/>
      <c r="DM443" s="103"/>
      <c r="DN443" s="103"/>
      <c r="DO443" s="103"/>
      <c r="DP443" s="103"/>
      <c r="DQ443" s="103"/>
    </row>
    <row r="444" spans="1:121" s="90" customFormat="1" x14ac:dyDescent="0.25">
      <c r="A444" s="71"/>
      <c r="B444" s="71"/>
      <c r="C444" s="71"/>
      <c r="D444" s="71"/>
      <c r="E444" s="71"/>
      <c r="F444" s="101"/>
      <c r="G444" s="101"/>
      <c r="H444" s="71"/>
      <c r="I444" s="71"/>
      <c r="J444" s="71"/>
      <c r="K444" s="101"/>
      <c r="L444" s="101"/>
      <c r="M444" s="101"/>
      <c r="N444" s="71"/>
      <c r="O444" s="71"/>
      <c r="P444" s="71"/>
      <c r="Q444" s="71"/>
      <c r="R444" s="101"/>
      <c r="S444" s="101"/>
      <c r="T444" s="71"/>
      <c r="U444" s="101"/>
      <c r="V444" s="101"/>
      <c r="W444" s="102"/>
      <c r="X444" s="102"/>
      <c r="Y444" s="102"/>
      <c r="Z444" s="102"/>
      <c r="AA444" s="102"/>
      <c r="AB444" s="102"/>
      <c r="AC444" s="71"/>
      <c r="AD444" s="101"/>
      <c r="AE444" s="101"/>
      <c r="AF444" s="102"/>
      <c r="AG444" s="102"/>
      <c r="AH444" s="102"/>
      <c r="AI444" s="101"/>
      <c r="AJ444" s="88"/>
      <c r="AK444" s="88"/>
      <c r="AM444" s="71"/>
      <c r="AN444" s="101"/>
      <c r="AO444" s="101"/>
      <c r="AP444" s="101"/>
      <c r="AQ444" s="101"/>
      <c r="AR444" s="103"/>
      <c r="AS444" s="103"/>
      <c r="AT444" s="103"/>
      <c r="AU444" s="103"/>
      <c r="AV444" s="103"/>
      <c r="BA444" s="103"/>
      <c r="BF444" s="103"/>
      <c r="BG444" s="103"/>
      <c r="BH444" s="103"/>
      <c r="CK444" s="103"/>
      <c r="CL444" s="103"/>
      <c r="CM444" s="103"/>
      <c r="CN444" s="103"/>
      <c r="CO444" s="103"/>
      <c r="CP444" s="103"/>
      <c r="CQ444" s="103"/>
      <c r="CR444" s="103"/>
      <c r="CS444" s="103"/>
      <c r="CT444" s="103"/>
      <c r="DH444" s="103"/>
      <c r="DI444" s="103"/>
      <c r="DJ444" s="103"/>
      <c r="DK444" s="103"/>
      <c r="DL444" s="103"/>
      <c r="DM444" s="103"/>
      <c r="DN444" s="103"/>
      <c r="DO444" s="103"/>
      <c r="DP444" s="103"/>
      <c r="DQ444" s="103"/>
    </row>
    <row r="445" spans="1:121" s="90" customFormat="1" x14ac:dyDescent="0.25">
      <c r="A445" s="71"/>
      <c r="B445" s="71"/>
      <c r="C445" s="71"/>
      <c r="D445" s="71"/>
      <c r="E445" s="71"/>
      <c r="F445" s="101"/>
      <c r="G445" s="101"/>
      <c r="H445" s="71"/>
      <c r="I445" s="71"/>
      <c r="J445" s="71"/>
      <c r="K445" s="101"/>
      <c r="L445" s="101"/>
      <c r="M445" s="101"/>
      <c r="N445" s="71"/>
      <c r="O445" s="71"/>
      <c r="P445" s="71"/>
      <c r="Q445" s="71"/>
      <c r="R445" s="101"/>
      <c r="S445" s="101"/>
      <c r="T445" s="71"/>
      <c r="U445" s="101"/>
      <c r="V445" s="101"/>
      <c r="W445" s="102"/>
      <c r="X445" s="102"/>
      <c r="Y445" s="102"/>
      <c r="Z445" s="102"/>
      <c r="AA445" s="102"/>
      <c r="AB445" s="102"/>
      <c r="AC445" s="71"/>
      <c r="AD445" s="101"/>
      <c r="AE445" s="101"/>
      <c r="AF445" s="102"/>
      <c r="AG445" s="102"/>
      <c r="AH445" s="102"/>
      <c r="AI445" s="101"/>
      <c r="AJ445" s="88"/>
      <c r="AK445" s="88"/>
      <c r="AM445" s="71"/>
      <c r="AN445" s="101"/>
      <c r="AO445" s="101"/>
      <c r="AP445" s="101"/>
      <c r="AQ445" s="101"/>
      <c r="AR445" s="103"/>
      <c r="AS445" s="103"/>
      <c r="AT445" s="103"/>
      <c r="AU445" s="103"/>
      <c r="AV445" s="103"/>
      <c r="BA445" s="103"/>
      <c r="BF445" s="103"/>
      <c r="BG445" s="103"/>
      <c r="BH445" s="103"/>
      <c r="CK445" s="103"/>
      <c r="CL445" s="103"/>
      <c r="CM445" s="103"/>
      <c r="CN445" s="103"/>
      <c r="CO445" s="103"/>
      <c r="CP445" s="103"/>
      <c r="CQ445" s="103"/>
      <c r="CR445" s="103"/>
      <c r="CS445" s="103"/>
      <c r="CT445" s="103"/>
      <c r="DH445" s="103"/>
      <c r="DI445" s="103"/>
      <c r="DJ445" s="103"/>
      <c r="DK445" s="103"/>
      <c r="DL445" s="103"/>
      <c r="DM445" s="103"/>
      <c r="DN445" s="103"/>
      <c r="DO445" s="103"/>
      <c r="DP445" s="103"/>
      <c r="DQ445" s="103"/>
    </row>
  </sheetData>
  <mergeCells count="92">
    <mergeCell ref="EK1:EM1"/>
    <mergeCell ref="AZ2:BB2"/>
    <mergeCell ref="BC2:BE2"/>
    <mergeCell ref="BO2:BQ2"/>
    <mergeCell ref="DR1:DT1"/>
    <mergeCell ref="DU1:DW1"/>
    <mergeCell ref="DX1:DZ1"/>
    <mergeCell ref="DD1:DF1"/>
    <mergeCell ref="CK1:CK3"/>
    <mergeCell ref="CL1:CN1"/>
    <mergeCell ref="CR1:CT1"/>
    <mergeCell ref="CR2:CT2"/>
    <mergeCell ref="DO1:DQ1"/>
    <mergeCell ref="CU1:CW1"/>
    <mergeCell ref="DH1:DH3"/>
    <mergeCell ref="CU2:CW2"/>
    <mergeCell ref="AZ1:BE1"/>
    <mergeCell ref="CO1:CQ1"/>
    <mergeCell ref="CL2:CN2"/>
    <mergeCell ref="CD1:CI1"/>
    <mergeCell ref="BR2:BT2"/>
    <mergeCell ref="BR1:BW1"/>
    <mergeCell ref="BX1:CC1"/>
    <mergeCell ref="BX2:BZ2"/>
    <mergeCell ref="CA2:CC2"/>
    <mergeCell ref="BU2:BW2"/>
    <mergeCell ref="CD2:CF2"/>
    <mergeCell ref="CG2:CI2"/>
    <mergeCell ref="CO2:CQ2"/>
    <mergeCell ref="B2:D2"/>
    <mergeCell ref="T2:V2"/>
    <mergeCell ref="AF2:AH2"/>
    <mergeCell ref="B1:G1"/>
    <mergeCell ref="T1:Y1"/>
    <mergeCell ref="Z1:AE1"/>
    <mergeCell ref="AF1:AK1"/>
    <mergeCell ref="E2:G2"/>
    <mergeCell ref="W2:Y2"/>
    <mergeCell ref="Z2:AB2"/>
    <mergeCell ref="AC2:AE2"/>
    <mergeCell ref="AI2:AK2"/>
    <mergeCell ref="H1:M1"/>
    <mergeCell ref="H2:J2"/>
    <mergeCell ref="K2:M2"/>
    <mergeCell ref="A1:A3"/>
    <mergeCell ref="AT2:AV2"/>
    <mergeCell ref="AT1:AY1"/>
    <mergeCell ref="BL1:BQ1"/>
    <mergeCell ref="BL2:BN2"/>
    <mergeCell ref="AW2:AY2"/>
    <mergeCell ref="AO2:AQ2"/>
    <mergeCell ref="AL1:AQ1"/>
    <mergeCell ref="AS1:AS3"/>
    <mergeCell ref="AL2:AN2"/>
    <mergeCell ref="BF1:BK1"/>
    <mergeCell ref="BF2:BH2"/>
    <mergeCell ref="BI2:BK2"/>
    <mergeCell ref="N1:S1"/>
    <mergeCell ref="N2:P2"/>
    <mergeCell ref="Q2:S2"/>
    <mergeCell ref="CX2:CZ2"/>
    <mergeCell ref="DA2:DC2"/>
    <mergeCell ref="DD2:DF2"/>
    <mergeCell ref="EF1:EF3"/>
    <mergeCell ref="EG1:EG3"/>
    <mergeCell ref="EA1:EC1"/>
    <mergeCell ref="DI2:DK2"/>
    <mergeCell ref="DR2:DT2"/>
    <mergeCell ref="DU2:DW2"/>
    <mergeCell ref="DX2:DZ2"/>
    <mergeCell ref="EA2:EC2"/>
    <mergeCell ref="DI1:DK1"/>
    <mergeCell ref="DO2:DQ2"/>
    <mergeCell ref="CX1:CZ1"/>
    <mergeCell ref="DA1:DC1"/>
    <mergeCell ref="DL1:DN1"/>
    <mergeCell ref="DL2:DN2"/>
    <mergeCell ref="EK2:EM2"/>
    <mergeCell ref="EZ1:FB1"/>
    <mergeCell ref="FD1:FF1"/>
    <mergeCell ref="EH2:EJ2"/>
    <mergeCell ref="EN2:EP2"/>
    <mergeCell ref="EQ2:ES2"/>
    <mergeCell ref="ET2:EV2"/>
    <mergeCell ref="EY1:EY3"/>
    <mergeCell ref="EZ2:FB2"/>
    <mergeCell ref="FD2:FF2"/>
    <mergeCell ref="EX1:EX3"/>
    <mergeCell ref="EH1:EJ1"/>
    <mergeCell ref="EQ1:ES1"/>
    <mergeCell ref="ET1:EV1"/>
    <mergeCell ref="EN1:EP1"/>
  </mergeCells>
  <phoneticPr fontId="2" type="noConversion"/>
  <conditionalFormatting sqref="D4:D19 G4:G19 J4:J19 M4:M19 P4:P19 S4:S19 V4:V19 Y4:Y19 AB4:AB19 AE4:AE19 AH4:AH19 AK4:AK19 AN4:AN19 AQ4:AQ19 AV4:AV19 BZ4:BZ19 CN4:CN19 DC4:DC19 DK4:DK19 DZ4:DZ19 AY19 CC19 CC50 D52:D54 G52:G54 J52:J54 M52:M54 P52:P54 S52:S54 V52:V54 Y52:Y54 AB52:AB54 AE52:AE54 AH52:AH54 AK52:AK54 AN52:AN54 AQ52:AQ54 AV52:AV54 BZ52:BZ54 CN52:CN54 DC52:DC54 DK52:DK54 DZ52:DZ54 D56 G56 J56 M56 P56 S56 V56 Y56 AB56 AE56 AH56 AK56 AN56 AQ56 AV56 AY56 BZ56 CC56 CF56 CI56 CN56 DC56 DF56 DK56 DZ56 EC56 EJ56 EP56 CF19 EJ19 FF19 AY50 CI50 CF50 DF50 EJ50 EP50 FF50 AY54 CC35:CC38 CC54 CI54 CF54 DF19 DF54 EC50 EC19 EC54 EP19">
    <cfRule type="cellIs" dxfId="314" priority="1696" stopIfTrue="1" operator="between">
      <formula>0</formula>
      <formula>0.149999</formula>
    </cfRule>
  </conditionalFormatting>
  <conditionalFormatting sqref="D4:D19 G4:G19 J4:J19 M4:M19 P4:P19 S4:S19 V4:V19 Y4:Y19 AB4:AB19 AE4:AE19 AH4:AH19 AK4:AK19 AN4:AN19 AQ4:AQ19 AV4:AV19 BZ4:BZ19 CN4:CN19 DC4:DC19 DK4:DK19 DZ4:DZ19 AY19 CC19 CC50 D52:D54 G52:G54 J52:J54 M52:M54 P52:P54 S52:S54 V52:V54 Y52:Y54 AB52:AB54 AE52:AE54 AH52:AH54 AK52:AK54 AN52:AN54 AQ52:AQ54 AV52:AV54 BZ52:BZ54 CN52:CN54 DC52:DC54 DK52:DK54 DZ52:DZ54 D56 G56 J56 M56 P56 S56 V56 Y56 AB56 AE56 AH56 AK56 AN56 AQ56 AV56 AY56 BZ56 CC56 CF56 CI56 CN56 DC56 DF56 DK56 DZ56 EC56 EJ56 EP56">
    <cfRule type="cellIs" dxfId="313" priority="1695" stopIfTrue="1" operator="between">
      <formula>-10000</formula>
      <formula>0</formula>
    </cfRule>
  </conditionalFormatting>
  <conditionalFormatting sqref="D4:D19 G4:G19 J4:J19 M4:M19 P4:P19 S4:S19 V4:V19 Y4:Y19 AB4:AB19 AE4:AE19 AH4:AH19 AK4:AK19 AN4:AN19 AQ4:AQ19 AV4:AV19 BZ4:BZ19 CN4:CN19 DC4:DC19 DK4:DK19 DZ4:DZ19 AY19 CC19 CF19 DF19 EC19 EJ19 EP19 FF19 CC35:CC38 AY50 CC50 CF50 CI50 DF50 EC50 EJ50 EP50 FF50 D52:D54 G52:G54 J52:J54 M52:M54 P52:P54 S52:S54 V52:V54 Y52:Y54 AB52:AB54 AE52:AE54 AH52:AH54 AK52:AK54 AN52:AN54 AQ52:AQ54 AV52:AV54 BZ52:BZ54 CN52:CN54 DC52:DC54 DK52:DK54 DZ52:DZ54 AY54 CC54 CF54 CI54 DF54 EC54 D56 G56 J56 M56 P56 S56 V56 Y56 AB56 AE56 AH56 AK56 AN56 AQ56 AV56 AY56 BZ56 CC56 CF56 CI56 CN56 DC56 DF56 DK56 DZ56 EC56 EJ56 EP56">
    <cfRule type="cellIs" dxfId="312" priority="1697" stopIfTrue="1" operator="between">
      <formula>0.145</formula>
      <formula>10000</formula>
    </cfRule>
  </conditionalFormatting>
  <conditionalFormatting sqref="D21:D50 G21:G50 AN21:AN50 AQ21:AQ50">
    <cfRule type="cellIs" dxfId="311" priority="516" stopIfTrue="1" operator="between">
      <formula>0.145</formula>
      <formula>10000</formula>
    </cfRule>
    <cfRule type="cellIs" dxfId="310" priority="515" stopIfTrue="1" operator="between">
      <formula>0</formula>
      <formula>0.149999</formula>
    </cfRule>
    <cfRule type="cellIs" dxfId="309" priority="514" stopIfTrue="1" operator="between">
      <formula>-10000</formula>
      <formula>0</formula>
    </cfRule>
  </conditionalFormatting>
  <conditionalFormatting sqref="J21:J50">
    <cfRule type="cellIs" dxfId="308" priority="487" stopIfTrue="1" operator="between">
      <formula>-10000</formula>
      <formula>0</formula>
    </cfRule>
    <cfRule type="cellIs" dxfId="307" priority="488" stopIfTrue="1" operator="between">
      <formula>0</formula>
      <formula>0.149999</formula>
    </cfRule>
    <cfRule type="cellIs" dxfId="306" priority="489" stopIfTrue="1" operator="between">
      <formula>0.145</formula>
      <formula>10000</formula>
    </cfRule>
  </conditionalFormatting>
  <conditionalFormatting sqref="M21:M50">
    <cfRule type="cellIs" dxfId="305" priority="474" stopIfTrue="1" operator="between">
      <formula>0.145</formula>
      <formula>10000</formula>
    </cfRule>
    <cfRule type="cellIs" dxfId="304" priority="473" stopIfTrue="1" operator="between">
      <formula>0</formula>
      <formula>0.149999</formula>
    </cfRule>
    <cfRule type="cellIs" dxfId="303" priority="472" stopIfTrue="1" operator="between">
      <formula>-10000</formula>
      <formula>0</formula>
    </cfRule>
  </conditionalFormatting>
  <conditionalFormatting sqref="P21:P50">
    <cfRule type="cellIs" dxfId="302" priority="485" stopIfTrue="1" operator="between">
      <formula>0</formula>
      <formula>0.149999</formula>
    </cfRule>
    <cfRule type="cellIs" dxfId="301" priority="486" stopIfTrue="1" operator="between">
      <formula>0.145</formula>
      <formula>10000</formula>
    </cfRule>
    <cfRule type="cellIs" dxfId="300" priority="484" stopIfTrue="1" operator="between">
      <formula>-10000</formula>
      <formula>0</formula>
    </cfRule>
  </conditionalFormatting>
  <conditionalFormatting sqref="S21:S50">
    <cfRule type="cellIs" dxfId="299" priority="470" stopIfTrue="1" operator="between">
      <formula>0</formula>
      <formula>0.149999</formula>
    </cfRule>
    <cfRule type="cellIs" dxfId="298" priority="471" stopIfTrue="1" operator="between">
      <formula>0.145</formula>
      <formula>10000</formula>
    </cfRule>
    <cfRule type="cellIs" dxfId="297" priority="469" stopIfTrue="1" operator="between">
      <formula>-10000</formula>
      <formula>0</formula>
    </cfRule>
  </conditionalFormatting>
  <conditionalFormatting sqref="V21:V50">
    <cfRule type="cellIs" dxfId="296" priority="481" stopIfTrue="1" operator="between">
      <formula>-10000</formula>
      <formula>0</formula>
    </cfRule>
    <cfRule type="cellIs" dxfId="295" priority="483" stopIfTrue="1" operator="between">
      <formula>0.145</formula>
      <formula>10000</formula>
    </cfRule>
    <cfRule type="cellIs" dxfId="294" priority="482" stopIfTrue="1" operator="between">
      <formula>0</formula>
      <formula>0.149999</formula>
    </cfRule>
  </conditionalFormatting>
  <conditionalFormatting sqref="Y21:Y50">
    <cfRule type="cellIs" dxfId="293" priority="468" stopIfTrue="1" operator="between">
      <formula>0.145</formula>
      <formula>10000</formula>
    </cfRule>
    <cfRule type="cellIs" dxfId="292" priority="467" stopIfTrue="1" operator="between">
      <formula>0</formula>
      <formula>0.149999</formula>
    </cfRule>
    <cfRule type="cellIs" dxfId="291" priority="466" stopIfTrue="1" operator="between">
      <formula>-10000</formula>
      <formula>0</formula>
    </cfRule>
  </conditionalFormatting>
  <conditionalFormatting sqref="AB21:AB50">
    <cfRule type="cellIs" dxfId="290" priority="478" stopIfTrue="1" operator="between">
      <formula>-10000</formula>
      <formula>0</formula>
    </cfRule>
    <cfRule type="cellIs" dxfId="289" priority="479" stopIfTrue="1" operator="between">
      <formula>0</formula>
      <formula>0.149999</formula>
    </cfRule>
    <cfRule type="cellIs" dxfId="288" priority="480" stopIfTrue="1" operator="between">
      <formula>0.145</formula>
      <formula>10000</formula>
    </cfRule>
  </conditionalFormatting>
  <conditionalFormatting sqref="AE21:AE50">
    <cfRule type="cellIs" dxfId="287" priority="464" stopIfTrue="1" operator="between">
      <formula>0</formula>
      <formula>0.149999</formula>
    </cfRule>
    <cfRule type="cellIs" dxfId="286" priority="465" stopIfTrue="1" operator="between">
      <formula>0.145</formula>
      <formula>10000</formula>
    </cfRule>
    <cfRule type="cellIs" dxfId="285" priority="463" stopIfTrue="1" operator="between">
      <formula>-10000</formula>
      <formula>0</formula>
    </cfRule>
  </conditionalFormatting>
  <conditionalFormatting sqref="AH21:AH50">
    <cfRule type="cellIs" dxfId="284" priority="475" stopIfTrue="1" operator="between">
      <formula>-10000</formula>
      <formula>0</formula>
    </cfRule>
    <cfRule type="cellIs" dxfId="283" priority="476" stopIfTrue="1" operator="between">
      <formula>0</formula>
      <formula>0.149999</formula>
    </cfRule>
    <cfRule type="cellIs" dxfId="282" priority="477" stopIfTrue="1" operator="between">
      <formula>0.145</formula>
      <formula>10000</formula>
    </cfRule>
  </conditionalFormatting>
  <conditionalFormatting sqref="AK21:AK50">
    <cfRule type="cellIs" dxfId="281" priority="462" stopIfTrue="1" operator="between">
      <formula>0.145</formula>
      <formula>10000</formula>
    </cfRule>
    <cfRule type="cellIs" dxfId="280" priority="461" stopIfTrue="1" operator="between">
      <formula>0</formula>
      <formula>0.149999</formula>
    </cfRule>
    <cfRule type="cellIs" dxfId="279" priority="460" stopIfTrue="1" operator="between">
      <formula>-10000</formula>
      <formula>0</formula>
    </cfRule>
  </conditionalFormatting>
  <conditionalFormatting sqref="AV21:AV50">
    <cfRule type="cellIs" dxfId="278" priority="455" stopIfTrue="1" operator="between">
      <formula>0</formula>
      <formula>0.149999</formula>
    </cfRule>
    <cfRule type="cellIs" dxfId="277" priority="454" stopIfTrue="1" operator="between">
      <formula>-10000</formula>
      <formula>0</formula>
    </cfRule>
    <cfRule type="cellIs" dxfId="276" priority="456" stopIfTrue="1" operator="between">
      <formula>0.145</formula>
      <formula>10000</formula>
    </cfRule>
  </conditionalFormatting>
  <conditionalFormatting sqref="AY4:AY18 BE4:BE18 BK4:BK18 BQ4:BQ18 BW4:BW18 CC4:CC18 CC39:CC49">
    <cfRule type="cellIs" dxfId="275" priority="1720" stopIfTrue="1" operator="between">
      <formula>0</formula>
      <formula>1.94444444</formula>
    </cfRule>
    <cfRule type="cellIs" dxfId="274" priority="1719" stopIfTrue="1" operator="between">
      <formula>2</formula>
      <formula>1000</formula>
    </cfRule>
    <cfRule type="cellIs" dxfId="273" priority="1721" stopIfTrue="1" operator="between">
      <formula>-10000</formula>
      <formula>0</formula>
    </cfRule>
  </conditionalFormatting>
  <conditionalFormatting sqref="AY21:AY49 CI21:CI49">
    <cfRule type="cellIs" dxfId="272" priority="523" stopIfTrue="1" operator="between">
      <formula>2</formula>
      <formula>1000</formula>
    </cfRule>
    <cfRule type="cellIs" dxfId="271" priority="524" stopIfTrue="1" operator="between">
      <formula>0</formula>
      <formula>1.94444444</formula>
    </cfRule>
  </conditionalFormatting>
  <conditionalFormatting sqref="AY21:AY50 CI21:CI50">
    <cfRule type="cellIs" dxfId="270" priority="525" stopIfTrue="1" operator="between">
      <formula>-10000</formula>
      <formula>0</formula>
    </cfRule>
  </conditionalFormatting>
  <conditionalFormatting sqref="AY52:AY53">
    <cfRule type="cellIs" dxfId="269" priority="451" stopIfTrue="1" operator="between">
      <formula>2</formula>
      <formula>1000</formula>
    </cfRule>
    <cfRule type="cellIs" dxfId="268" priority="452" stopIfTrue="1" operator="between">
      <formula>0</formula>
      <formula>1.94444444</formula>
    </cfRule>
  </conditionalFormatting>
  <conditionalFormatting sqref="AY52:AY54">
    <cfRule type="cellIs" dxfId="267" priority="453" stopIfTrue="1" operator="between">
      <formula>-10000</formula>
      <formula>0</formula>
    </cfRule>
  </conditionalFormatting>
  <conditionalFormatting sqref="BB4:BB19 BE19 BB52:BB54 BB56 BE56 BE50 BE54">
    <cfRule type="cellIs" dxfId="266" priority="152" stopIfTrue="1" operator="between">
      <formula>0</formula>
      <formula>0.149999</formula>
    </cfRule>
  </conditionalFormatting>
  <conditionalFormatting sqref="BB4:BB19 BE19 BB52:BB54 BB56 BE56">
    <cfRule type="cellIs" dxfId="265" priority="151" stopIfTrue="1" operator="between">
      <formula>-10000</formula>
      <formula>0</formula>
    </cfRule>
  </conditionalFormatting>
  <conditionalFormatting sqref="BB4:BB19 BE19 BE50 BB52:BB54 BE54 BB56 BE56">
    <cfRule type="cellIs" dxfId="264" priority="153" stopIfTrue="1" operator="between">
      <formula>0.145</formula>
      <formula>10000</formula>
    </cfRule>
  </conditionalFormatting>
  <conditionalFormatting sqref="BB21:BB50">
    <cfRule type="cellIs" dxfId="263" priority="146" stopIfTrue="1" operator="between">
      <formula>0</formula>
      <formula>0.149999</formula>
    </cfRule>
    <cfRule type="cellIs" dxfId="262" priority="147" stopIfTrue="1" operator="between">
      <formula>0.145</formula>
      <formula>10000</formula>
    </cfRule>
    <cfRule type="cellIs" dxfId="261" priority="145" stopIfTrue="1" operator="between">
      <formula>-10000</formula>
      <formula>0</formula>
    </cfRule>
  </conditionalFormatting>
  <conditionalFormatting sqref="BE21:BE49">
    <cfRule type="cellIs" dxfId="260" priority="148" stopIfTrue="1" operator="between">
      <formula>2</formula>
      <formula>1000</formula>
    </cfRule>
    <cfRule type="cellIs" dxfId="259" priority="149" stopIfTrue="1" operator="between">
      <formula>0</formula>
      <formula>1.94444444</formula>
    </cfRule>
  </conditionalFormatting>
  <conditionalFormatting sqref="BE21:BE50">
    <cfRule type="cellIs" dxfId="258" priority="150" stopIfTrue="1" operator="between">
      <formula>-10000</formula>
      <formula>0</formula>
    </cfRule>
  </conditionalFormatting>
  <conditionalFormatting sqref="BE52:BE53">
    <cfRule type="cellIs" dxfId="257" priority="143" stopIfTrue="1" operator="between">
      <formula>0</formula>
      <formula>1.94444444</formula>
    </cfRule>
    <cfRule type="cellIs" dxfId="256" priority="142" stopIfTrue="1" operator="between">
      <formula>2</formula>
      <formula>1000</formula>
    </cfRule>
  </conditionalFormatting>
  <conditionalFormatting sqref="BE52:BE54">
    <cfRule type="cellIs" dxfId="255" priority="144" stopIfTrue="1" operator="between">
      <formula>-10000</formula>
      <formula>0</formula>
    </cfRule>
  </conditionalFormatting>
  <conditionalFormatting sqref="BH4:BH19 BK19 BH52:BH54 BH56 BK56 BK50 BK54">
    <cfRule type="cellIs" dxfId="254" priority="140" stopIfTrue="1" operator="between">
      <formula>0</formula>
      <formula>0.149999</formula>
    </cfRule>
  </conditionalFormatting>
  <conditionalFormatting sqref="BH4:BH19 BK19 BH52:BH54 BH56 BK56">
    <cfRule type="cellIs" dxfId="253" priority="139" stopIfTrue="1" operator="between">
      <formula>-10000</formula>
      <formula>0</formula>
    </cfRule>
  </conditionalFormatting>
  <conditionalFormatting sqref="BH4:BH19 BK19 BK50 BH52:BH54 BK54 BH56 BK56">
    <cfRule type="cellIs" dxfId="252" priority="141" stopIfTrue="1" operator="between">
      <formula>0.145</formula>
      <formula>10000</formula>
    </cfRule>
  </conditionalFormatting>
  <conditionalFormatting sqref="BH21:BH50">
    <cfRule type="cellIs" dxfId="251" priority="133" stopIfTrue="1" operator="between">
      <formula>-10000</formula>
      <formula>0</formula>
    </cfRule>
    <cfRule type="cellIs" dxfId="250" priority="134" stopIfTrue="1" operator="between">
      <formula>0</formula>
      <formula>0.149999</formula>
    </cfRule>
    <cfRule type="cellIs" dxfId="249" priority="135" stopIfTrue="1" operator="between">
      <formula>0.145</formula>
      <formula>10000</formula>
    </cfRule>
  </conditionalFormatting>
  <conditionalFormatting sqref="BK21:BK49">
    <cfRule type="cellIs" dxfId="248" priority="137" stopIfTrue="1" operator="between">
      <formula>0</formula>
      <formula>1.94444444</formula>
    </cfRule>
    <cfRule type="cellIs" dxfId="247" priority="136" stopIfTrue="1" operator="between">
      <formula>2</formula>
      <formula>1000</formula>
    </cfRule>
  </conditionalFormatting>
  <conditionalFormatting sqref="BK21:BK50">
    <cfRule type="cellIs" dxfId="246" priority="138" stopIfTrue="1" operator="between">
      <formula>-10000</formula>
      <formula>0</formula>
    </cfRule>
  </conditionalFormatting>
  <conditionalFormatting sqref="BK52:BK53">
    <cfRule type="cellIs" dxfId="245" priority="131" stopIfTrue="1" operator="between">
      <formula>0</formula>
      <formula>1.94444444</formula>
    </cfRule>
    <cfRule type="cellIs" dxfId="244" priority="130" stopIfTrue="1" operator="between">
      <formula>2</formula>
      <formula>1000</formula>
    </cfRule>
  </conditionalFormatting>
  <conditionalFormatting sqref="BK52:BK54">
    <cfRule type="cellIs" dxfId="243" priority="132" stopIfTrue="1" operator="between">
      <formula>-10000</formula>
      <formula>0</formula>
    </cfRule>
  </conditionalFormatting>
  <conditionalFormatting sqref="BN4:BN19 BQ19 BN52:BN54 BN56 BQ56 BQ50 BQ54">
    <cfRule type="cellIs" dxfId="242" priority="128" stopIfTrue="1" operator="between">
      <formula>0</formula>
      <formula>0.149999</formula>
    </cfRule>
  </conditionalFormatting>
  <conditionalFormatting sqref="BN4:BN19 BQ19 BN52:BN54 BN56 BQ56">
    <cfRule type="cellIs" dxfId="241" priority="127" stopIfTrue="1" operator="between">
      <formula>-10000</formula>
      <formula>0</formula>
    </cfRule>
  </conditionalFormatting>
  <conditionalFormatting sqref="BN4:BN19 BQ19 BQ50 BN52:BN54 BQ54 BN56 BQ56">
    <cfRule type="cellIs" dxfId="240" priority="129" stopIfTrue="1" operator="between">
      <formula>0.145</formula>
      <formula>10000</formula>
    </cfRule>
  </conditionalFormatting>
  <conditionalFormatting sqref="BN21:BN50">
    <cfRule type="cellIs" dxfId="239" priority="123" stopIfTrue="1" operator="between">
      <formula>0.145</formula>
      <formula>10000</formula>
    </cfRule>
    <cfRule type="cellIs" dxfId="238" priority="122" stopIfTrue="1" operator="between">
      <formula>0</formula>
      <formula>0.149999</formula>
    </cfRule>
    <cfRule type="cellIs" dxfId="237" priority="121" stopIfTrue="1" operator="between">
      <formula>-10000</formula>
      <formula>0</formula>
    </cfRule>
  </conditionalFormatting>
  <conditionalFormatting sqref="BQ21:BQ49">
    <cfRule type="cellIs" dxfId="236" priority="124" stopIfTrue="1" operator="between">
      <formula>2</formula>
      <formula>1000</formula>
    </cfRule>
    <cfRule type="cellIs" dxfId="235" priority="125" stopIfTrue="1" operator="between">
      <formula>0</formula>
      <formula>1.94444444</formula>
    </cfRule>
  </conditionalFormatting>
  <conditionalFormatting sqref="BQ21:BQ50">
    <cfRule type="cellIs" dxfId="234" priority="126" stopIfTrue="1" operator="between">
      <formula>-10000</formula>
      <formula>0</formula>
    </cfRule>
  </conditionalFormatting>
  <conditionalFormatting sqref="BQ52:BQ53">
    <cfRule type="cellIs" dxfId="233" priority="119" stopIfTrue="1" operator="between">
      <formula>0</formula>
      <formula>1.94444444</formula>
    </cfRule>
    <cfRule type="cellIs" dxfId="232" priority="118" stopIfTrue="1" operator="between">
      <formula>2</formula>
      <formula>1000</formula>
    </cfRule>
  </conditionalFormatting>
  <conditionalFormatting sqref="BQ52:BQ54">
    <cfRule type="cellIs" dxfId="231" priority="120" stopIfTrue="1" operator="between">
      <formula>-10000</formula>
      <formula>0</formula>
    </cfRule>
  </conditionalFormatting>
  <conditionalFormatting sqref="BT4:BT19 BW19 BT52:BT54 BT56 BW56 BW50 BW54">
    <cfRule type="cellIs" dxfId="230" priority="116" stopIfTrue="1" operator="between">
      <formula>0</formula>
      <formula>0.149999</formula>
    </cfRule>
  </conditionalFormatting>
  <conditionalFormatting sqref="BT4:BT19 BW19 BT52:BT54 BT56 BW56">
    <cfRule type="cellIs" dxfId="229" priority="115" stopIfTrue="1" operator="between">
      <formula>-10000</formula>
      <formula>0</formula>
    </cfRule>
  </conditionalFormatting>
  <conditionalFormatting sqref="BT4:BT19 BW19 BW50 BT52:BT54 BW54 BT56 BW56">
    <cfRule type="cellIs" dxfId="228" priority="117" stopIfTrue="1" operator="between">
      <formula>0.145</formula>
      <formula>10000</formula>
    </cfRule>
  </conditionalFormatting>
  <conditionalFormatting sqref="BT21:BT50">
    <cfRule type="cellIs" dxfId="227" priority="111" stopIfTrue="1" operator="between">
      <formula>0.145</formula>
      <formula>10000</formula>
    </cfRule>
    <cfRule type="cellIs" dxfId="226" priority="109" stopIfTrue="1" operator="between">
      <formula>-10000</formula>
      <formula>0</formula>
    </cfRule>
    <cfRule type="cellIs" dxfId="225" priority="110" stopIfTrue="1" operator="between">
      <formula>0</formula>
      <formula>0.149999</formula>
    </cfRule>
  </conditionalFormatting>
  <conditionalFormatting sqref="BW21:BW49">
    <cfRule type="cellIs" dxfId="224" priority="113" stopIfTrue="1" operator="between">
      <formula>0</formula>
      <formula>1.94444444</formula>
    </cfRule>
    <cfRule type="cellIs" dxfId="223" priority="112" stopIfTrue="1" operator="between">
      <formula>2</formula>
      <formula>1000</formula>
    </cfRule>
  </conditionalFormatting>
  <conditionalFormatting sqref="BW21:BW50">
    <cfRule type="cellIs" dxfId="222" priority="114" stopIfTrue="1" operator="between">
      <formula>-10000</formula>
      <formula>0</formula>
    </cfRule>
  </conditionalFormatting>
  <conditionalFormatting sqref="BW52:BW53">
    <cfRule type="cellIs" dxfId="221" priority="106" stopIfTrue="1" operator="between">
      <formula>2</formula>
      <formula>1000</formula>
    </cfRule>
    <cfRule type="cellIs" dxfId="220" priority="107" stopIfTrue="1" operator="between">
      <formula>0</formula>
      <formula>1.94444444</formula>
    </cfRule>
  </conditionalFormatting>
  <conditionalFormatting sqref="BW52:BW54">
    <cfRule type="cellIs" dxfId="219" priority="108" stopIfTrue="1" operator="between">
      <formula>-10000</formula>
      <formula>0</formula>
    </cfRule>
  </conditionalFormatting>
  <conditionalFormatting sqref="BZ21:BZ50">
    <cfRule type="cellIs" dxfId="218" priority="367" stopIfTrue="1" operator="between">
      <formula>-10000</formula>
      <formula>0</formula>
    </cfRule>
    <cfRule type="cellIs" dxfId="217" priority="368" stopIfTrue="1" operator="between">
      <formula>0</formula>
      <formula>0.149999</formula>
    </cfRule>
    <cfRule type="cellIs" dxfId="216" priority="369" stopIfTrue="1" operator="between">
      <formula>0.145</formula>
      <formula>10000</formula>
    </cfRule>
  </conditionalFormatting>
  <conditionalFormatting sqref="CC21:CC34">
    <cfRule type="cellIs" dxfId="215" priority="374" stopIfTrue="1" operator="between">
      <formula>0</formula>
      <formula>1.94444444</formula>
    </cfRule>
    <cfRule type="cellIs" dxfId="214" priority="373" stopIfTrue="1" operator="between">
      <formula>2</formula>
      <formula>1000</formula>
    </cfRule>
  </conditionalFormatting>
  <conditionalFormatting sqref="CC21:CC38">
    <cfRule type="cellIs" dxfId="213" priority="375" stopIfTrue="1" operator="between">
      <formula>-10000</formula>
      <formula>0</formula>
    </cfRule>
  </conditionalFormatting>
  <conditionalFormatting sqref="CC52:CC53">
    <cfRule type="cellIs" dxfId="212" priority="365" stopIfTrue="1" operator="between">
      <formula>0</formula>
      <formula>1.94444444</formula>
    </cfRule>
    <cfRule type="cellIs" dxfId="211" priority="364" stopIfTrue="1" operator="between">
      <formula>2</formula>
      <formula>1000</formula>
    </cfRule>
  </conditionalFormatting>
  <conditionalFormatting sqref="CC52:CC54">
    <cfRule type="cellIs" dxfId="210" priority="366" stopIfTrue="1" operator="between">
      <formula>-10000</formula>
      <formula>0</formula>
    </cfRule>
  </conditionalFormatting>
  <conditionalFormatting sqref="CF4:CF18">
    <cfRule type="cellIs" dxfId="209" priority="1639" stopIfTrue="1" operator="between">
      <formula>0</formula>
      <formula>0.1444</formula>
    </cfRule>
    <cfRule type="cellIs" dxfId="208" priority="1640" stopIfTrue="1" operator="between">
      <formula>0.145</formula>
      <formula>10000</formula>
    </cfRule>
  </conditionalFormatting>
  <conditionalFormatting sqref="CF4:CF19">
    <cfRule type="cellIs" dxfId="207" priority="1638" stopIfTrue="1" operator="between">
      <formula>-10000</formula>
      <formula>0</formula>
    </cfRule>
  </conditionalFormatting>
  <conditionalFormatting sqref="CF21:CF49 DF21:DF49 EJ21:EJ49 EP21:EP49 FF21:FF49">
    <cfRule type="cellIs" dxfId="206" priority="512" stopIfTrue="1" operator="between">
      <formula>0</formula>
      <formula>0.1444</formula>
    </cfRule>
    <cfRule type="cellIs" dxfId="205" priority="513" stopIfTrue="1" operator="between">
      <formula>0.145</formula>
      <formula>10000</formula>
    </cfRule>
  </conditionalFormatting>
  <conditionalFormatting sqref="CF21:CF50 DF21:DF50 EJ21:EJ50 EP21:EP50 FF21:FF50">
    <cfRule type="cellIs" dxfId="204" priority="511" stopIfTrue="1" operator="between">
      <formula>-10000</formula>
      <formula>0</formula>
    </cfRule>
  </conditionalFormatting>
  <conditionalFormatting sqref="CF52:CF53">
    <cfRule type="cellIs" dxfId="203" priority="359" stopIfTrue="1" operator="between">
      <formula>0</formula>
      <formula>0.1444</formula>
    </cfRule>
    <cfRule type="cellIs" dxfId="202" priority="360" stopIfTrue="1" operator="between">
      <formula>0.145</formula>
      <formula>10000</formula>
    </cfRule>
  </conditionalFormatting>
  <conditionalFormatting sqref="CF52:CF54">
    <cfRule type="cellIs" dxfId="201" priority="358" stopIfTrue="1" operator="between">
      <formula>-10000</formula>
      <formula>0</formula>
    </cfRule>
  </conditionalFormatting>
  <conditionalFormatting sqref="CI4:CI18">
    <cfRule type="cellIs" dxfId="200" priority="1645" stopIfTrue="1" operator="between">
      <formula>0</formula>
      <formula>1.94444444</formula>
    </cfRule>
    <cfRule type="cellIs" dxfId="199" priority="1644" stopIfTrue="1" operator="between">
      <formula>2</formula>
      <formula>1000</formula>
    </cfRule>
    <cfRule type="cellIs" dxfId="198" priority="1646" stopIfTrue="1" operator="between">
      <formula>-10000</formula>
      <formula>0</formula>
    </cfRule>
  </conditionalFormatting>
  <conditionalFormatting sqref="CI19">
    <cfRule type="cellIs" dxfId="197" priority="658" stopIfTrue="1" operator="between">
      <formula>-10000</formula>
      <formula>0</formula>
    </cfRule>
    <cfRule type="cellIs" dxfId="196" priority="659" stopIfTrue="1" operator="between">
      <formula>0</formula>
      <formula>0.149999</formula>
    </cfRule>
    <cfRule type="cellIs" dxfId="195" priority="660" stopIfTrue="1" operator="between">
      <formula>0.145</formula>
      <formula>10000</formula>
    </cfRule>
  </conditionalFormatting>
  <conditionalFormatting sqref="CI52:CI53">
    <cfRule type="cellIs" dxfId="194" priority="362" stopIfTrue="1" operator="between">
      <formula>0</formula>
      <formula>1.94444444</formula>
    </cfRule>
    <cfRule type="cellIs" dxfId="193" priority="361" stopIfTrue="1" operator="between">
      <formula>2</formula>
      <formula>1000</formula>
    </cfRule>
  </conditionalFormatting>
  <conditionalFormatting sqref="CI52:CI54">
    <cfRule type="cellIs" dxfId="192" priority="363" stopIfTrue="1" operator="between">
      <formula>-10000</formula>
      <formula>0</formula>
    </cfRule>
  </conditionalFormatting>
  <conditionalFormatting sqref="CN21:CN50">
    <cfRule type="cellIs" dxfId="191" priority="105" stopIfTrue="1" operator="between">
      <formula>0.145</formula>
      <formula>10000</formula>
    </cfRule>
    <cfRule type="cellIs" dxfId="190" priority="103" stopIfTrue="1" operator="between">
      <formula>-10000</formula>
      <formula>0</formula>
    </cfRule>
    <cfRule type="cellIs" dxfId="189" priority="104" stopIfTrue="1" operator="between">
      <formula>0</formula>
      <formula>0.149999</formula>
    </cfRule>
  </conditionalFormatting>
  <conditionalFormatting sqref="CQ4:CQ19 CQ52:CQ54 CQ56">
    <cfRule type="cellIs" dxfId="188" priority="350" stopIfTrue="1" operator="between">
      <formula>0</formula>
      <formula>0.149999</formula>
    </cfRule>
    <cfRule type="cellIs" dxfId="187" priority="349" stopIfTrue="1" operator="between">
      <formula>-10000</formula>
      <formula>0</formula>
    </cfRule>
    <cfRule type="cellIs" dxfId="186" priority="351" stopIfTrue="1" operator="between">
      <formula>0.145</formula>
      <formula>10000</formula>
    </cfRule>
  </conditionalFormatting>
  <conditionalFormatting sqref="CQ21:CQ50">
    <cfRule type="cellIs" dxfId="185" priority="343" stopIfTrue="1" operator="between">
      <formula>-10000</formula>
      <formula>0</formula>
    </cfRule>
    <cfRule type="cellIs" dxfId="184" priority="344" stopIfTrue="1" operator="between">
      <formula>0</formula>
      <formula>0.149999</formula>
    </cfRule>
    <cfRule type="cellIs" dxfId="183" priority="345" stopIfTrue="1" operator="between">
      <formula>0.145</formula>
      <formula>10000</formula>
    </cfRule>
  </conditionalFormatting>
  <conditionalFormatting sqref="CT4:CT19 CT52:CT54 CT56">
    <cfRule type="cellIs" dxfId="182" priority="100" stopIfTrue="1" operator="between">
      <formula>-10000</formula>
      <formula>0</formula>
    </cfRule>
    <cfRule type="cellIs" dxfId="181" priority="101" stopIfTrue="1" operator="between">
      <formula>0</formula>
      <formula>0.149999</formula>
    </cfRule>
    <cfRule type="cellIs" dxfId="180" priority="102" stopIfTrue="1" operator="between">
      <formula>0.145</formula>
      <formula>10000</formula>
    </cfRule>
  </conditionalFormatting>
  <conditionalFormatting sqref="CT21:CT50">
    <cfRule type="cellIs" dxfId="179" priority="99" stopIfTrue="1" operator="between">
      <formula>0.145</formula>
      <formula>10000</formula>
    </cfRule>
    <cfRule type="cellIs" dxfId="178" priority="98" stopIfTrue="1" operator="between">
      <formula>0</formula>
      <formula>0.149999</formula>
    </cfRule>
    <cfRule type="cellIs" dxfId="177" priority="97" stopIfTrue="1" operator="between">
      <formula>-10000</formula>
      <formula>0</formula>
    </cfRule>
  </conditionalFormatting>
  <conditionalFormatting sqref="CW4:CW19 CW52:CW54 CW56">
    <cfRule type="cellIs" dxfId="176" priority="95" stopIfTrue="1" operator="between">
      <formula>0</formula>
      <formula>0.149999</formula>
    </cfRule>
    <cfRule type="cellIs" dxfId="175" priority="94" stopIfTrue="1" operator="between">
      <formula>-10000</formula>
      <formula>0</formula>
    </cfRule>
    <cfRule type="cellIs" dxfId="174" priority="96" stopIfTrue="1" operator="between">
      <formula>0.145</formula>
      <formula>10000</formula>
    </cfRule>
  </conditionalFormatting>
  <conditionalFormatting sqref="CW21:CW50">
    <cfRule type="cellIs" dxfId="173" priority="92" stopIfTrue="1" operator="between">
      <formula>0</formula>
      <formula>0.149999</formula>
    </cfRule>
    <cfRule type="cellIs" dxfId="172" priority="91" stopIfTrue="1" operator="between">
      <formula>-10000</formula>
      <formula>0</formula>
    </cfRule>
    <cfRule type="cellIs" dxfId="171" priority="93" stopIfTrue="1" operator="between">
      <formula>0.145</formula>
      <formula>10000</formula>
    </cfRule>
  </conditionalFormatting>
  <conditionalFormatting sqref="CZ4:CZ19 CZ52:CZ54 CZ56">
    <cfRule type="cellIs" dxfId="170" priority="90" stopIfTrue="1" operator="between">
      <formula>0.145</formula>
      <formula>10000</formula>
    </cfRule>
    <cfRule type="cellIs" dxfId="169" priority="89" stopIfTrue="1" operator="between">
      <formula>0</formula>
      <formula>0.149999</formula>
    </cfRule>
    <cfRule type="cellIs" dxfId="168" priority="88" stopIfTrue="1" operator="between">
      <formula>-10000</formula>
      <formula>0</formula>
    </cfRule>
  </conditionalFormatting>
  <conditionalFormatting sqref="CZ21:CZ50">
    <cfRule type="cellIs" dxfId="167" priority="86" stopIfTrue="1" operator="between">
      <formula>0</formula>
      <formula>0.149999</formula>
    </cfRule>
    <cfRule type="cellIs" dxfId="166" priority="87" stopIfTrue="1" operator="between">
      <formula>0.145</formula>
      <formula>10000</formula>
    </cfRule>
    <cfRule type="cellIs" dxfId="165" priority="85" stopIfTrue="1" operator="between">
      <formula>-10000</formula>
      <formula>0</formula>
    </cfRule>
  </conditionalFormatting>
  <conditionalFormatting sqref="DC21:DC50">
    <cfRule type="cellIs" dxfId="164" priority="84" stopIfTrue="1" operator="between">
      <formula>0.145</formula>
      <formula>10000</formula>
    </cfRule>
    <cfRule type="cellIs" dxfId="163" priority="83" stopIfTrue="1" operator="between">
      <formula>0</formula>
      <formula>0.149999</formula>
    </cfRule>
    <cfRule type="cellIs" dxfId="162" priority="82" stopIfTrue="1" operator="between">
      <formula>-10000</formula>
      <formula>0</formula>
    </cfRule>
  </conditionalFormatting>
  <conditionalFormatting sqref="DF4:DF18">
    <cfRule type="cellIs" dxfId="161" priority="306" stopIfTrue="1" operator="between">
      <formula>0.145</formula>
      <formula>10000</formula>
    </cfRule>
    <cfRule type="cellIs" dxfId="160" priority="305" stopIfTrue="1" operator="between">
      <formula>0</formula>
      <formula>0.1444</formula>
    </cfRule>
  </conditionalFormatting>
  <conditionalFormatting sqref="DF4:DF19">
    <cfRule type="cellIs" dxfId="159" priority="304" stopIfTrue="1" operator="between">
      <formula>-10000</formula>
      <formula>0</formula>
    </cfRule>
  </conditionalFormatting>
  <conditionalFormatting sqref="DF52:DF53">
    <cfRule type="cellIs" dxfId="158" priority="302" stopIfTrue="1" operator="between">
      <formula>0</formula>
      <formula>0.1444</formula>
    </cfRule>
    <cfRule type="cellIs" dxfId="157" priority="303" stopIfTrue="1" operator="between">
      <formula>0.145</formula>
      <formula>10000</formula>
    </cfRule>
  </conditionalFormatting>
  <conditionalFormatting sqref="DF52:DF54">
    <cfRule type="cellIs" dxfId="156" priority="301" stopIfTrue="1" operator="between">
      <formula>-10000</formula>
      <formula>0</formula>
    </cfRule>
  </conditionalFormatting>
  <conditionalFormatting sqref="DK21:DK50">
    <cfRule type="cellIs" dxfId="155" priority="66" stopIfTrue="1" operator="between">
      <formula>0.145</formula>
      <formula>10000</formula>
    </cfRule>
    <cfRule type="cellIs" dxfId="154" priority="65" stopIfTrue="1" operator="between">
      <formula>0</formula>
      <formula>0.149999</formula>
    </cfRule>
    <cfRule type="cellIs" dxfId="153" priority="64" stopIfTrue="1" operator="between">
      <formula>-10000</formula>
      <formula>0</formula>
    </cfRule>
  </conditionalFormatting>
  <conditionalFormatting sqref="DN4:DN19 DN52:DN54 DN56">
    <cfRule type="cellIs" dxfId="152" priority="77" stopIfTrue="1" operator="between">
      <formula>0</formula>
      <formula>0.149999</formula>
    </cfRule>
    <cfRule type="cellIs" dxfId="151" priority="76" stopIfTrue="1" operator="between">
      <formula>-10000</formula>
      <formula>0</formula>
    </cfRule>
    <cfRule type="cellIs" dxfId="150" priority="78" stopIfTrue="1" operator="between">
      <formula>0.145</formula>
      <formula>10000</formula>
    </cfRule>
  </conditionalFormatting>
  <conditionalFormatting sqref="DN21:DN50">
    <cfRule type="cellIs" dxfId="149" priority="73" stopIfTrue="1" operator="between">
      <formula>-10000</formula>
      <formula>0</formula>
    </cfRule>
    <cfRule type="cellIs" dxfId="148" priority="74" stopIfTrue="1" operator="between">
      <formula>0</formula>
      <formula>0.149999</formula>
    </cfRule>
    <cfRule type="cellIs" dxfId="147" priority="75" stopIfTrue="1" operator="between">
      <formula>0.145</formula>
      <formula>10000</formula>
    </cfRule>
  </conditionalFormatting>
  <conditionalFormatting sqref="DQ4:DQ19 DQ52:DQ54 DQ56">
    <cfRule type="cellIs" dxfId="146" priority="61" stopIfTrue="1" operator="between">
      <formula>-10000</formula>
      <formula>0</formula>
    </cfRule>
    <cfRule type="cellIs" dxfId="145" priority="62" stopIfTrue="1" operator="between">
      <formula>0</formula>
      <formula>0.149999</formula>
    </cfRule>
    <cfRule type="cellIs" dxfId="144" priority="63" stopIfTrue="1" operator="between">
      <formula>0.145</formula>
      <formula>10000</formula>
    </cfRule>
  </conditionalFormatting>
  <conditionalFormatting sqref="DQ21:DQ50">
    <cfRule type="cellIs" dxfId="143" priority="60" stopIfTrue="1" operator="between">
      <formula>0.145</formula>
      <formula>10000</formula>
    </cfRule>
    <cfRule type="cellIs" dxfId="142" priority="58" stopIfTrue="1" operator="between">
      <formula>-10000</formula>
      <formula>0</formula>
    </cfRule>
    <cfRule type="cellIs" dxfId="141" priority="59" stopIfTrue="1" operator="between">
      <formula>0</formula>
      <formula>0.149999</formula>
    </cfRule>
  </conditionalFormatting>
  <conditionalFormatting sqref="DT4:DT19 DT52:DT54 DT56">
    <cfRule type="cellIs" dxfId="140" priority="57" stopIfTrue="1" operator="between">
      <formula>0.145</formula>
      <formula>10000</formula>
    </cfRule>
    <cfRule type="cellIs" dxfId="139" priority="56" stopIfTrue="1" operator="between">
      <formula>0</formula>
      <formula>0.149999</formula>
    </cfRule>
    <cfRule type="cellIs" dxfId="138" priority="55" stopIfTrue="1" operator="between">
      <formula>-10000</formula>
      <formula>0</formula>
    </cfRule>
  </conditionalFormatting>
  <conditionalFormatting sqref="DT21:DT50">
    <cfRule type="cellIs" dxfId="137" priority="54" stopIfTrue="1" operator="between">
      <formula>0.145</formula>
      <formula>10000</formula>
    </cfRule>
    <cfRule type="cellIs" dxfId="136" priority="53" stopIfTrue="1" operator="between">
      <formula>0</formula>
      <formula>0.149999</formula>
    </cfRule>
    <cfRule type="cellIs" dxfId="135" priority="52" stopIfTrue="1" operator="between">
      <formula>-10000</formula>
      <formula>0</formula>
    </cfRule>
  </conditionalFormatting>
  <conditionalFormatting sqref="DW4:DW19 DW52:DW54 DW56">
    <cfRule type="cellIs" dxfId="134" priority="51" stopIfTrue="1" operator="between">
      <formula>0.145</formula>
      <formula>10000</formula>
    </cfRule>
    <cfRule type="cellIs" dxfId="133" priority="50" stopIfTrue="1" operator="between">
      <formula>0</formula>
      <formula>0.149999</formula>
    </cfRule>
    <cfRule type="cellIs" dxfId="132" priority="49" stopIfTrue="1" operator="between">
      <formula>-10000</formula>
      <formula>0</formula>
    </cfRule>
  </conditionalFormatting>
  <conditionalFormatting sqref="DW21:DW50">
    <cfRule type="cellIs" dxfId="131" priority="47" stopIfTrue="1" operator="between">
      <formula>0</formula>
      <formula>0.149999</formula>
    </cfRule>
    <cfRule type="cellIs" dxfId="130" priority="46" stopIfTrue="1" operator="between">
      <formula>-10000</formula>
      <formula>0</formula>
    </cfRule>
    <cfRule type="cellIs" dxfId="129" priority="48" stopIfTrue="1" operator="between">
      <formula>0.145</formula>
      <formula>10000</formula>
    </cfRule>
  </conditionalFormatting>
  <conditionalFormatting sqref="DZ21:DZ50">
    <cfRule type="cellIs" dxfId="128" priority="45" stopIfTrue="1" operator="between">
      <formula>0.145</formula>
      <formula>10000</formula>
    </cfRule>
    <cfRule type="cellIs" dxfId="127" priority="44" stopIfTrue="1" operator="between">
      <formula>0</formula>
      <formula>0.149999</formula>
    </cfRule>
    <cfRule type="cellIs" dxfId="126" priority="43" stopIfTrue="1" operator="between">
      <formula>-10000</formula>
      <formula>0</formula>
    </cfRule>
  </conditionalFormatting>
  <conditionalFormatting sqref="EC4:EC18">
    <cfRule type="cellIs" dxfId="125" priority="72" stopIfTrue="1" operator="between">
      <formula>0.145</formula>
      <formula>10000</formula>
    </cfRule>
    <cfRule type="cellIs" dxfId="124" priority="71" stopIfTrue="1" operator="between">
      <formula>0</formula>
      <formula>0.1444</formula>
    </cfRule>
  </conditionalFormatting>
  <conditionalFormatting sqref="EC4:EC19">
    <cfRule type="cellIs" dxfId="123" priority="70" stopIfTrue="1" operator="between">
      <formula>-10000</formula>
      <formula>0</formula>
    </cfRule>
  </conditionalFormatting>
  <conditionalFormatting sqref="EC21:EC49">
    <cfRule type="cellIs" dxfId="122" priority="80" stopIfTrue="1" operator="between">
      <formula>0</formula>
      <formula>0.1444</formula>
    </cfRule>
    <cfRule type="cellIs" dxfId="121" priority="81" stopIfTrue="1" operator="between">
      <formula>0.145</formula>
      <formula>10000</formula>
    </cfRule>
  </conditionalFormatting>
  <conditionalFormatting sqref="EC21:EC50">
    <cfRule type="cellIs" dxfId="120" priority="79" stopIfTrue="1" operator="between">
      <formula>-10000</formula>
      <formula>0</formula>
    </cfRule>
  </conditionalFormatting>
  <conditionalFormatting sqref="EC52:EC53">
    <cfRule type="cellIs" dxfId="119" priority="69" stopIfTrue="1" operator="between">
      <formula>0.145</formula>
      <formula>10000</formula>
    </cfRule>
    <cfRule type="cellIs" dxfId="118" priority="68" stopIfTrue="1" operator="between">
      <formula>0</formula>
      <formula>0.1444</formula>
    </cfRule>
  </conditionalFormatting>
  <conditionalFormatting sqref="EC52:EC54">
    <cfRule type="cellIs" dxfId="117" priority="67" stopIfTrue="1" operator="between">
      <formula>-10000</formula>
      <formula>0</formula>
    </cfRule>
  </conditionalFormatting>
  <conditionalFormatting sqref="EF4:EF18 EX4:EX18 EX39:EX49">
    <cfRule type="cellIs" dxfId="116" priority="1701" stopIfTrue="1" operator="between">
      <formula>0.9</formula>
      <formula>2</formula>
    </cfRule>
    <cfRule type="cellIs" dxfId="115" priority="1702" stopIfTrue="1" operator="between">
      <formula>0.75</formula>
      <formula>0.899999999</formula>
    </cfRule>
    <cfRule type="cellIs" dxfId="114" priority="1703" stopIfTrue="1" operator="between">
      <formula>0</formula>
      <formula>0.7499999999</formula>
    </cfRule>
  </conditionalFormatting>
  <conditionalFormatting sqref="EF52:EF53">
    <cfRule type="cellIs" dxfId="113" priority="240" stopIfTrue="1" operator="between">
      <formula>0</formula>
      <formula>0.7499999999</formula>
    </cfRule>
    <cfRule type="cellIs" dxfId="112" priority="238" stopIfTrue="1" operator="between">
      <formula>0.9</formula>
      <formula>2</formula>
    </cfRule>
    <cfRule type="cellIs" dxfId="111" priority="239" stopIfTrue="1" operator="between">
      <formula>0.75</formula>
      <formula>0.899999999</formula>
    </cfRule>
  </conditionalFormatting>
  <conditionalFormatting sqref="EG4:EG11 EY4:EY11 EG14:EG18 EY15:EY18 EY30:EY34 EG32:EG33 EG35:EG38 EY39:EY41 EG40 EG42 EY43 EG44:EG49 EY45:EY49">
    <cfRule type="cellIs" dxfId="110" priority="1700" stopIfTrue="1" operator="between">
      <formula>0.644444444</formula>
      <formula>2</formula>
    </cfRule>
  </conditionalFormatting>
  <conditionalFormatting sqref="EG4:EG11 EY4:EY11 EG14:EG18 EY15:EY18 EY30:EY34 EY39:EY41 EY43 EY45:EY49 EG32:EG33 EG35:EG38 EG40 EG42 EG44:EG49">
    <cfRule type="cellIs" dxfId="109" priority="1699" stopIfTrue="1" operator="between">
      <formula>0.355</formula>
      <formula>0.644999999</formula>
    </cfRule>
  </conditionalFormatting>
  <conditionalFormatting sqref="EG4:EG11 EY4:EY18 EG14:EG18 EY30:EY34 EY39:EY41 EY43:EY49">
    <cfRule type="cellIs" dxfId="108" priority="1698" stopIfTrue="1" operator="between">
      <formula>0</formula>
      <formula>0.354</formula>
    </cfRule>
  </conditionalFormatting>
  <conditionalFormatting sqref="EG12:EG13 EG24 EY42 EG22">
    <cfRule type="cellIs" dxfId="107" priority="1727" stopIfTrue="1" operator="between">
      <formula>0.64444</formula>
      <formula>2</formula>
    </cfRule>
  </conditionalFormatting>
  <conditionalFormatting sqref="EG12:EG13 EG24 EY42">
    <cfRule type="cellIs" dxfId="106" priority="1725" stopIfTrue="1" operator="between">
      <formula>0</formula>
      <formula>0.3599999</formula>
    </cfRule>
  </conditionalFormatting>
  <conditionalFormatting sqref="EG12:EG13 EG24:EG25 EY42">
    <cfRule type="cellIs" dxfId="105" priority="1726" stopIfTrue="1" operator="between">
      <formula>0.355</formula>
      <formula>0.644</formula>
    </cfRule>
  </conditionalFormatting>
  <conditionalFormatting sqref="EG21">
    <cfRule type="cellIs" dxfId="104" priority="602" stopIfTrue="1" operator="between">
      <formula>0.355</formula>
      <formula>0.644</formula>
    </cfRule>
    <cfRule type="cellIs" dxfId="103" priority="603" stopIfTrue="1" operator="between">
      <formula>0.64444</formula>
      <formula>2</formula>
    </cfRule>
  </conditionalFormatting>
  <conditionalFormatting sqref="EG21:EG22">
    <cfRule type="cellIs" dxfId="102" priority="601" stopIfTrue="1" operator="between">
      <formula>0</formula>
      <formula>0.3599999</formula>
    </cfRule>
  </conditionalFormatting>
  <conditionalFormatting sqref="EG22:EG23">
    <cfRule type="cellIs" dxfId="101" priority="1708" stopIfTrue="1" operator="between">
      <formula>0.355</formula>
      <formula>0.644</formula>
    </cfRule>
  </conditionalFormatting>
  <conditionalFormatting sqref="EG23">
    <cfRule type="cellIs" dxfId="100" priority="1707" stopIfTrue="1" operator="between">
      <formula>0</formula>
      <formula>0.354</formula>
    </cfRule>
    <cfRule type="cellIs" dxfId="99" priority="1709" stopIfTrue="1" operator="between">
      <formula>0.644444</formula>
      <formula>2</formula>
    </cfRule>
  </conditionalFormatting>
  <conditionalFormatting sqref="EG25">
    <cfRule type="cellIs" dxfId="98" priority="1751" stopIfTrue="1" operator="between">
      <formula>0.64499999</formula>
      <formula>2</formula>
    </cfRule>
  </conditionalFormatting>
  <conditionalFormatting sqref="EG31">
    <cfRule type="cellIs" dxfId="97" priority="1744" stopIfTrue="1" operator="between">
      <formula>0.355</formula>
      <formula>0.6444444</formula>
    </cfRule>
    <cfRule type="cellIs" dxfId="96" priority="1745" stopIfTrue="1" operator="between">
      <formula>0.645</formula>
      <formula>2</formula>
    </cfRule>
  </conditionalFormatting>
  <conditionalFormatting sqref="EG34">
    <cfRule type="cellIs" dxfId="95" priority="1763" stopIfTrue="1" operator="between">
      <formula>0.644444</formula>
      <formula>2</formula>
    </cfRule>
    <cfRule type="cellIs" dxfId="94" priority="1762" stopIfTrue="1" operator="between">
      <formula>0.355</formula>
      <formula>0.64444</formula>
    </cfRule>
  </conditionalFormatting>
  <conditionalFormatting sqref="EG39">
    <cfRule type="cellIs" dxfId="93" priority="1747" stopIfTrue="1" operator="between">
      <formula>0.355</formula>
      <formula>0.644</formula>
    </cfRule>
    <cfRule type="cellIs" dxfId="92" priority="1748" stopIfTrue="1" operator="between">
      <formula>0.6455555</formula>
      <formula>2</formula>
    </cfRule>
  </conditionalFormatting>
  <conditionalFormatting sqref="EG41">
    <cfRule type="cellIs" dxfId="91" priority="1738" stopIfTrue="1" operator="between">
      <formula>0.355</formula>
      <formula>0.644</formula>
    </cfRule>
    <cfRule type="cellIs" dxfId="90" priority="1739" stopIfTrue="1" operator="between">
      <formula>0.6449999</formula>
      <formula>2</formula>
    </cfRule>
  </conditionalFormatting>
  <conditionalFormatting sqref="EG43">
    <cfRule type="cellIs" dxfId="89" priority="1754" stopIfTrue="1" operator="between">
      <formula>0.65</formula>
      <formula>2</formula>
    </cfRule>
    <cfRule type="cellIs" dxfId="88" priority="1753" stopIfTrue="1" operator="between">
      <formula>0.355</formula>
      <formula>0.6499999</formula>
    </cfRule>
  </conditionalFormatting>
  <conditionalFormatting sqref="EG52:EG53">
    <cfRule type="cellIs" dxfId="87" priority="237" stopIfTrue="1" operator="between">
      <formula>0.644444444</formula>
      <formula>2</formula>
    </cfRule>
    <cfRule type="cellIs" dxfId="86" priority="236" stopIfTrue="1" operator="between">
      <formula>0.355</formula>
      <formula>0.644999999</formula>
    </cfRule>
    <cfRule type="cellIs" dxfId="85" priority="235" stopIfTrue="1" operator="between">
      <formula>0</formula>
      <formula>0.354</formula>
    </cfRule>
  </conditionalFormatting>
  <conditionalFormatting sqref="EJ4:EJ18">
    <cfRule type="cellIs" dxfId="84" priority="747" stopIfTrue="1" operator="between">
      <formula>0.145</formula>
      <formula>10000</formula>
    </cfRule>
    <cfRule type="cellIs" dxfId="83" priority="746" stopIfTrue="1" operator="between">
      <formula>0</formula>
      <formula>0.1444</formula>
    </cfRule>
  </conditionalFormatting>
  <conditionalFormatting sqref="EJ4:EJ19">
    <cfRule type="cellIs" dxfId="82" priority="745" stopIfTrue="1" operator="between">
      <formula>-10000</formula>
      <formula>0</formula>
    </cfRule>
  </conditionalFormatting>
  <conditionalFormatting sqref="EJ52:EJ54">
    <cfRule type="cellIs" dxfId="81" priority="229" stopIfTrue="1" operator="between">
      <formula>-10000</formula>
      <formula>0</formula>
    </cfRule>
    <cfRule type="cellIs" dxfId="80" priority="230" stopIfTrue="1" operator="between">
      <formula>0</formula>
      <formula>0.1444</formula>
    </cfRule>
    <cfRule type="cellIs" dxfId="79" priority="231" stopIfTrue="1" operator="between">
      <formula>0.145</formula>
      <formula>10000</formula>
    </cfRule>
  </conditionalFormatting>
  <conditionalFormatting sqref="EM4:EM18">
    <cfRule type="cellIs" dxfId="78" priority="39" stopIfTrue="1" operator="between">
      <formula>0.145</formula>
      <formula>10000</formula>
    </cfRule>
    <cfRule type="cellIs" dxfId="77" priority="38" stopIfTrue="1" operator="between">
      <formula>0</formula>
      <formula>0.1444</formula>
    </cfRule>
  </conditionalFormatting>
  <conditionalFormatting sqref="EM4:EM19">
    <cfRule type="cellIs" dxfId="76" priority="37" stopIfTrue="1" operator="between">
      <formula>-10000</formula>
      <formula>0</formula>
    </cfRule>
  </conditionalFormatting>
  <conditionalFormatting sqref="EM19 EM50 EM56">
    <cfRule type="cellIs" dxfId="75" priority="42" stopIfTrue="1" operator="between">
      <formula>0.145</formula>
      <formula>10000</formula>
    </cfRule>
  </conditionalFormatting>
  <conditionalFormatting sqref="EM21:EM49">
    <cfRule type="cellIs" dxfId="74" priority="36" stopIfTrue="1" operator="between">
      <formula>0.145</formula>
      <formula>10000</formula>
    </cfRule>
    <cfRule type="cellIs" dxfId="73" priority="35" stopIfTrue="1" operator="between">
      <formula>0</formula>
      <formula>0.1444</formula>
    </cfRule>
  </conditionalFormatting>
  <conditionalFormatting sqref="EM21:EM50">
    <cfRule type="cellIs" dxfId="72" priority="34" stopIfTrue="1" operator="between">
      <formula>-10000</formula>
      <formula>0</formula>
    </cfRule>
  </conditionalFormatting>
  <conditionalFormatting sqref="EM52:EM54">
    <cfRule type="cellIs" dxfId="71" priority="32" stopIfTrue="1" operator="between">
      <formula>0</formula>
      <formula>0.1444</formula>
    </cfRule>
    <cfRule type="cellIs" dxfId="70" priority="31" stopIfTrue="1" operator="between">
      <formula>-10000</formula>
      <formula>0</formula>
    </cfRule>
    <cfRule type="cellIs" dxfId="69" priority="33" stopIfTrue="1" operator="between">
      <formula>0.145</formula>
      <formula>10000</formula>
    </cfRule>
  </conditionalFormatting>
  <conditionalFormatting sqref="EM56 EM19 EM50">
    <cfRule type="cellIs" dxfId="68" priority="41" stopIfTrue="1" operator="between">
      <formula>0</formula>
      <formula>0.149999</formula>
    </cfRule>
  </conditionalFormatting>
  <conditionalFormatting sqref="EM56">
    <cfRule type="cellIs" dxfId="67" priority="40" stopIfTrue="1" operator="between">
      <formula>-10000</formula>
      <formula>0</formula>
    </cfRule>
  </conditionalFormatting>
  <conditionalFormatting sqref="EP4:EP18">
    <cfRule type="cellIs" dxfId="66" priority="30" stopIfTrue="1" operator="between">
      <formula>0.145</formula>
      <formula>10000</formula>
    </cfRule>
    <cfRule type="cellIs" dxfId="65" priority="29" stopIfTrue="1" operator="between">
      <formula>0</formula>
      <formula>0.1444</formula>
    </cfRule>
  </conditionalFormatting>
  <conditionalFormatting sqref="EP4:EP19">
    <cfRule type="cellIs" dxfId="64" priority="28" stopIfTrue="1" operator="between">
      <formula>-10000</formula>
      <formula>0</formula>
    </cfRule>
  </conditionalFormatting>
  <conditionalFormatting sqref="EP52:EP54">
    <cfRule type="cellIs" dxfId="63" priority="27" stopIfTrue="1" operator="between">
      <formula>0.145</formula>
      <formula>10000</formula>
    </cfRule>
    <cfRule type="cellIs" dxfId="62" priority="26" stopIfTrue="1" operator="between">
      <formula>0</formula>
      <formula>0.1444</formula>
    </cfRule>
    <cfRule type="cellIs" dxfId="61" priority="25" stopIfTrue="1" operator="between">
      <formula>-10000</formula>
      <formula>0</formula>
    </cfRule>
  </conditionalFormatting>
  <conditionalFormatting sqref="ES4:ES18">
    <cfRule type="cellIs" dxfId="60" priority="20" stopIfTrue="1" operator="between">
      <formula>0</formula>
      <formula>0.1444</formula>
    </cfRule>
    <cfRule type="cellIs" dxfId="59" priority="21" stopIfTrue="1" operator="between">
      <formula>0.145</formula>
      <formula>10000</formula>
    </cfRule>
  </conditionalFormatting>
  <conditionalFormatting sqref="ES4:ES19">
    <cfRule type="cellIs" dxfId="58" priority="19" stopIfTrue="1" operator="between">
      <formula>-10000</formula>
      <formula>0</formula>
    </cfRule>
  </conditionalFormatting>
  <conditionalFormatting sqref="ES19 ES50 ES56">
    <cfRule type="cellIs" dxfId="57" priority="24" stopIfTrue="1" operator="between">
      <formula>0.145</formula>
      <formula>10000</formula>
    </cfRule>
  </conditionalFormatting>
  <conditionalFormatting sqref="ES21:ES49">
    <cfRule type="cellIs" dxfId="56" priority="18" stopIfTrue="1" operator="between">
      <formula>0.145</formula>
      <formula>10000</formula>
    </cfRule>
    <cfRule type="cellIs" dxfId="55" priority="17" stopIfTrue="1" operator="between">
      <formula>0</formula>
      <formula>0.1444</formula>
    </cfRule>
  </conditionalFormatting>
  <conditionalFormatting sqref="ES21:ES50">
    <cfRule type="cellIs" dxfId="54" priority="16" stopIfTrue="1" operator="between">
      <formula>-10000</formula>
      <formula>0</formula>
    </cfRule>
  </conditionalFormatting>
  <conditionalFormatting sqref="ES52:ES54">
    <cfRule type="cellIs" dxfId="53" priority="15" stopIfTrue="1" operator="between">
      <formula>0.145</formula>
      <formula>10000</formula>
    </cfRule>
    <cfRule type="cellIs" dxfId="52" priority="14" stopIfTrue="1" operator="between">
      <formula>0</formula>
      <formula>0.1444</formula>
    </cfRule>
    <cfRule type="cellIs" dxfId="51" priority="13" stopIfTrue="1" operator="between">
      <formula>-10000</formula>
      <formula>0</formula>
    </cfRule>
  </conditionalFormatting>
  <conditionalFormatting sqref="ES56 ES19 ES50">
    <cfRule type="cellIs" dxfId="50" priority="23" stopIfTrue="1" operator="between">
      <formula>0</formula>
      <formula>0.149999</formula>
    </cfRule>
  </conditionalFormatting>
  <conditionalFormatting sqref="ES56">
    <cfRule type="cellIs" dxfId="49" priority="22" stopIfTrue="1" operator="between">
      <formula>-10000</formula>
      <formula>0</formula>
    </cfRule>
  </conditionalFormatting>
  <conditionalFormatting sqref="EV4:EV18">
    <cfRule type="cellIs" dxfId="48" priority="8" stopIfTrue="1" operator="between">
      <formula>0</formula>
      <formula>0.1444</formula>
    </cfRule>
    <cfRule type="cellIs" dxfId="47" priority="9" stopIfTrue="1" operator="between">
      <formula>0.145</formula>
      <formula>10000</formula>
    </cfRule>
  </conditionalFormatting>
  <conditionalFormatting sqref="EV4:EV19">
    <cfRule type="cellIs" dxfId="46" priority="7" stopIfTrue="1" operator="between">
      <formula>-10000</formula>
      <formula>0</formula>
    </cfRule>
  </conditionalFormatting>
  <conditionalFormatting sqref="EV19 EV50 EV56">
    <cfRule type="cellIs" dxfId="45" priority="12" stopIfTrue="1" operator="between">
      <formula>0.145</formula>
      <formula>10000</formula>
    </cfRule>
  </conditionalFormatting>
  <conditionalFormatting sqref="EV21:EV49">
    <cfRule type="cellIs" dxfId="44" priority="5" stopIfTrue="1" operator="between">
      <formula>0</formula>
      <formula>0.1444</formula>
    </cfRule>
    <cfRule type="cellIs" dxfId="43" priority="6" stopIfTrue="1" operator="between">
      <formula>0.145</formula>
      <formula>10000</formula>
    </cfRule>
  </conditionalFormatting>
  <conditionalFormatting sqref="EV21:EV50">
    <cfRule type="cellIs" dxfId="42" priority="4" stopIfTrue="1" operator="between">
      <formula>-10000</formula>
      <formula>0</formula>
    </cfRule>
  </conditionalFormatting>
  <conditionalFormatting sqref="EV52:EV54">
    <cfRule type="cellIs" dxfId="41" priority="2" stopIfTrue="1" operator="between">
      <formula>0</formula>
      <formula>0.1444</formula>
    </cfRule>
    <cfRule type="cellIs" dxfId="40" priority="1" stopIfTrue="1" operator="between">
      <formula>-10000</formula>
      <formula>0</formula>
    </cfRule>
    <cfRule type="cellIs" dxfId="39" priority="3" stopIfTrue="1" operator="between">
      <formula>0.145</formula>
      <formula>10000</formula>
    </cfRule>
  </conditionalFormatting>
  <conditionalFormatting sqref="EV56 EV19 EV50">
    <cfRule type="cellIs" dxfId="38" priority="11" stopIfTrue="1" operator="between">
      <formula>0</formula>
      <formula>0.149999</formula>
    </cfRule>
  </conditionalFormatting>
  <conditionalFormatting sqref="EV56">
    <cfRule type="cellIs" dxfId="37" priority="10" stopIfTrue="1" operator="between">
      <formula>-10000</formula>
      <formula>0</formula>
    </cfRule>
  </conditionalFormatting>
  <conditionalFormatting sqref="EX21:EX34 EF21:EF49">
    <cfRule type="cellIs" dxfId="36" priority="595" stopIfTrue="1" operator="between">
      <formula>0.9</formula>
      <formula>2</formula>
    </cfRule>
    <cfRule type="cellIs" dxfId="35" priority="597" stopIfTrue="1" operator="between">
      <formula>0</formula>
      <formula>0.7499999999</formula>
    </cfRule>
    <cfRule type="cellIs" dxfId="34" priority="596" stopIfTrue="1" operator="between">
      <formula>0.75</formula>
      <formula>0.899999999</formula>
    </cfRule>
  </conditionalFormatting>
  <conditionalFormatting sqref="EX52:EX53">
    <cfRule type="cellIs" dxfId="33" priority="233" stopIfTrue="1" operator="between">
      <formula>0.75</formula>
      <formula>0.899999999</formula>
    </cfRule>
    <cfRule type="cellIs" dxfId="32" priority="234" stopIfTrue="1" operator="between">
      <formula>0</formula>
      <formula>0.7499999999</formula>
    </cfRule>
    <cfRule type="cellIs" dxfId="31" priority="232" stopIfTrue="1" operator="between">
      <formula>0.9</formula>
      <formula>2</formula>
    </cfRule>
  </conditionalFormatting>
  <conditionalFormatting sqref="EY12:EY14">
    <cfRule type="cellIs" dxfId="30" priority="1736" stopIfTrue="1" operator="between">
      <formula>0.644999999</formula>
      <formula>2</formula>
    </cfRule>
    <cfRule type="cellIs" dxfId="29" priority="1735" stopIfTrue="1" operator="between">
      <formula>0.355</formula>
      <formula>0.64499999</formula>
    </cfRule>
  </conditionalFormatting>
  <conditionalFormatting sqref="EY21:EY27 EG25:EG49">
    <cfRule type="cellIs" dxfId="28" priority="517" stopIfTrue="1" operator="between">
      <formula>0</formula>
      <formula>0.354</formula>
    </cfRule>
  </conditionalFormatting>
  <conditionalFormatting sqref="EY21:EY27 EG26:EG30">
    <cfRule type="cellIs" dxfId="27" priority="519" stopIfTrue="1" operator="between">
      <formula>0.644444444</formula>
      <formula>2</formula>
    </cfRule>
    <cfRule type="cellIs" dxfId="26" priority="518" stopIfTrue="1" operator="between">
      <formula>0.355</formula>
      <formula>0.644999999</formula>
    </cfRule>
  </conditionalFormatting>
  <conditionalFormatting sqref="EY28:EY29">
    <cfRule type="cellIs" dxfId="25" priority="1732" stopIfTrue="1" operator="between">
      <formula>0.35555555</formula>
      <formula>0.644</formula>
    </cfRule>
    <cfRule type="cellIs" dxfId="24" priority="1731" stopIfTrue="1" operator="between">
      <formula>0</formula>
      <formula>0.354999999</formula>
    </cfRule>
    <cfRule type="cellIs" dxfId="23" priority="1733" stopIfTrue="1" operator="between">
      <formula>0.65</formula>
      <formula>2</formula>
    </cfRule>
  </conditionalFormatting>
  <conditionalFormatting sqref="EY44">
    <cfRule type="cellIs" dxfId="22" priority="1771" stopIfTrue="1" operator="between">
      <formula>0.355</formula>
      <formula>0.649999</formula>
    </cfRule>
    <cfRule type="cellIs" dxfId="21" priority="1772" stopIfTrue="1" operator="between">
      <formula>0.65</formula>
      <formula>2</formula>
    </cfRule>
  </conditionalFormatting>
  <conditionalFormatting sqref="FB4:FB18">
    <cfRule type="cellIs" dxfId="20" priority="168" stopIfTrue="1" operator="between">
      <formula>0.145</formula>
      <formula>10000</formula>
    </cfRule>
    <cfRule type="cellIs" dxfId="19" priority="167" stopIfTrue="1" operator="between">
      <formula>0</formula>
      <formula>0.1444</formula>
    </cfRule>
  </conditionalFormatting>
  <conditionalFormatting sqref="FB4:FB19">
    <cfRule type="cellIs" dxfId="18" priority="166" stopIfTrue="1" operator="between">
      <formula>-10000</formula>
      <formula>0</formula>
    </cfRule>
  </conditionalFormatting>
  <conditionalFormatting sqref="FB19 FB22:FB50 FB56">
    <cfRule type="cellIs" dxfId="17" priority="174" stopIfTrue="1" operator="between">
      <formula>0.145</formula>
      <formula>10000</formula>
    </cfRule>
  </conditionalFormatting>
  <conditionalFormatting sqref="FB21">
    <cfRule type="cellIs" dxfId="16" priority="165" stopIfTrue="1" operator="between">
      <formula>0.145</formula>
      <formula>10000</formula>
    </cfRule>
  </conditionalFormatting>
  <conditionalFormatting sqref="FB21:FB49">
    <cfRule type="cellIs" dxfId="15" priority="164" stopIfTrue="1" operator="between">
      <formula>0</formula>
      <formula>0.1444</formula>
    </cfRule>
  </conditionalFormatting>
  <conditionalFormatting sqref="FB21:FB50">
    <cfRule type="cellIs" dxfId="14" priority="163" stopIfTrue="1" operator="between">
      <formula>-10000</formula>
      <formula>0</formula>
    </cfRule>
  </conditionalFormatting>
  <conditionalFormatting sqref="FB52:FB54">
    <cfRule type="cellIs" dxfId="13" priority="162" stopIfTrue="1" operator="between">
      <formula>0.145</formula>
      <formula>10000</formula>
    </cfRule>
    <cfRule type="cellIs" dxfId="12" priority="161" stopIfTrue="1" operator="between">
      <formula>0</formula>
      <formula>0.1444</formula>
    </cfRule>
    <cfRule type="cellIs" dxfId="11" priority="160" stopIfTrue="1" operator="between">
      <formula>-10000</formula>
      <formula>0</formula>
    </cfRule>
  </conditionalFormatting>
  <conditionalFormatting sqref="FB56 FB19 FB50">
    <cfRule type="cellIs" dxfId="10" priority="173" stopIfTrue="1" operator="between">
      <formula>0</formula>
      <formula>0.149999</formula>
    </cfRule>
  </conditionalFormatting>
  <conditionalFormatting sqref="FB56">
    <cfRule type="cellIs" dxfId="9" priority="172" stopIfTrue="1" operator="between">
      <formula>-10000</formula>
      <formula>0</formula>
    </cfRule>
  </conditionalFormatting>
  <conditionalFormatting sqref="FF4:FF18">
    <cfRule type="cellIs" dxfId="8" priority="725" stopIfTrue="1" operator="between">
      <formula>0</formula>
      <formula>0.1444</formula>
    </cfRule>
    <cfRule type="cellIs" dxfId="7" priority="726" stopIfTrue="1" operator="between">
      <formula>0.145</formula>
      <formula>10000</formula>
    </cfRule>
  </conditionalFormatting>
  <conditionalFormatting sqref="FF4:FF19">
    <cfRule type="cellIs" dxfId="6" priority="724" stopIfTrue="1" operator="between">
      <formula>-10000</formula>
      <formula>0</formula>
    </cfRule>
  </conditionalFormatting>
  <conditionalFormatting sqref="FF52:FF54">
    <cfRule type="cellIs" dxfId="5" priority="159" stopIfTrue="1" operator="between">
      <formula>0.145</formula>
      <formula>10000</formula>
    </cfRule>
    <cfRule type="cellIs" dxfId="4" priority="158" stopIfTrue="1" operator="between">
      <formula>0</formula>
      <formula>0.1444</formula>
    </cfRule>
    <cfRule type="cellIs" dxfId="3" priority="157" stopIfTrue="1" operator="between">
      <formula>-10000</formula>
      <formula>0</formula>
    </cfRule>
  </conditionalFormatting>
  <conditionalFormatting sqref="FF56">
    <cfRule type="cellIs" dxfId="2" priority="155" stopIfTrue="1" operator="between">
      <formula>0</formula>
      <formula>0.1444</formula>
    </cfRule>
    <cfRule type="cellIs" dxfId="1" priority="156" stopIfTrue="1" operator="between">
      <formula>0.145</formula>
      <formula>10000</formula>
    </cfRule>
    <cfRule type="cellIs" dxfId="0" priority="154" stopIfTrue="1" operator="between">
      <formula>-10000</formula>
      <formula>0</formula>
    </cfRule>
  </conditionalFormatting>
  <printOptions horizontalCentered="1"/>
  <pageMargins left="0" right="0" top="0.98425196850393704" bottom="0.98425196850393704" header="0.51181102362204722" footer="0.51181102362204722"/>
  <pageSetup paperSize="9" orientation="landscape" horizontalDpi="300" verticalDpi="300" r:id="rId1"/>
  <headerFooter alignWithMargins="0"/>
  <ignoredErrors>
    <ignoredError sqref="D4 G4 D7 D14:D15 D18:D19 D12 G50 G14:G15 D50 EJ50 AY19 EJ19 G18:G19 D34:G38 D44:G45 D41:G41 EJ34:EJ41 G12 G7 D31:G32 B15 B22 J19 M19 Y19 AN50:AN53 AN4:AN10 C10 D54:AY56 CD54:CE54 CD56:CE56 CJ54:CK56 CQ54:CQ56 DD54:DH56 ED54:EJ55 EW54:FF55 EP34 AN12:AN45 EJ44:EJ45 ED56:EE56 EH56:EJ56 EW56 EZ56:FF56" formula="1"/>
    <ignoredError sqref="AW50:AX50 AY45 AW44:AY44 AW39:AY41 AW12:AY18 AW4:AY10 AW33:AY33 CF44:CI44 CD18:CI18 CF45:CG45 CD4:CI6 CF19:CI19 BX51:CI53 BX20:CI20 CD12:CI17 BX44:BX45 BX42:BX43 CF34:CI41 BX35:BX41 BX50:CC50 CF50:CI50 BZ34:CE34 CD8:CI10 CD7 CF7:CI7 BX21:BX33 BZ21:CI33 BZ44:CE45 BZ42:CI43 BZ35:CE41" evalError="1"/>
    <ignoredError sqref="AW45:AX45 CH45 CI45 CF56:CI56 BX56:CC56 CF54:CI54 BX54:CC54 BX55:CI55" evalError="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99"/>
  <sheetViews>
    <sheetView workbookViewId="0">
      <pane xSplit="1" ySplit="1" topLeftCell="B704" activePane="bottomRight" state="frozen"/>
      <selection pane="topRight" activeCell="B1" sqref="B1"/>
      <selection pane="bottomLeft" activeCell="A2" sqref="A2"/>
      <selection pane="bottomRight" activeCell="W707" sqref="W707"/>
    </sheetView>
  </sheetViews>
  <sheetFormatPr defaultRowHeight="12.5" outlineLevelCol="1" x14ac:dyDescent="0.25"/>
  <cols>
    <col min="1" max="1" width="7.36328125" bestFit="1" customWidth="1"/>
    <col min="2" max="2" width="15.08984375" bestFit="1" customWidth="1"/>
    <col min="4" max="4" width="5.6328125" customWidth="1" outlineLevel="1"/>
    <col min="5" max="7" width="5.453125" customWidth="1" outlineLevel="1"/>
    <col min="8" max="8" width="7" customWidth="1" outlineLevel="1"/>
    <col min="9" max="11" width="6.08984375" customWidth="1" outlineLevel="1"/>
    <col min="12" max="18" width="5.6328125" customWidth="1" outlineLevel="1"/>
    <col min="19" max="20" width="6.54296875" customWidth="1" outlineLevel="1"/>
    <col min="21" max="21" width="10.453125" customWidth="1" outlineLevel="1"/>
    <col min="24" max="24" width="8.90625" style="14" customWidth="1"/>
    <col min="25" max="25" width="8.90625" style="14"/>
    <col min="26" max="27" width="13.36328125" style="36" customWidth="1"/>
    <col min="28" max="30" width="8.90625" style="36"/>
  </cols>
  <sheetData>
    <row r="1" spans="1:29" ht="13" thickBot="1" x14ac:dyDescent="0.3">
      <c r="A1" s="1" t="s">
        <v>2</v>
      </c>
      <c r="B1" s="2" t="s">
        <v>15</v>
      </c>
      <c r="C1" s="3" t="s">
        <v>94</v>
      </c>
      <c r="D1" s="4" t="s">
        <v>47</v>
      </c>
      <c r="E1" s="51" t="s">
        <v>104</v>
      </c>
      <c r="F1" s="51" t="s">
        <v>105</v>
      </c>
      <c r="G1" s="51" t="s">
        <v>106</v>
      </c>
      <c r="H1" s="5" t="s">
        <v>12</v>
      </c>
      <c r="I1" s="52" t="s">
        <v>107</v>
      </c>
      <c r="J1" s="51" t="s">
        <v>108</v>
      </c>
      <c r="K1" s="51" t="s">
        <v>109</v>
      </c>
      <c r="L1" s="51" t="s">
        <v>110</v>
      </c>
      <c r="M1" s="51" t="s">
        <v>111</v>
      </c>
      <c r="N1" s="51" t="s">
        <v>115</v>
      </c>
      <c r="O1" s="51" t="s">
        <v>120</v>
      </c>
      <c r="P1" s="51" t="s">
        <v>121</v>
      </c>
      <c r="Q1" s="51" t="s">
        <v>164</v>
      </c>
      <c r="R1" s="51" t="s">
        <v>173</v>
      </c>
      <c r="S1" s="51" t="s">
        <v>177</v>
      </c>
      <c r="T1" s="52" t="s">
        <v>182</v>
      </c>
      <c r="U1" s="6">
        <v>1.175</v>
      </c>
      <c r="V1" s="14" t="s">
        <v>183</v>
      </c>
      <c r="X1" s="14" t="s">
        <v>37</v>
      </c>
      <c r="Y1" s="14" t="s">
        <v>38</v>
      </c>
      <c r="Z1" s="14" t="s">
        <v>39</v>
      </c>
      <c r="AA1" s="14" t="s">
        <v>40</v>
      </c>
    </row>
    <row r="2" spans="1:29" x14ac:dyDescent="0.25">
      <c r="A2" s="7" t="s">
        <v>2</v>
      </c>
      <c r="B2" s="8" t="s">
        <v>17</v>
      </c>
      <c r="C2" s="9" t="s">
        <v>18</v>
      </c>
      <c r="D2" s="10">
        <v>0</v>
      </c>
      <c r="E2" s="10">
        <v>0</v>
      </c>
      <c r="F2" s="10">
        <v>0</v>
      </c>
      <c r="G2" s="10">
        <v>0</v>
      </c>
      <c r="H2" s="11">
        <v>767</v>
      </c>
      <c r="I2" s="12">
        <v>463</v>
      </c>
      <c r="J2" s="10">
        <v>204</v>
      </c>
      <c r="K2" s="10">
        <v>58</v>
      </c>
      <c r="L2" s="10">
        <v>42</v>
      </c>
      <c r="M2" s="10">
        <v>0</v>
      </c>
      <c r="N2" s="10">
        <v>0</v>
      </c>
      <c r="O2" s="10">
        <v>0</v>
      </c>
      <c r="P2" s="10">
        <v>0</v>
      </c>
      <c r="Q2" s="10">
        <v>0</v>
      </c>
      <c r="R2" s="10">
        <v>0</v>
      </c>
      <c r="S2" s="10">
        <v>0</v>
      </c>
      <c r="T2" s="13">
        <v>0</v>
      </c>
      <c r="U2" s="14">
        <v>1.175</v>
      </c>
      <c r="V2" s="42">
        <f>SUM(I2:T2)/H2</f>
        <v>1</v>
      </c>
      <c r="W2" s="39">
        <f t="shared" ref="W2:W9" si="0">SUM(I2:T2)*U2</f>
        <v>901.22500000000002</v>
      </c>
    </row>
    <row r="3" spans="1:29" x14ac:dyDescent="0.25">
      <c r="A3" s="7" t="s">
        <v>2</v>
      </c>
      <c r="B3" s="15" t="s">
        <v>66</v>
      </c>
      <c r="C3" s="7" t="s">
        <v>18</v>
      </c>
      <c r="D3" s="14">
        <v>0</v>
      </c>
      <c r="E3" s="14">
        <v>0</v>
      </c>
      <c r="F3" s="14">
        <v>0</v>
      </c>
      <c r="G3" s="14">
        <v>9</v>
      </c>
      <c r="H3" s="16">
        <v>278</v>
      </c>
      <c r="I3" s="17">
        <v>41</v>
      </c>
      <c r="J3" s="14">
        <v>49</v>
      </c>
      <c r="K3" s="14">
        <v>0</v>
      </c>
      <c r="L3" s="14">
        <v>0</v>
      </c>
      <c r="M3" s="14">
        <v>47</v>
      </c>
      <c r="N3" s="14">
        <v>132</v>
      </c>
      <c r="O3" s="14">
        <v>0</v>
      </c>
      <c r="P3" s="14">
        <v>0</v>
      </c>
      <c r="Q3" s="14">
        <v>0</v>
      </c>
      <c r="R3" s="14">
        <v>0</v>
      </c>
      <c r="S3" s="14">
        <v>0</v>
      </c>
      <c r="T3" s="18">
        <v>0</v>
      </c>
      <c r="U3" s="14">
        <v>1.175</v>
      </c>
      <c r="V3" s="44"/>
      <c r="W3" s="39">
        <f t="shared" si="0"/>
        <v>316.07499999999999</v>
      </c>
    </row>
    <row r="4" spans="1:29" x14ac:dyDescent="0.25">
      <c r="A4" s="7" t="s">
        <v>2</v>
      </c>
      <c r="B4" s="15" t="s">
        <v>13</v>
      </c>
      <c r="C4" s="7" t="s">
        <v>18</v>
      </c>
      <c r="D4" s="14">
        <v>7</v>
      </c>
      <c r="E4" s="14">
        <v>0</v>
      </c>
      <c r="F4" s="14">
        <v>0</v>
      </c>
      <c r="G4" s="14">
        <v>149</v>
      </c>
      <c r="H4" s="16">
        <v>3455</v>
      </c>
      <c r="I4" s="17">
        <v>821</v>
      </c>
      <c r="J4" s="14">
        <v>2392</v>
      </c>
      <c r="K4" s="14">
        <v>21</v>
      </c>
      <c r="L4" s="14">
        <v>4</v>
      </c>
      <c r="M4" s="14">
        <v>0</v>
      </c>
      <c r="N4" s="14">
        <v>47</v>
      </c>
      <c r="O4" s="14">
        <v>0</v>
      </c>
      <c r="P4" s="14">
        <v>0</v>
      </c>
      <c r="Q4" s="14">
        <v>14</v>
      </c>
      <c r="R4" s="14">
        <v>0</v>
      </c>
      <c r="S4" s="14">
        <v>0</v>
      </c>
      <c r="T4" s="18">
        <v>0</v>
      </c>
      <c r="U4" s="14">
        <v>1.175</v>
      </c>
      <c r="V4" s="41"/>
      <c r="W4" s="39">
        <f t="shared" si="0"/>
        <v>3876.3250000000003</v>
      </c>
    </row>
    <row r="5" spans="1:29" x14ac:dyDescent="0.25">
      <c r="A5" s="7" t="s">
        <v>2</v>
      </c>
      <c r="B5" s="15" t="s">
        <v>67</v>
      </c>
      <c r="C5" s="7" t="s">
        <v>18</v>
      </c>
      <c r="D5" s="14">
        <v>0</v>
      </c>
      <c r="E5" s="14">
        <v>0</v>
      </c>
      <c r="F5" s="14">
        <v>0</v>
      </c>
      <c r="G5" s="14">
        <v>98</v>
      </c>
      <c r="H5" s="16">
        <v>3691</v>
      </c>
      <c r="I5" s="17">
        <v>641</v>
      </c>
      <c r="J5" s="14">
        <v>2686</v>
      </c>
      <c r="K5" s="14">
        <v>266</v>
      </c>
      <c r="L5" s="14">
        <v>0</v>
      </c>
      <c r="M5" s="14">
        <v>0</v>
      </c>
      <c r="N5" s="14">
        <v>0</v>
      </c>
      <c r="O5" s="14">
        <v>0</v>
      </c>
      <c r="P5" s="14">
        <v>0</v>
      </c>
      <c r="Q5" s="14">
        <v>0</v>
      </c>
      <c r="R5" s="14">
        <v>0</v>
      </c>
      <c r="S5" s="14">
        <v>0</v>
      </c>
      <c r="T5" s="18">
        <v>0</v>
      </c>
      <c r="U5" s="14">
        <v>1.175</v>
      </c>
      <c r="V5" s="41"/>
      <c r="W5" s="39">
        <f t="shared" si="0"/>
        <v>4221.7750000000005</v>
      </c>
    </row>
    <row r="6" spans="1:29" x14ac:dyDescent="0.25">
      <c r="A6" s="7" t="s">
        <v>2</v>
      </c>
      <c r="B6" s="15" t="s">
        <v>73</v>
      </c>
      <c r="C6" s="7" t="s">
        <v>18</v>
      </c>
      <c r="D6" s="14">
        <v>0</v>
      </c>
      <c r="E6" s="14">
        <v>0</v>
      </c>
      <c r="F6" s="14">
        <v>25</v>
      </c>
      <c r="G6" s="14">
        <v>205</v>
      </c>
      <c r="H6" s="16">
        <v>6163</v>
      </c>
      <c r="I6" s="17">
        <v>1215</v>
      </c>
      <c r="J6" s="14">
        <v>2826</v>
      </c>
      <c r="K6" s="14">
        <v>362</v>
      </c>
      <c r="L6" s="14">
        <v>22</v>
      </c>
      <c r="M6" s="14">
        <v>45</v>
      </c>
      <c r="N6" s="14">
        <v>843</v>
      </c>
      <c r="O6" s="14">
        <v>131</v>
      </c>
      <c r="P6" s="14">
        <v>47</v>
      </c>
      <c r="Q6" s="14">
        <v>442</v>
      </c>
      <c r="R6" s="14">
        <v>0</v>
      </c>
      <c r="S6" s="14">
        <v>0</v>
      </c>
      <c r="T6" s="18">
        <v>0</v>
      </c>
      <c r="U6" s="14">
        <v>1.175</v>
      </c>
      <c r="V6" s="41"/>
      <c r="W6" s="39">
        <f t="shared" si="0"/>
        <v>6971.2750000000005</v>
      </c>
    </row>
    <row r="7" spans="1:29" x14ac:dyDescent="0.25">
      <c r="A7" s="7" t="s">
        <v>2</v>
      </c>
      <c r="B7" s="15" t="s">
        <v>19</v>
      </c>
      <c r="C7" s="7" t="s">
        <v>18</v>
      </c>
      <c r="D7" s="14">
        <v>4</v>
      </c>
      <c r="E7" s="14">
        <v>0</v>
      </c>
      <c r="F7" s="14">
        <v>0</v>
      </c>
      <c r="G7" s="14">
        <v>3</v>
      </c>
      <c r="H7" s="16">
        <v>2624</v>
      </c>
      <c r="I7" s="17">
        <v>494</v>
      </c>
      <c r="J7" s="14">
        <v>1857</v>
      </c>
      <c r="K7" s="14">
        <v>122</v>
      </c>
      <c r="L7" s="14">
        <v>58</v>
      </c>
      <c r="M7" s="14">
        <v>6</v>
      </c>
      <c r="N7" s="14">
        <v>0</v>
      </c>
      <c r="O7" s="14">
        <v>16</v>
      </c>
      <c r="P7" s="14">
        <v>0</v>
      </c>
      <c r="Q7" s="14">
        <v>2</v>
      </c>
      <c r="R7" s="14">
        <v>62</v>
      </c>
      <c r="S7" s="14">
        <v>0</v>
      </c>
      <c r="T7" s="18">
        <v>0</v>
      </c>
      <c r="U7" s="14">
        <v>1.175</v>
      </c>
      <c r="V7" s="41"/>
      <c r="W7" s="39">
        <f t="shared" si="0"/>
        <v>3074.9749999999999</v>
      </c>
    </row>
    <row r="8" spans="1:29" ht="13" thickBot="1" x14ac:dyDescent="0.3">
      <c r="A8" s="7" t="s">
        <v>2</v>
      </c>
      <c r="B8" s="19" t="s">
        <v>20</v>
      </c>
      <c r="C8" s="20" t="s">
        <v>18</v>
      </c>
      <c r="D8" s="21">
        <v>0</v>
      </c>
      <c r="E8" s="21">
        <v>0</v>
      </c>
      <c r="F8" s="21">
        <v>0</v>
      </c>
      <c r="G8" s="21">
        <v>0</v>
      </c>
      <c r="H8" s="22">
        <v>2</v>
      </c>
      <c r="I8" s="23">
        <v>0</v>
      </c>
      <c r="J8" s="21">
        <v>2</v>
      </c>
      <c r="K8" s="21">
        <v>0</v>
      </c>
      <c r="L8" s="21">
        <v>0</v>
      </c>
      <c r="M8" s="21">
        <v>0</v>
      </c>
      <c r="N8" s="21">
        <v>0</v>
      </c>
      <c r="O8" s="21">
        <v>0</v>
      </c>
      <c r="P8" s="21">
        <v>0</v>
      </c>
      <c r="Q8" s="21">
        <v>0</v>
      </c>
      <c r="R8" s="21">
        <v>0</v>
      </c>
      <c r="S8" s="21">
        <v>0</v>
      </c>
      <c r="T8" s="24">
        <v>0</v>
      </c>
      <c r="U8" s="14">
        <v>1.175</v>
      </c>
      <c r="V8" s="44"/>
      <c r="W8" s="39">
        <f t="shared" si="0"/>
        <v>2.35</v>
      </c>
    </row>
    <row r="9" spans="1:29" ht="13" thickBot="1" x14ac:dyDescent="0.3">
      <c r="A9" s="7" t="s">
        <v>2</v>
      </c>
      <c r="B9" s="25" t="s">
        <v>12</v>
      </c>
      <c r="C9" s="26" t="s">
        <v>18</v>
      </c>
      <c r="D9" s="27">
        <v>11</v>
      </c>
      <c r="E9" s="27">
        <v>0</v>
      </c>
      <c r="F9" s="27">
        <v>25</v>
      </c>
      <c r="G9" s="27">
        <v>464</v>
      </c>
      <c r="H9" s="28">
        <v>16980</v>
      </c>
      <c r="I9" s="29">
        <v>3675</v>
      </c>
      <c r="J9" s="27">
        <v>10016</v>
      </c>
      <c r="K9" s="27">
        <v>829</v>
      </c>
      <c r="L9" s="27">
        <v>126</v>
      </c>
      <c r="M9" s="27">
        <v>98</v>
      </c>
      <c r="N9" s="27">
        <v>1022</v>
      </c>
      <c r="O9" s="27">
        <v>147</v>
      </c>
      <c r="P9" s="27">
        <v>47</v>
      </c>
      <c r="Q9" s="27">
        <v>458</v>
      </c>
      <c r="R9" s="27">
        <v>62</v>
      </c>
      <c r="S9" s="27">
        <v>0</v>
      </c>
      <c r="T9" s="29">
        <v>0</v>
      </c>
      <c r="U9" s="14">
        <v>1.175</v>
      </c>
      <c r="V9" s="43">
        <f>SUM(I4:T7)/SUM(H4:H7)</f>
        <v>0.96918345572083098</v>
      </c>
      <c r="W9" s="39">
        <f t="shared" si="0"/>
        <v>19364</v>
      </c>
      <c r="X9" s="35">
        <f>W7+W4</f>
        <v>6951.3</v>
      </c>
      <c r="Y9" s="35">
        <f>W2</f>
        <v>901.22500000000002</v>
      </c>
    </row>
    <row r="10" spans="1:29" x14ac:dyDescent="0.25">
      <c r="A10" s="7" t="s">
        <v>2</v>
      </c>
      <c r="B10" s="8" t="s">
        <v>17</v>
      </c>
      <c r="C10" s="9" t="s">
        <v>21</v>
      </c>
      <c r="D10" s="10">
        <v>0</v>
      </c>
      <c r="E10" s="10">
        <v>0</v>
      </c>
      <c r="F10" s="10">
        <v>0</v>
      </c>
      <c r="G10" s="10">
        <v>0</v>
      </c>
      <c r="H10" s="11">
        <v>374</v>
      </c>
      <c r="I10" s="12">
        <v>109</v>
      </c>
      <c r="J10" s="10">
        <v>248</v>
      </c>
      <c r="K10" s="10">
        <v>17</v>
      </c>
      <c r="L10" s="10">
        <v>0</v>
      </c>
      <c r="M10" s="10">
        <v>0</v>
      </c>
      <c r="N10" s="10">
        <v>0</v>
      </c>
      <c r="O10" s="10">
        <v>0</v>
      </c>
      <c r="P10" s="10">
        <v>0</v>
      </c>
      <c r="Q10" s="10">
        <v>0</v>
      </c>
      <c r="R10" s="10">
        <v>0</v>
      </c>
      <c r="S10" s="10">
        <v>0</v>
      </c>
      <c r="T10" s="13">
        <v>0</v>
      </c>
      <c r="U10" s="14">
        <v>1.175</v>
      </c>
      <c r="W10" s="38">
        <f t="shared" ref="W10:W17" si="1">H10*U10</f>
        <v>439.45</v>
      </c>
      <c r="AB10" s="37" t="str">
        <f t="shared" ref="AB10:AB16" si="2">B10</f>
        <v>Parts-OTC</v>
      </c>
      <c r="AC10" s="36">
        <f t="shared" ref="AC10:AC16" si="3">I10*U10</f>
        <v>128.07500000000002</v>
      </c>
    </row>
    <row r="11" spans="1:29" x14ac:dyDescent="0.25">
      <c r="A11" s="7" t="s">
        <v>2</v>
      </c>
      <c r="B11" s="15" t="s">
        <v>66</v>
      </c>
      <c r="C11" s="7" t="s">
        <v>21</v>
      </c>
      <c r="D11" s="14">
        <v>0</v>
      </c>
      <c r="E11" s="14">
        <v>0</v>
      </c>
      <c r="F11" s="14">
        <v>0</v>
      </c>
      <c r="G11" s="14">
        <v>0</v>
      </c>
      <c r="H11" s="16">
        <v>49</v>
      </c>
      <c r="I11" s="17">
        <v>3</v>
      </c>
      <c r="J11" s="14">
        <v>46</v>
      </c>
      <c r="K11" s="14">
        <v>0</v>
      </c>
      <c r="L11" s="14">
        <v>0</v>
      </c>
      <c r="M11" s="14">
        <v>0</v>
      </c>
      <c r="N11" s="14">
        <v>0</v>
      </c>
      <c r="O11" s="14">
        <v>0</v>
      </c>
      <c r="P11" s="14">
        <v>0</v>
      </c>
      <c r="Q11" s="14">
        <v>0</v>
      </c>
      <c r="R11" s="14">
        <v>0</v>
      </c>
      <c r="S11" s="14">
        <v>0</v>
      </c>
      <c r="T11" s="18">
        <v>0</v>
      </c>
      <c r="U11" s="14">
        <v>1.175</v>
      </c>
      <c r="W11" s="38">
        <f t="shared" si="1"/>
        <v>57.575000000000003</v>
      </c>
      <c r="AB11" s="37" t="str">
        <f t="shared" si="2"/>
        <v>CTKS</v>
      </c>
      <c r="AC11" s="36">
        <f t="shared" si="3"/>
        <v>3.5250000000000004</v>
      </c>
    </row>
    <row r="12" spans="1:29" x14ac:dyDescent="0.25">
      <c r="A12" s="7" t="s">
        <v>2</v>
      </c>
      <c r="B12" s="15" t="s">
        <v>13</v>
      </c>
      <c r="C12" s="7" t="s">
        <v>21</v>
      </c>
      <c r="D12" s="14">
        <v>0</v>
      </c>
      <c r="E12" s="14">
        <v>0</v>
      </c>
      <c r="F12" s="14">
        <v>0</v>
      </c>
      <c r="G12" s="14">
        <v>0</v>
      </c>
      <c r="H12" s="16">
        <v>1815</v>
      </c>
      <c r="I12" s="17">
        <v>499</v>
      </c>
      <c r="J12" s="14">
        <v>1032</v>
      </c>
      <c r="K12" s="14">
        <v>186</v>
      </c>
      <c r="L12" s="14">
        <v>29</v>
      </c>
      <c r="M12" s="14">
        <v>6</v>
      </c>
      <c r="N12" s="14">
        <v>12</v>
      </c>
      <c r="O12" s="14">
        <v>3</v>
      </c>
      <c r="P12" s="14">
        <v>2</v>
      </c>
      <c r="Q12" s="14">
        <v>42</v>
      </c>
      <c r="R12" s="14">
        <v>0</v>
      </c>
      <c r="S12" s="14">
        <v>0</v>
      </c>
      <c r="T12" s="18">
        <v>4</v>
      </c>
      <c r="U12" s="14">
        <v>1.175</v>
      </c>
      <c r="W12" s="38">
        <f t="shared" si="1"/>
        <v>2132.625</v>
      </c>
      <c r="AB12" s="37" t="str">
        <f t="shared" si="2"/>
        <v>Repair</v>
      </c>
      <c r="AC12" s="36">
        <f t="shared" si="3"/>
        <v>586.32500000000005</v>
      </c>
    </row>
    <row r="13" spans="1:29" x14ac:dyDescent="0.25">
      <c r="A13" s="7" t="s">
        <v>2</v>
      </c>
      <c r="B13" s="15" t="s">
        <v>67</v>
      </c>
      <c r="C13" s="7" t="s">
        <v>21</v>
      </c>
      <c r="D13" s="14">
        <v>0</v>
      </c>
      <c r="E13" s="14">
        <v>0</v>
      </c>
      <c r="F13" s="14">
        <v>0</v>
      </c>
      <c r="G13" s="14">
        <v>0</v>
      </c>
      <c r="H13" s="16">
        <v>3365</v>
      </c>
      <c r="I13" s="17">
        <v>565</v>
      </c>
      <c r="J13" s="14">
        <v>444</v>
      </c>
      <c r="K13" s="14">
        <v>344</v>
      </c>
      <c r="L13" s="14">
        <v>320</v>
      </c>
      <c r="M13" s="14">
        <v>278</v>
      </c>
      <c r="N13" s="14">
        <v>225</v>
      </c>
      <c r="O13" s="14">
        <v>188</v>
      </c>
      <c r="P13" s="14">
        <v>201</v>
      </c>
      <c r="Q13" s="14">
        <v>414</v>
      </c>
      <c r="R13" s="14">
        <v>161</v>
      </c>
      <c r="S13" s="14">
        <v>115</v>
      </c>
      <c r="T13" s="18">
        <v>110</v>
      </c>
      <c r="U13" s="14">
        <v>1.175</v>
      </c>
      <c r="W13" s="38">
        <f t="shared" si="1"/>
        <v>3953.875</v>
      </c>
      <c r="AB13" s="37" t="str">
        <f t="shared" si="2"/>
        <v>Rental</v>
      </c>
      <c r="AC13" s="36">
        <f t="shared" si="3"/>
        <v>663.875</v>
      </c>
    </row>
    <row r="14" spans="1:29" x14ac:dyDescent="0.25">
      <c r="A14" s="7" t="s">
        <v>2</v>
      </c>
      <c r="B14" s="15" t="s">
        <v>73</v>
      </c>
      <c r="C14" s="7" t="s">
        <v>21</v>
      </c>
      <c r="D14" s="14">
        <v>0</v>
      </c>
      <c r="E14" s="14">
        <v>0</v>
      </c>
      <c r="F14" s="14">
        <v>0</v>
      </c>
      <c r="G14" s="14">
        <v>0</v>
      </c>
      <c r="H14" s="16">
        <v>1831</v>
      </c>
      <c r="I14" s="17">
        <v>342</v>
      </c>
      <c r="J14" s="14">
        <v>672</v>
      </c>
      <c r="K14" s="14">
        <v>427</v>
      </c>
      <c r="L14" s="14">
        <v>106</v>
      </c>
      <c r="M14" s="14">
        <v>9</v>
      </c>
      <c r="N14" s="14">
        <v>1</v>
      </c>
      <c r="O14" s="14">
        <v>221</v>
      </c>
      <c r="P14" s="14">
        <v>47</v>
      </c>
      <c r="Q14" s="14">
        <v>3</v>
      </c>
      <c r="R14" s="14">
        <v>1</v>
      </c>
      <c r="S14" s="14">
        <v>1</v>
      </c>
      <c r="T14" s="18">
        <v>1</v>
      </c>
      <c r="U14" s="14">
        <v>1.175</v>
      </c>
      <c r="W14" s="38">
        <f t="shared" si="1"/>
        <v>2151.4250000000002</v>
      </c>
      <c r="AB14" s="37"/>
    </row>
    <row r="15" spans="1:29" x14ac:dyDescent="0.25">
      <c r="A15" s="7" t="s">
        <v>2</v>
      </c>
      <c r="B15" s="15" t="s">
        <v>19</v>
      </c>
      <c r="C15" s="7" t="s">
        <v>21</v>
      </c>
      <c r="D15" s="14">
        <v>0</v>
      </c>
      <c r="E15" s="14">
        <v>0</v>
      </c>
      <c r="F15" s="14">
        <v>0</v>
      </c>
      <c r="G15" s="14">
        <v>0</v>
      </c>
      <c r="H15" s="16">
        <v>4996</v>
      </c>
      <c r="I15" s="17">
        <v>764</v>
      </c>
      <c r="J15" s="14">
        <v>998</v>
      </c>
      <c r="K15" s="14">
        <v>439</v>
      </c>
      <c r="L15" s="14">
        <v>421</v>
      </c>
      <c r="M15" s="14">
        <v>189</v>
      </c>
      <c r="N15" s="14">
        <v>488</v>
      </c>
      <c r="O15" s="14">
        <v>593</v>
      </c>
      <c r="P15" s="14">
        <v>498</v>
      </c>
      <c r="Q15" s="14">
        <v>277</v>
      </c>
      <c r="R15" s="14">
        <v>119</v>
      </c>
      <c r="S15" s="14">
        <v>60</v>
      </c>
      <c r="T15" s="18">
        <v>150</v>
      </c>
      <c r="U15" s="14">
        <v>1.175</v>
      </c>
      <c r="W15" s="38">
        <f t="shared" si="1"/>
        <v>5870.3</v>
      </c>
      <c r="AB15" s="37" t="str">
        <f t="shared" si="2"/>
        <v>Maintenance</v>
      </c>
      <c r="AC15" s="36">
        <f t="shared" si="3"/>
        <v>897.7</v>
      </c>
    </row>
    <row r="16" spans="1:29" ht="13" thickBot="1" x14ac:dyDescent="0.3">
      <c r="A16" s="7" t="s">
        <v>2</v>
      </c>
      <c r="B16" s="19" t="s">
        <v>20</v>
      </c>
      <c r="C16" s="20" t="s">
        <v>21</v>
      </c>
      <c r="D16" s="21">
        <v>0</v>
      </c>
      <c r="E16" s="21">
        <v>0</v>
      </c>
      <c r="F16" s="21">
        <v>0</v>
      </c>
      <c r="G16" s="21">
        <v>0</v>
      </c>
      <c r="H16" s="22">
        <v>138</v>
      </c>
      <c r="I16" s="23">
        <v>59</v>
      </c>
      <c r="J16" s="21">
        <v>63</v>
      </c>
      <c r="K16" s="21">
        <v>15</v>
      </c>
      <c r="L16" s="21">
        <v>0</v>
      </c>
      <c r="M16" s="21">
        <v>0</v>
      </c>
      <c r="N16" s="21">
        <v>0</v>
      </c>
      <c r="O16" s="21">
        <v>0</v>
      </c>
      <c r="P16" s="21">
        <v>0</v>
      </c>
      <c r="Q16" s="21">
        <v>1</v>
      </c>
      <c r="R16" s="21">
        <v>0</v>
      </c>
      <c r="S16" s="21">
        <v>0</v>
      </c>
      <c r="T16" s="24">
        <v>0</v>
      </c>
      <c r="U16" s="14">
        <v>1.175</v>
      </c>
      <c r="W16" s="38">
        <f t="shared" si="1"/>
        <v>162.15</v>
      </c>
      <c r="AB16" s="37" t="str">
        <f t="shared" si="2"/>
        <v>Startup</v>
      </c>
      <c r="AC16" s="36">
        <f t="shared" si="3"/>
        <v>69.325000000000003</v>
      </c>
    </row>
    <row r="17" spans="1:29" ht="13" thickBot="1" x14ac:dyDescent="0.3">
      <c r="A17" s="20" t="s">
        <v>2</v>
      </c>
      <c r="B17" s="25" t="s">
        <v>12</v>
      </c>
      <c r="C17" s="26" t="s">
        <v>21</v>
      </c>
      <c r="D17" s="27">
        <v>0</v>
      </c>
      <c r="E17" s="27">
        <v>0</v>
      </c>
      <c r="F17" s="27">
        <v>0</v>
      </c>
      <c r="G17" s="27">
        <v>0</v>
      </c>
      <c r="H17" s="28">
        <v>12568</v>
      </c>
      <c r="I17" s="29">
        <v>2341</v>
      </c>
      <c r="J17" s="27">
        <v>3503</v>
      </c>
      <c r="K17" s="27">
        <v>1428</v>
      </c>
      <c r="L17" s="27">
        <v>876</v>
      </c>
      <c r="M17" s="27">
        <v>482</v>
      </c>
      <c r="N17" s="27">
        <v>726</v>
      </c>
      <c r="O17" s="27">
        <v>1005</v>
      </c>
      <c r="P17" s="27">
        <v>748</v>
      </c>
      <c r="Q17" s="27">
        <v>737</v>
      </c>
      <c r="R17" s="27">
        <v>281</v>
      </c>
      <c r="S17" s="27">
        <v>176</v>
      </c>
      <c r="T17" s="29">
        <v>265</v>
      </c>
      <c r="U17" s="14">
        <v>1.175</v>
      </c>
      <c r="W17" s="38">
        <f t="shared" si="1"/>
        <v>14767.400000000001</v>
      </c>
      <c r="X17" s="35">
        <f>W16+W15+W12</f>
        <v>8165.0749999999998</v>
      </c>
      <c r="Y17" s="35">
        <f>W10</f>
        <v>439.45</v>
      </c>
      <c r="Z17" s="40">
        <f>V8/X17</f>
        <v>0</v>
      </c>
      <c r="AA17" s="40">
        <f>IF((Y17=0),0,Y9/Y17)</f>
        <v>2.0508021390374331</v>
      </c>
      <c r="AB17" s="48"/>
      <c r="AC17" s="48"/>
    </row>
    <row r="18" spans="1:29" ht="13" thickBot="1" x14ac:dyDescent="0.3">
      <c r="A18" s="9" t="s">
        <v>4</v>
      </c>
      <c r="B18" s="30" t="s">
        <v>15</v>
      </c>
      <c r="C18" s="31" t="s">
        <v>94</v>
      </c>
      <c r="D18" s="32" t="s">
        <v>47</v>
      </c>
      <c r="E18" s="53" t="s">
        <v>104</v>
      </c>
      <c r="F18" s="53" t="s">
        <v>105</v>
      </c>
      <c r="G18" s="53" t="s">
        <v>106</v>
      </c>
      <c r="H18" s="28" t="s">
        <v>12</v>
      </c>
      <c r="I18" s="54" t="s">
        <v>107</v>
      </c>
      <c r="J18" s="53" t="s">
        <v>108</v>
      </c>
      <c r="K18" s="53" t="s">
        <v>109</v>
      </c>
      <c r="L18" s="53" t="s">
        <v>110</v>
      </c>
      <c r="M18" s="53" t="s">
        <v>111</v>
      </c>
      <c r="N18" s="53" t="s">
        <v>115</v>
      </c>
      <c r="O18" s="53" t="s">
        <v>120</v>
      </c>
      <c r="P18" s="53" t="s">
        <v>121</v>
      </c>
      <c r="Q18" s="53" t="s">
        <v>164</v>
      </c>
      <c r="R18" s="53" t="s">
        <v>173</v>
      </c>
      <c r="S18" s="53" t="s">
        <v>177</v>
      </c>
      <c r="T18" s="55" t="s">
        <v>182</v>
      </c>
      <c r="U18" s="14">
        <v>1.175</v>
      </c>
      <c r="V18" s="14" t="s">
        <v>183</v>
      </c>
      <c r="W18" s="35"/>
      <c r="X18" s="14" t="s">
        <v>37</v>
      </c>
      <c r="Y18" s="14" t="s">
        <v>38</v>
      </c>
      <c r="AB18" s="48"/>
      <c r="AC18" s="48"/>
    </row>
    <row r="19" spans="1:29" x14ac:dyDescent="0.25">
      <c r="A19" s="7" t="s">
        <v>4</v>
      </c>
      <c r="B19" s="8" t="s">
        <v>17</v>
      </c>
      <c r="C19" s="9" t="s">
        <v>18</v>
      </c>
      <c r="D19" s="10">
        <v>0</v>
      </c>
      <c r="E19" s="10">
        <v>0</v>
      </c>
      <c r="F19" s="10">
        <v>0</v>
      </c>
      <c r="G19" s="10">
        <v>0</v>
      </c>
      <c r="H19" s="11">
        <v>553</v>
      </c>
      <c r="I19" s="12">
        <v>0</v>
      </c>
      <c r="J19" s="10">
        <v>206</v>
      </c>
      <c r="K19" s="10">
        <v>111</v>
      </c>
      <c r="L19" s="10">
        <v>161</v>
      </c>
      <c r="M19" s="10">
        <v>21</v>
      </c>
      <c r="N19" s="10">
        <v>40</v>
      </c>
      <c r="O19" s="10">
        <v>13</v>
      </c>
      <c r="P19" s="10">
        <v>0</v>
      </c>
      <c r="Q19" s="10">
        <v>1</v>
      </c>
      <c r="R19" s="10">
        <v>0</v>
      </c>
      <c r="S19" s="10">
        <v>0</v>
      </c>
      <c r="T19" s="13">
        <v>0</v>
      </c>
      <c r="U19" s="14">
        <v>1.175</v>
      </c>
      <c r="V19" s="42">
        <f>SUM(I19:T19)/H19</f>
        <v>1</v>
      </c>
      <c r="W19" s="39">
        <f>SUM(I19:T19)*U19</f>
        <v>649.77499999999998</v>
      </c>
    </row>
    <row r="20" spans="1:29" x14ac:dyDescent="0.25">
      <c r="A20" s="7" t="s">
        <v>4</v>
      </c>
      <c r="B20" s="15" t="s">
        <v>66</v>
      </c>
      <c r="C20" s="7" t="s">
        <v>18</v>
      </c>
      <c r="D20" s="14">
        <v>0</v>
      </c>
      <c r="E20" s="14">
        <v>0</v>
      </c>
      <c r="F20" s="14">
        <v>0</v>
      </c>
      <c r="G20" s="14">
        <v>0</v>
      </c>
      <c r="H20" s="16">
        <v>3590</v>
      </c>
      <c r="I20" s="17">
        <v>1121</v>
      </c>
      <c r="J20" s="14">
        <v>552</v>
      </c>
      <c r="K20" s="14">
        <v>1857</v>
      </c>
      <c r="L20" s="14">
        <v>60</v>
      </c>
      <c r="M20" s="14">
        <v>0</v>
      </c>
      <c r="N20" s="14">
        <v>0</v>
      </c>
      <c r="O20" s="14">
        <v>0</v>
      </c>
      <c r="P20" s="14">
        <v>0</v>
      </c>
      <c r="Q20" s="14">
        <v>0</v>
      </c>
      <c r="R20" s="14">
        <v>0</v>
      </c>
      <c r="S20" s="14">
        <v>0</v>
      </c>
      <c r="T20" s="18">
        <v>0</v>
      </c>
      <c r="U20" s="14">
        <v>1.175</v>
      </c>
      <c r="V20" s="44"/>
      <c r="W20" s="39">
        <f t="shared" ref="W20:W26" si="4">SUM(I20:T20)*U20</f>
        <v>4218.25</v>
      </c>
    </row>
    <row r="21" spans="1:29" x14ac:dyDescent="0.25">
      <c r="A21" s="7" t="s">
        <v>4</v>
      </c>
      <c r="B21" s="15" t="s">
        <v>13</v>
      </c>
      <c r="C21" s="7" t="s">
        <v>18</v>
      </c>
      <c r="D21" s="14">
        <v>46</v>
      </c>
      <c r="E21" s="14">
        <v>0</v>
      </c>
      <c r="F21" s="14">
        <v>0</v>
      </c>
      <c r="G21" s="14">
        <v>2</v>
      </c>
      <c r="H21" s="16">
        <v>872</v>
      </c>
      <c r="I21" s="17">
        <v>321</v>
      </c>
      <c r="J21" s="14">
        <v>256</v>
      </c>
      <c r="K21" s="14">
        <v>183</v>
      </c>
      <c r="L21" s="14">
        <v>63</v>
      </c>
      <c r="M21" s="14">
        <v>1</v>
      </c>
      <c r="N21" s="14">
        <v>0</v>
      </c>
      <c r="O21" s="14">
        <v>0</v>
      </c>
      <c r="P21" s="14">
        <v>0</v>
      </c>
      <c r="Q21" s="14">
        <v>0</v>
      </c>
      <c r="R21" s="14">
        <v>0</v>
      </c>
      <c r="S21" s="14">
        <v>0</v>
      </c>
      <c r="T21" s="18">
        <v>0</v>
      </c>
      <c r="U21" s="14">
        <v>1.175</v>
      </c>
      <c r="V21" s="41"/>
      <c r="W21" s="39">
        <f t="shared" si="4"/>
        <v>968.2</v>
      </c>
    </row>
    <row r="22" spans="1:29" x14ac:dyDescent="0.25">
      <c r="A22" s="7" t="s">
        <v>4</v>
      </c>
      <c r="B22" s="15" t="s">
        <v>67</v>
      </c>
      <c r="C22" s="7" t="s">
        <v>18</v>
      </c>
      <c r="D22" s="14">
        <v>0</v>
      </c>
      <c r="E22" s="14">
        <v>0</v>
      </c>
      <c r="F22" s="14">
        <v>0</v>
      </c>
      <c r="G22" s="14">
        <v>0</v>
      </c>
      <c r="H22" s="16">
        <v>1329</v>
      </c>
      <c r="I22" s="17">
        <v>317</v>
      </c>
      <c r="J22" s="14">
        <v>362</v>
      </c>
      <c r="K22" s="14">
        <v>624</v>
      </c>
      <c r="L22" s="14">
        <v>26</v>
      </c>
      <c r="M22" s="14">
        <v>0</v>
      </c>
      <c r="N22" s="14">
        <v>0</v>
      </c>
      <c r="O22" s="14">
        <v>0</v>
      </c>
      <c r="P22" s="14">
        <v>0</v>
      </c>
      <c r="Q22" s="14">
        <v>0</v>
      </c>
      <c r="R22" s="14">
        <v>0</v>
      </c>
      <c r="S22" s="14">
        <v>0</v>
      </c>
      <c r="T22" s="18">
        <v>0</v>
      </c>
      <c r="U22" s="14">
        <v>1.175</v>
      </c>
      <c r="V22" s="41"/>
      <c r="W22" s="39">
        <f t="shared" si="4"/>
        <v>1561.575</v>
      </c>
    </row>
    <row r="23" spans="1:29" x14ac:dyDescent="0.25">
      <c r="A23" s="7" t="s">
        <v>4</v>
      </c>
      <c r="B23" s="15" t="s">
        <v>73</v>
      </c>
      <c r="C23" s="7" t="s">
        <v>18</v>
      </c>
      <c r="D23" s="14">
        <v>63</v>
      </c>
      <c r="E23" s="14">
        <v>0</v>
      </c>
      <c r="F23" s="14">
        <v>0</v>
      </c>
      <c r="G23" s="14">
        <v>40</v>
      </c>
      <c r="H23" s="16">
        <v>1787</v>
      </c>
      <c r="I23" s="17">
        <v>444</v>
      </c>
      <c r="J23" s="14">
        <v>587</v>
      </c>
      <c r="K23" s="14">
        <v>572</v>
      </c>
      <c r="L23" s="14">
        <v>50</v>
      </c>
      <c r="M23" s="14">
        <v>31</v>
      </c>
      <c r="N23" s="14">
        <v>0</v>
      </c>
      <c r="O23" s="14">
        <v>0</v>
      </c>
      <c r="P23" s="14">
        <v>0</v>
      </c>
      <c r="Q23" s="14">
        <v>0</v>
      </c>
      <c r="R23" s="14">
        <v>0</v>
      </c>
      <c r="S23" s="14">
        <v>0</v>
      </c>
      <c r="T23" s="18">
        <v>0</v>
      </c>
      <c r="U23" s="14">
        <v>1.175</v>
      </c>
      <c r="V23" s="41"/>
      <c r="W23" s="39">
        <f t="shared" si="4"/>
        <v>1978.7</v>
      </c>
    </row>
    <row r="24" spans="1:29" x14ac:dyDescent="0.25">
      <c r="A24" s="7" t="s">
        <v>4</v>
      </c>
      <c r="B24" s="15" t="s">
        <v>19</v>
      </c>
      <c r="C24" s="7" t="s">
        <v>18</v>
      </c>
      <c r="D24" s="14">
        <v>9</v>
      </c>
      <c r="E24" s="14">
        <v>0</v>
      </c>
      <c r="F24" s="14">
        <v>0</v>
      </c>
      <c r="G24" s="14">
        <v>4</v>
      </c>
      <c r="H24" s="16">
        <v>411</v>
      </c>
      <c r="I24" s="17">
        <v>35</v>
      </c>
      <c r="J24" s="14">
        <v>233</v>
      </c>
      <c r="K24" s="14">
        <v>110</v>
      </c>
      <c r="L24" s="14">
        <v>14</v>
      </c>
      <c r="M24" s="14">
        <v>3</v>
      </c>
      <c r="N24" s="14">
        <v>0</v>
      </c>
      <c r="O24" s="14">
        <v>0</v>
      </c>
      <c r="P24" s="14">
        <v>3</v>
      </c>
      <c r="Q24" s="14">
        <v>0</v>
      </c>
      <c r="R24" s="14">
        <v>0</v>
      </c>
      <c r="S24" s="14">
        <v>0</v>
      </c>
      <c r="T24" s="18">
        <v>0</v>
      </c>
      <c r="U24" s="14">
        <v>1.175</v>
      </c>
      <c r="V24" s="41"/>
      <c r="W24" s="39">
        <f t="shared" si="4"/>
        <v>467.65000000000003</v>
      </c>
    </row>
    <row r="25" spans="1:29" ht="13" thickBot="1" x14ac:dyDescent="0.3">
      <c r="A25" s="7" t="s">
        <v>4</v>
      </c>
      <c r="B25" s="19" t="s">
        <v>20</v>
      </c>
      <c r="C25" s="20" t="s">
        <v>18</v>
      </c>
      <c r="D25" s="21">
        <v>0</v>
      </c>
      <c r="E25" s="21">
        <v>0</v>
      </c>
      <c r="F25" s="21">
        <v>0</v>
      </c>
      <c r="G25" s="21">
        <v>0</v>
      </c>
      <c r="H25" s="22">
        <v>21</v>
      </c>
      <c r="I25" s="23">
        <v>0</v>
      </c>
      <c r="J25" s="21">
        <v>21</v>
      </c>
      <c r="K25" s="21">
        <v>0</v>
      </c>
      <c r="L25" s="21">
        <v>0</v>
      </c>
      <c r="M25" s="21">
        <v>0</v>
      </c>
      <c r="N25" s="21">
        <v>0</v>
      </c>
      <c r="O25" s="21">
        <v>0</v>
      </c>
      <c r="P25" s="21">
        <v>0</v>
      </c>
      <c r="Q25" s="21">
        <v>0</v>
      </c>
      <c r="R25" s="21">
        <v>0</v>
      </c>
      <c r="S25" s="21">
        <v>0</v>
      </c>
      <c r="T25" s="24">
        <v>0</v>
      </c>
      <c r="U25" s="14">
        <v>1.175</v>
      </c>
      <c r="V25" s="44"/>
      <c r="W25" s="39">
        <f t="shared" si="4"/>
        <v>24.675000000000001</v>
      </c>
    </row>
    <row r="26" spans="1:29" ht="13" thickBot="1" x14ac:dyDescent="0.3">
      <c r="A26" s="7" t="s">
        <v>4</v>
      </c>
      <c r="B26" s="25" t="s">
        <v>12</v>
      </c>
      <c r="C26" s="26" t="s">
        <v>18</v>
      </c>
      <c r="D26" s="27">
        <v>118</v>
      </c>
      <c r="E26" s="27">
        <v>0</v>
      </c>
      <c r="F26" s="27">
        <v>0</v>
      </c>
      <c r="G26" s="27">
        <v>46</v>
      </c>
      <c r="H26" s="28">
        <v>8563</v>
      </c>
      <c r="I26" s="29">
        <v>2238</v>
      </c>
      <c r="J26" s="27">
        <v>2217</v>
      </c>
      <c r="K26" s="27">
        <v>3457</v>
      </c>
      <c r="L26" s="27">
        <v>374</v>
      </c>
      <c r="M26" s="27">
        <v>56</v>
      </c>
      <c r="N26" s="27">
        <v>40</v>
      </c>
      <c r="O26" s="27">
        <v>13</v>
      </c>
      <c r="P26" s="27">
        <v>3</v>
      </c>
      <c r="Q26" s="27">
        <v>1</v>
      </c>
      <c r="R26" s="27">
        <v>0</v>
      </c>
      <c r="S26" s="27">
        <v>0</v>
      </c>
      <c r="T26" s="29">
        <v>0</v>
      </c>
      <c r="U26" s="14">
        <v>1.175</v>
      </c>
      <c r="V26" s="43">
        <f>SUM(I21:T24)/SUM(H21:H24)</f>
        <v>0.96271879972721075</v>
      </c>
      <c r="W26" s="39">
        <f t="shared" si="4"/>
        <v>9868.8250000000007</v>
      </c>
      <c r="X26" s="35">
        <f>W24+W21</f>
        <v>1435.8500000000001</v>
      </c>
      <c r="Y26" s="35">
        <f>W19</f>
        <v>649.77499999999998</v>
      </c>
    </row>
    <row r="27" spans="1:29" x14ac:dyDescent="0.25">
      <c r="A27" s="7" t="s">
        <v>4</v>
      </c>
      <c r="B27" s="8" t="s">
        <v>17</v>
      </c>
      <c r="C27" s="9" t="s">
        <v>21</v>
      </c>
      <c r="D27" s="10">
        <v>0</v>
      </c>
      <c r="E27" s="10">
        <v>0</v>
      </c>
      <c r="F27" s="10">
        <v>0</v>
      </c>
      <c r="G27" s="10">
        <v>0</v>
      </c>
      <c r="H27" s="11">
        <v>47</v>
      </c>
      <c r="I27" s="12">
        <v>40</v>
      </c>
      <c r="J27" s="10">
        <v>7</v>
      </c>
      <c r="K27" s="10">
        <v>0</v>
      </c>
      <c r="L27" s="10">
        <v>0</v>
      </c>
      <c r="M27" s="10">
        <v>0</v>
      </c>
      <c r="N27" s="10">
        <v>0</v>
      </c>
      <c r="O27" s="10">
        <v>0</v>
      </c>
      <c r="P27" s="10">
        <v>0</v>
      </c>
      <c r="Q27" s="10">
        <v>0</v>
      </c>
      <c r="R27" s="10">
        <v>0</v>
      </c>
      <c r="S27" s="10">
        <v>0</v>
      </c>
      <c r="T27" s="13">
        <v>0</v>
      </c>
      <c r="U27" s="14">
        <v>1.175</v>
      </c>
      <c r="W27" s="38">
        <f t="shared" ref="W27:W34" si="5">H27*U27</f>
        <v>55.225000000000001</v>
      </c>
      <c r="AB27" s="37" t="str">
        <f t="shared" ref="AB27:AB33" si="6">B27</f>
        <v>Parts-OTC</v>
      </c>
      <c r="AC27" s="36">
        <f t="shared" ref="AC27:AC33" si="7">I27*U27</f>
        <v>47</v>
      </c>
    </row>
    <row r="28" spans="1:29" x14ac:dyDescent="0.25">
      <c r="A28" s="7" t="s">
        <v>4</v>
      </c>
      <c r="B28" s="15" t="s">
        <v>66</v>
      </c>
      <c r="C28" s="7" t="s">
        <v>21</v>
      </c>
      <c r="D28" s="14">
        <v>0</v>
      </c>
      <c r="E28" s="14">
        <v>0</v>
      </c>
      <c r="F28" s="14">
        <v>0</v>
      </c>
      <c r="G28" s="14">
        <v>0</v>
      </c>
      <c r="H28" s="16">
        <v>918</v>
      </c>
      <c r="I28" s="17">
        <v>4</v>
      </c>
      <c r="J28" s="14">
        <v>615</v>
      </c>
      <c r="K28" s="14">
        <v>299</v>
      </c>
      <c r="L28" s="14">
        <v>0</v>
      </c>
      <c r="M28" s="14">
        <v>0</v>
      </c>
      <c r="N28" s="14">
        <v>0</v>
      </c>
      <c r="O28" s="14">
        <v>0</v>
      </c>
      <c r="P28" s="14">
        <v>0</v>
      </c>
      <c r="Q28" s="14">
        <v>0</v>
      </c>
      <c r="R28" s="14">
        <v>0</v>
      </c>
      <c r="S28" s="14">
        <v>0</v>
      </c>
      <c r="T28" s="18">
        <v>0</v>
      </c>
      <c r="U28" s="14">
        <v>1.175</v>
      </c>
      <c r="W28" s="38">
        <f t="shared" si="5"/>
        <v>1078.6500000000001</v>
      </c>
      <c r="AB28" s="37" t="str">
        <f t="shared" si="6"/>
        <v>CTKS</v>
      </c>
      <c r="AC28" s="36">
        <f t="shared" si="7"/>
        <v>4.7</v>
      </c>
    </row>
    <row r="29" spans="1:29" x14ac:dyDescent="0.25">
      <c r="A29" s="7" t="s">
        <v>4</v>
      </c>
      <c r="B29" s="15" t="s">
        <v>13</v>
      </c>
      <c r="C29" s="7" t="s">
        <v>21</v>
      </c>
      <c r="D29" s="14">
        <v>0</v>
      </c>
      <c r="E29" s="14">
        <v>0</v>
      </c>
      <c r="F29" s="14">
        <v>0</v>
      </c>
      <c r="G29" s="14">
        <v>0</v>
      </c>
      <c r="H29" s="16">
        <v>576</v>
      </c>
      <c r="I29" s="17">
        <v>133</v>
      </c>
      <c r="J29" s="14">
        <v>434</v>
      </c>
      <c r="K29" s="14">
        <v>0</v>
      </c>
      <c r="L29" s="14">
        <v>0</v>
      </c>
      <c r="M29" s="14">
        <v>5</v>
      </c>
      <c r="N29" s="14">
        <v>2</v>
      </c>
      <c r="O29" s="14">
        <v>2</v>
      </c>
      <c r="P29" s="14">
        <v>0</v>
      </c>
      <c r="Q29" s="14">
        <v>0</v>
      </c>
      <c r="R29" s="14">
        <v>0</v>
      </c>
      <c r="S29" s="14">
        <v>0</v>
      </c>
      <c r="T29" s="18">
        <v>0</v>
      </c>
      <c r="U29" s="14">
        <v>1.175</v>
      </c>
      <c r="W29" s="38">
        <f t="shared" si="5"/>
        <v>676.80000000000007</v>
      </c>
      <c r="AB29" s="37" t="str">
        <f t="shared" si="6"/>
        <v>Repair</v>
      </c>
      <c r="AC29" s="36">
        <f t="shared" si="7"/>
        <v>156.27500000000001</v>
      </c>
    </row>
    <row r="30" spans="1:29" x14ac:dyDescent="0.25">
      <c r="A30" s="7" t="s">
        <v>4</v>
      </c>
      <c r="B30" s="15" t="s">
        <v>67</v>
      </c>
      <c r="C30" s="7" t="s">
        <v>21</v>
      </c>
      <c r="D30" s="14">
        <v>0</v>
      </c>
      <c r="E30" s="14">
        <v>0</v>
      </c>
      <c r="F30" s="14">
        <v>0</v>
      </c>
      <c r="G30" s="14">
        <v>0</v>
      </c>
      <c r="H30" s="16">
        <v>1007</v>
      </c>
      <c r="I30" s="17">
        <v>196</v>
      </c>
      <c r="J30" s="14">
        <v>214</v>
      </c>
      <c r="K30" s="14">
        <v>100</v>
      </c>
      <c r="L30" s="14">
        <v>96</v>
      </c>
      <c r="M30" s="14">
        <v>91</v>
      </c>
      <c r="N30" s="14">
        <v>68</v>
      </c>
      <c r="O30" s="14">
        <v>73</v>
      </c>
      <c r="P30" s="14">
        <v>53</v>
      </c>
      <c r="Q30" s="14">
        <v>46</v>
      </c>
      <c r="R30" s="14">
        <v>36</v>
      </c>
      <c r="S30" s="14">
        <v>19</v>
      </c>
      <c r="T30" s="18">
        <v>15</v>
      </c>
      <c r="U30" s="14">
        <v>1.175</v>
      </c>
      <c r="W30" s="38">
        <f t="shared" si="5"/>
        <v>1183.2250000000001</v>
      </c>
      <c r="AB30" s="37" t="str">
        <f t="shared" si="6"/>
        <v>Rental</v>
      </c>
      <c r="AC30" s="36">
        <f t="shared" si="7"/>
        <v>230.3</v>
      </c>
    </row>
    <row r="31" spans="1:29" x14ac:dyDescent="0.25">
      <c r="A31" s="7" t="s">
        <v>4</v>
      </c>
      <c r="B31" s="15" t="s">
        <v>73</v>
      </c>
      <c r="C31" s="7" t="s">
        <v>21</v>
      </c>
      <c r="D31" s="14">
        <v>0</v>
      </c>
      <c r="E31" s="14">
        <v>0</v>
      </c>
      <c r="F31" s="14">
        <v>0</v>
      </c>
      <c r="G31" s="14">
        <v>0</v>
      </c>
      <c r="H31" s="16">
        <v>499</v>
      </c>
      <c r="I31" s="17">
        <v>90</v>
      </c>
      <c r="J31" s="14">
        <v>254</v>
      </c>
      <c r="K31" s="14">
        <v>92</v>
      </c>
      <c r="L31" s="14">
        <v>63</v>
      </c>
      <c r="M31" s="14">
        <v>0</v>
      </c>
      <c r="N31" s="14">
        <v>0</v>
      </c>
      <c r="O31" s="14">
        <v>0</v>
      </c>
      <c r="P31" s="14">
        <v>0</v>
      </c>
      <c r="Q31" s="14">
        <v>0</v>
      </c>
      <c r="R31" s="14">
        <v>0</v>
      </c>
      <c r="S31" s="14">
        <v>0</v>
      </c>
      <c r="T31" s="18">
        <v>0</v>
      </c>
      <c r="U31" s="14">
        <v>1.175</v>
      </c>
      <c r="W31" s="38">
        <f t="shared" si="5"/>
        <v>586.32500000000005</v>
      </c>
      <c r="AB31" s="37"/>
    </row>
    <row r="32" spans="1:29" x14ac:dyDescent="0.25">
      <c r="A32" s="7" t="s">
        <v>4</v>
      </c>
      <c r="B32" s="15" t="s">
        <v>19</v>
      </c>
      <c r="C32" s="7" t="s">
        <v>21</v>
      </c>
      <c r="D32" s="14">
        <v>0</v>
      </c>
      <c r="E32" s="14">
        <v>0</v>
      </c>
      <c r="F32" s="14">
        <v>0</v>
      </c>
      <c r="G32" s="14">
        <v>0</v>
      </c>
      <c r="H32" s="16">
        <v>950</v>
      </c>
      <c r="I32" s="17">
        <v>140</v>
      </c>
      <c r="J32" s="14">
        <v>156</v>
      </c>
      <c r="K32" s="14">
        <v>94</v>
      </c>
      <c r="L32" s="14">
        <v>37</v>
      </c>
      <c r="M32" s="14">
        <v>93</v>
      </c>
      <c r="N32" s="14">
        <v>102</v>
      </c>
      <c r="O32" s="14">
        <v>106</v>
      </c>
      <c r="P32" s="14">
        <v>55</v>
      </c>
      <c r="Q32" s="14">
        <v>79</v>
      </c>
      <c r="R32" s="14">
        <v>28</v>
      </c>
      <c r="S32" s="14">
        <v>18</v>
      </c>
      <c r="T32" s="18">
        <v>42</v>
      </c>
      <c r="U32" s="14">
        <v>1.175</v>
      </c>
      <c r="W32" s="38">
        <f t="shared" si="5"/>
        <v>1116.25</v>
      </c>
      <c r="AB32" s="37" t="str">
        <f t="shared" si="6"/>
        <v>Maintenance</v>
      </c>
      <c r="AC32" s="36">
        <f t="shared" si="7"/>
        <v>164.5</v>
      </c>
    </row>
    <row r="33" spans="1:29" ht="13" thickBot="1" x14ac:dyDescent="0.3">
      <c r="A33" s="7" t="s">
        <v>4</v>
      </c>
      <c r="B33" s="19" t="s">
        <v>20</v>
      </c>
      <c r="C33" s="20" t="s">
        <v>21</v>
      </c>
      <c r="D33" s="21">
        <v>0</v>
      </c>
      <c r="E33" s="21">
        <v>0</v>
      </c>
      <c r="F33" s="21">
        <v>0</v>
      </c>
      <c r="G33" s="21">
        <v>0</v>
      </c>
      <c r="H33" s="22">
        <v>62</v>
      </c>
      <c r="I33" s="23">
        <v>26</v>
      </c>
      <c r="J33" s="21">
        <v>24</v>
      </c>
      <c r="K33" s="21">
        <v>9</v>
      </c>
      <c r="L33" s="21">
        <v>0</v>
      </c>
      <c r="M33" s="21">
        <v>0</v>
      </c>
      <c r="N33" s="21">
        <v>0</v>
      </c>
      <c r="O33" s="21">
        <v>3</v>
      </c>
      <c r="P33" s="21">
        <v>0</v>
      </c>
      <c r="Q33" s="21">
        <v>0</v>
      </c>
      <c r="R33" s="21">
        <v>0</v>
      </c>
      <c r="S33" s="21">
        <v>0</v>
      </c>
      <c r="T33" s="24">
        <v>0</v>
      </c>
      <c r="U33" s="14">
        <v>1.175</v>
      </c>
      <c r="W33" s="38">
        <f t="shared" si="5"/>
        <v>72.850000000000009</v>
      </c>
      <c r="AB33" s="37" t="str">
        <f t="shared" si="6"/>
        <v>Startup</v>
      </c>
      <c r="AC33" s="36">
        <f t="shared" si="7"/>
        <v>30.55</v>
      </c>
    </row>
    <row r="34" spans="1:29" ht="13" thickBot="1" x14ac:dyDescent="0.3">
      <c r="A34" s="20" t="s">
        <v>4</v>
      </c>
      <c r="B34" s="25" t="s">
        <v>12</v>
      </c>
      <c r="C34" s="26" t="s">
        <v>21</v>
      </c>
      <c r="D34" s="27">
        <v>0</v>
      </c>
      <c r="E34" s="27">
        <v>0</v>
      </c>
      <c r="F34" s="27">
        <v>0</v>
      </c>
      <c r="G34" s="27">
        <v>0</v>
      </c>
      <c r="H34" s="28">
        <v>4059</v>
      </c>
      <c r="I34" s="29">
        <v>629</v>
      </c>
      <c r="J34" s="27">
        <v>1704</v>
      </c>
      <c r="K34" s="27">
        <v>594</v>
      </c>
      <c r="L34" s="27">
        <v>196</v>
      </c>
      <c r="M34" s="27">
        <v>189</v>
      </c>
      <c r="N34" s="27">
        <v>172</v>
      </c>
      <c r="O34" s="27">
        <v>184</v>
      </c>
      <c r="P34" s="27">
        <v>108</v>
      </c>
      <c r="Q34" s="27">
        <v>125</v>
      </c>
      <c r="R34" s="27">
        <v>64</v>
      </c>
      <c r="S34" s="27">
        <v>37</v>
      </c>
      <c r="T34" s="29">
        <v>57</v>
      </c>
      <c r="U34" s="14">
        <v>1.175</v>
      </c>
      <c r="W34" s="38">
        <f t="shared" si="5"/>
        <v>4769.3249999999998</v>
      </c>
      <c r="X34" s="35">
        <f>W33+W32+W29</f>
        <v>1865.9</v>
      </c>
      <c r="Y34" s="35">
        <f>W27</f>
        <v>55.225000000000001</v>
      </c>
      <c r="Z34" s="40">
        <f>V25/X34</f>
        <v>0</v>
      </c>
      <c r="AA34" s="40">
        <f>IF((Y34=0),0,Y26/Y34)</f>
        <v>11.76595744680851</v>
      </c>
      <c r="AB34" s="48"/>
      <c r="AC34" s="48"/>
    </row>
    <row r="35" spans="1:29" ht="13" thickBot="1" x14ac:dyDescent="0.3">
      <c r="A35" s="9" t="s">
        <v>3</v>
      </c>
      <c r="B35" s="30" t="s">
        <v>15</v>
      </c>
      <c r="C35" s="31" t="s">
        <v>94</v>
      </c>
      <c r="D35" s="32" t="s">
        <v>47</v>
      </c>
      <c r="E35" s="53" t="s">
        <v>104</v>
      </c>
      <c r="F35" s="53" t="s">
        <v>105</v>
      </c>
      <c r="G35" s="53" t="s">
        <v>106</v>
      </c>
      <c r="H35" s="28" t="s">
        <v>12</v>
      </c>
      <c r="I35" s="54" t="s">
        <v>107</v>
      </c>
      <c r="J35" s="53" t="s">
        <v>108</v>
      </c>
      <c r="K35" s="53" t="s">
        <v>109</v>
      </c>
      <c r="L35" s="53" t="s">
        <v>110</v>
      </c>
      <c r="M35" s="53" t="s">
        <v>111</v>
      </c>
      <c r="N35" s="53" t="s">
        <v>115</v>
      </c>
      <c r="O35" s="53" t="s">
        <v>120</v>
      </c>
      <c r="P35" s="53" t="s">
        <v>121</v>
      </c>
      <c r="Q35" s="53" t="s">
        <v>164</v>
      </c>
      <c r="R35" s="53" t="s">
        <v>173</v>
      </c>
      <c r="S35" s="53" t="s">
        <v>177</v>
      </c>
      <c r="T35" s="55" t="s">
        <v>182</v>
      </c>
      <c r="U35" s="14">
        <v>1.175</v>
      </c>
      <c r="V35" s="14" t="s">
        <v>183</v>
      </c>
      <c r="W35" s="35"/>
      <c r="X35" s="14" t="s">
        <v>37</v>
      </c>
      <c r="Y35" s="14" t="s">
        <v>38</v>
      </c>
      <c r="AB35" s="48"/>
      <c r="AC35" s="48"/>
    </row>
    <row r="36" spans="1:29" x14ac:dyDescent="0.25">
      <c r="A36" s="7" t="s">
        <v>3</v>
      </c>
      <c r="B36" s="8" t="s">
        <v>17</v>
      </c>
      <c r="C36" s="9" t="s">
        <v>18</v>
      </c>
      <c r="D36" s="10">
        <v>0</v>
      </c>
      <c r="E36" s="10">
        <v>0</v>
      </c>
      <c r="F36" s="10">
        <v>0</v>
      </c>
      <c r="G36" s="10">
        <v>0</v>
      </c>
      <c r="H36" s="11">
        <v>1701</v>
      </c>
      <c r="I36" s="12">
        <v>177</v>
      </c>
      <c r="J36" s="10">
        <v>1505</v>
      </c>
      <c r="K36" s="10">
        <v>19</v>
      </c>
      <c r="L36" s="10">
        <v>0</v>
      </c>
      <c r="M36" s="10">
        <v>0</v>
      </c>
      <c r="N36" s="10">
        <v>0</v>
      </c>
      <c r="O36" s="10">
        <v>0</v>
      </c>
      <c r="P36" s="10">
        <v>0</v>
      </c>
      <c r="Q36" s="10">
        <v>0</v>
      </c>
      <c r="R36" s="10">
        <v>0</v>
      </c>
      <c r="S36" s="10">
        <v>0</v>
      </c>
      <c r="T36" s="13">
        <v>0</v>
      </c>
      <c r="U36" s="14">
        <v>1.175</v>
      </c>
      <c r="V36" s="42">
        <f>SUM(I36:T36)/H36</f>
        <v>1</v>
      </c>
      <c r="W36" s="39">
        <f>SUM(I36:T36)*U36</f>
        <v>1998.6750000000002</v>
      </c>
    </row>
    <row r="37" spans="1:29" x14ac:dyDescent="0.25">
      <c r="A37" s="7" t="s">
        <v>3</v>
      </c>
      <c r="B37" s="15" t="s">
        <v>66</v>
      </c>
      <c r="C37" s="7" t="s">
        <v>18</v>
      </c>
      <c r="D37" s="14">
        <v>0</v>
      </c>
      <c r="E37" s="14">
        <v>0</v>
      </c>
      <c r="F37" s="14">
        <v>0</v>
      </c>
      <c r="G37" s="14">
        <v>0</v>
      </c>
      <c r="H37" s="16">
        <v>324</v>
      </c>
      <c r="I37" s="17">
        <v>191</v>
      </c>
      <c r="J37" s="14">
        <v>96</v>
      </c>
      <c r="K37" s="14">
        <v>0</v>
      </c>
      <c r="L37" s="14">
        <v>25</v>
      </c>
      <c r="M37" s="14">
        <v>0</v>
      </c>
      <c r="N37" s="14">
        <v>0</v>
      </c>
      <c r="O37" s="14">
        <v>0</v>
      </c>
      <c r="P37" s="14">
        <v>0</v>
      </c>
      <c r="Q37" s="14">
        <v>12</v>
      </c>
      <c r="R37" s="14">
        <v>0</v>
      </c>
      <c r="S37" s="14">
        <v>0</v>
      </c>
      <c r="T37" s="18">
        <v>0</v>
      </c>
      <c r="U37" s="14">
        <v>1.175</v>
      </c>
      <c r="V37" s="44"/>
      <c r="W37" s="39">
        <f t="shared" ref="W37:W43" si="8">SUM(I37:T37)*U37</f>
        <v>380.7</v>
      </c>
    </row>
    <row r="38" spans="1:29" x14ac:dyDescent="0.25">
      <c r="A38" s="7" t="s">
        <v>3</v>
      </c>
      <c r="B38" s="15" t="s">
        <v>13</v>
      </c>
      <c r="C38" s="7" t="s">
        <v>18</v>
      </c>
      <c r="D38" s="14">
        <v>0</v>
      </c>
      <c r="E38" s="14">
        <v>0</v>
      </c>
      <c r="F38" s="14">
        <v>0</v>
      </c>
      <c r="G38" s="14">
        <v>0</v>
      </c>
      <c r="H38" s="16">
        <v>3008</v>
      </c>
      <c r="I38" s="17">
        <v>280</v>
      </c>
      <c r="J38" s="14">
        <v>2267</v>
      </c>
      <c r="K38" s="14">
        <v>449</v>
      </c>
      <c r="L38" s="14">
        <v>0</v>
      </c>
      <c r="M38" s="14">
        <v>0</v>
      </c>
      <c r="N38" s="14">
        <v>0</v>
      </c>
      <c r="O38" s="14">
        <v>0</v>
      </c>
      <c r="P38" s="14">
        <v>0</v>
      </c>
      <c r="Q38" s="14">
        <v>12</v>
      </c>
      <c r="R38" s="14">
        <v>0</v>
      </c>
      <c r="S38" s="14">
        <v>0</v>
      </c>
      <c r="T38" s="18">
        <v>0</v>
      </c>
      <c r="U38" s="14">
        <v>1.175</v>
      </c>
      <c r="V38" s="41"/>
      <c r="W38" s="39">
        <f t="shared" si="8"/>
        <v>3534.4</v>
      </c>
    </row>
    <row r="39" spans="1:29" x14ac:dyDescent="0.25">
      <c r="A39" s="7" t="s">
        <v>3</v>
      </c>
      <c r="B39" s="15" t="s">
        <v>67</v>
      </c>
      <c r="C39" s="7" t="s">
        <v>18</v>
      </c>
      <c r="D39" s="14">
        <v>0</v>
      </c>
      <c r="E39" s="14">
        <v>0</v>
      </c>
      <c r="F39" s="14">
        <v>0</v>
      </c>
      <c r="G39" s="14">
        <v>7</v>
      </c>
      <c r="H39" s="16">
        <v>2522</v>
      </c>
      <c r="I39" s="17">
        <v>650</v>
      </c>
      <c r="J39" s="14">
        <v>1431</v>
      </c>
      <c r="K39" s="14">
        <v>422</v>
      </c>
      <c r="L39" s="14">
        <v>0</v>
      </c>
      <c r="M39" s="14">
        <v>0</v>
      </c>
      <c r="N39" s="14">
        <v>12</v>
      </c>
      <c r="O39" s="14">
        <v>0</v>
      </c>
      <c r="P39" s="14">
        <v>0</v>
      </c>
      <c r="Q39" s="14">
        <v>0</v>
      </c>
      <c r="R39" s="14">
        <v>0</v>
      </c>
      <c r="S39" s="14">
        <v>0</v>
      </c>
      <c r="T39" s="18">
        <v>0</v>
      </c>
      <c r="U39" s="14">
        <v>1.175</v>
      </c>
      <c r="V39" s="41"/>
      <c r="W39" s="39">
        <f t="shared" si="8"/>
        <v>2955.125</v>
      </c>
    </row>
    <row r="40" spans="1:29" x14ac:dyDescent="0.25">
      <c r="A40" s="7" t="s">
        <v>3</v>
      </c>
      <c r="B40" s="15" t="s">
        <v>73</v>
      </c>
      <c r="C40" s="7" t="s">
        <v>18</v>
      </c>
      <c r="D40" s="14">
        <v>0</v>
      </c>
      <c r="E40" s="14">
        <v>0</v>
      </c>
      <c r="F40" s="14">
        <v>0</v>
      </c>
      <c r="G40" s="14">
        <v>0</v>
      </c>
      <c r="H40" s="16">
        <v>3926</v>
      </c>
      <c r="I40" s="17">
        <v>553</v>
      </c>
      <c r="J40" s="14">
        <v>2577</v>
      </c>
      <c r="K40" s="14">
        <v>779</v>
      </c>
      <c r="L40" s="14">
        <v>12</v>
      </c>
      <c r="M40" s="14">
        <v>0</v>
      </c>
      <c r="N40" s="14">
        <v>0</v>
      </c>
      <c r="O40" s="14">
        <v>0</v>
      </c>
      <c r="P40" s="14">
        <v>0</v>
      </c>
      <c r="Q40" s="14">
        <v>5</v>
      </c>
      <c r="R40" s="14">
        <v>0</v>
      </c>
      <c r="S40" s="14">
        <v>0</v>
      </c>
      <c r="T40" s="18">
        <v>0</v>
      </c>
      <c r="U40" s="14">
        <v>1.175</v>
      </c>
      <c r="V40" s="41"/>
      <c r="W40" s="39">
        <f t="shared" si="8"/>
        <v>4613.05</v>
      </c>
    </row>
    <row r="41" spans="1:29" x14ac:dyDescent="0.25">
      <c r="A41" s="7" t="s">
        <v>3</v>
      </c>
      <c r="B41" s="15" t="s">
        <v>19</v>
      </c>
      <c r="C41" s="7" t="s">
        <v>18</v>
      </c>
      <c r="D41" s="14">
        <v>0</v>
      </c>
      <c r="E41" s="14">
        <v>0</v>
      </c>
      <c r="F41" s="14">
        <v>0</v>
      </c>
      <c r="G41" s="14">
        <v>0</v>
      </c>
      <c r="H41" s="16">
        <v>1286</v>
      </c>
      <c r="I41" s="17">
        <v>201</v>
      </c>
      <c r="J41" s="14">
        <v>833</v>
      </c>
      <c r="K41" s="14">
        <v>222</v>
      </c>
      <c r="L41" s="14">
        <v>0</v>
      </c>
      <c r="M41" s="14">
        <v>0</v>
      </c>
      <c r="N41" s="14">
        <v>0</v>
      </c>
      <c r="O41" s="14">
        <v>3</v>
      </c>
      <c r="P41" s="14">
        <v>10</v>
      </c>
      <c r="Q41" s="14">
        <v>17</v>
      </c>
      <c r="R41" s="14">
        <v>0</v>
      </c>
      <c r="S41" s="14">
        <v>0</v>
      </c>
      <c r="T41" s="18">
        <v>0</v>
      </c>
      <c r="U41" s="14">
        <v>1.175</v>
      </c>
      <c r="V41" s="41"/>
      <c r="W41" s="39">
        <f t="shared" si="8"/>
        <v>1511.05</v>
      </c>
    </row>
    <row r="42" spans="1:29" ht="13" thickBot="1" x14ac:dyDescent="0.3">
      <c r="A42" s="7" t="s">
        <v>3</v>
      </c>
      <c r="B42" s="19" t="s">
        <v>20</v>
      </c>
      <c r="C42" s="20" t="s">
        <v>18</v>
      </c>
      <c r="D42" s="21">
        <v>0</v>
      </c>
      <c r="E42" s="21">
        <v>0</v>
      </c>
      <c r="F42" s="21">
        <v>0</v>
      </c>
      <c r="G42" s="21">
        <v>0</v>
      </c>
      <c r="H42" s="22">
        <v>1</v>
      </c>
      <c r="I42" s="23">
        <v>1</v>
      </c>
      <c r="J42" s="21">
        <v>0</v>
      </c>
      <c r="K42" s="21">
        <v>0</v>
      </c>
      <c r="L42" s="21">
        <v>0</v>
      </c>
      <c r="M42" s="21">
        <v>0</v>
      </c>
      <c r="N42" s="21">
        <v>0</v>
      </c>
      <c r="O42" s="21">
        <v>0</v>
      </c>
      <c r="P42" s="21">
        <v>0</v>
      </c>
      <c r="Q42" s="21">
        <v>0</v>
      </c>
      <c r="R42" s="21">
        <v>0</v>
      </c>
      <c r="S42" s="21">
        <v>0</v>
      </c>
      <c r="T42" s="24">
        <v>0</v>
      </c>
      <c r="U42" s="14">
        <v>1.175</v>
      </c>
      <c r="V42" s="44"/>
      <c r="W42" s="39">
        <f t="shared" si="8"/>
        <v>1.175</v>
      </c>
    </row>
    <row r="43" spans="1:29" ht="13" thickBot="1" x14ac:dyDescent="0.3">
      <c r="A43" s="7" t="s">
        <v>3</v>
      </c>
      <c r="B43" s="25" t="s">
        <v>12</v>
      </c>
      <c r="C43" s="26" t="s">
        <v>18</v>
      </c>
      <c r="D43" s="27">
        <v>0</v>
      </c>
      <c r="E43" s="27">
        <v>0</v>
      </c>
      <c r="F43" s="27">
        <v>0</v>
      </c>
      <c r="G43" s="27">
        <v>7</v>
      </c>
      <c r="H43" s="28">
        <v>12768</v>
      </c>
      <c r="I43" s="29">
        <v>2053</v>
      </c>
      <c r="J43" s="27">
        <v>8709</v>
      </c>
      <c r="K43" s="27">
        <v>1891</v>
      </c>
      <c r="L43" s="27">
        <v>37</v>
      </c>
      <c r="M43" s="27">
        <v>0</v>
      </c>
      <c r="N43" s="27">
        <v>12</v>
      </c>
      <c r="O43" s="27">
        <v>3</v>
      </c>
      <c r="P43" s="27">
        <v>10</v>
      </c>
      <c r="Q43" s="27">
        <v>46</v>
      </c>
      <c r="R43" s="27">
        <v>0</v>
      </c>
      <c r="S43" s="27">
        <v>0</v>
      </c>
      <c r="T43" s="29">
        <v>0</v>
      </c>
      <c r="U43" s="14">
        <v>1.175</v>
      </c>
      <c r="V43" s="43">
        <f>SUM(I38:T41)/SUM(H38:H41)</f>
        <v>0.99934835226214858</v>
      </c>
      <c r="W43" s="39">
        <f t="shared" si="8"/>
        <v>14994.175000000001</v>
      </c>
      <c r="X43" s="35">
        <f>W41+W38</f>
        <v>5045.45</v>
      </c>
      <c r="Y43" s="35">
        <f>W36</f>
        <v>1998.6750000000002</v>
      </c>
    </row>
    <row r="44" spans="1:29" x14ac:dyDescent="0.25">
      <c r="A44" s="7" t="s">
        <v>3</v>
      </c>
      <c r="B44" s="8" t="s">
        <v>17</v>
      </c>
      <c r="C44" s="9" t="s">
        <v>21</v>
      </c>
      <c r="D44" s="10">
        <v>0</v>
      </c>
      <c r="E44" s="10">
        <v>0</v>
      </c>
      <c r="F44" s="10">
        <v>0</v>
      </c>
      <c r="G44" s="10">
        <v>0</v>
      </c>
      <c r="H44" s="11">
        <v>273</v>
      </c>
      <c r="I44" s="12">
        <v>169</v>
      </c>
      <c r="J44" s="10">
        <v>86</v>
      </c>
      <c r="K44" s="10">
        <v>11</v>
      </c>
      <c r="L44" s="10">
        <v>7</v>
      </c>
      <c r="M44" s="10">
        <v>0</v>
      </c>
      <c r="N44" s="10">
        <v>0</v>
      </c>
      <c r="O44" s="10">
        <v>0</v>
      </c>
      <c r="P44" s="10">
        <v>0</v>
      </c>
      <c r="Q44" s="10">
        <v>0</v>
      </c>
      <c r="R44" s="10">
        <v>0</v>
      </c>
      <c r="S44" s="10">
        <v>0</v>
      </c>
      <c r="T44" s="13">
        <v>0</v>
      </c>
      <c r="U44" s="14">
        <v>1.175</v>
      </c>
      <c r="W44" s="38">
        <f t="shared" ref="W44:W51" si="9">H44*U44</f>
        <v>320.77500000000003</v>
      </c>
      <c r="AB44" s="37" t="str">
        <f t="shared" ref="AB44:AB50" si="10">B44</f>
        <v>Parts-OTC</v>
      </c>
      <c r="AC44" s="36">
        <f t="shared" ref="AC44:AC50" si="11">I44*U44</f>
        <v>198.57500000000002</v>
      </c>
    </row>
    <row r="45" spans="1:29" x14ac:dyDescent="0.25">
      <c r="A45" s="7" t="s">
        <v>3</v>
      </c>
      <c r="B45" s="15" t="s">
        <v>66</v>
      </c>
      <c r="C45" s="7" t="s">
        <v>21</v>
      </c>
      <c r="D45" s="14">
        <v>0</v>
      </c>
      <c r="E45" s="14">
        <v>0</v>
      </c>
      <c r="F45" s="14">
        <v>0</v>
      </c>
      <c r="G45" s="14">
        <v>0</v>
      </c>
      <c r="H45" s="16">
        <v>741</v>
      </c>
      <c r="I45" s="17">
        <v>99</v>
      </c>
      <c r="J45" s="14">
        <v>0</v>
      </c>
      <c r="K45" s="14">
        <v>0</v>
      </c>
      <c r="L45" s="14">
        <v>0</v>
      </c>
      <c r="M45" s="14">
        <v>0</v>
      </c>
      <c r="N45" s="14">
        <v>14</v>
      </c>
      <c r="O45" s="14">
        <v>0</v>
      </c>
      <c r="P45" s="14">
        <v>0</v>
      </c>
      <c r="Q45" s="14">
        <v>628</v>
      </c>
      <c r="R45" s="14">
        <v>0</v>
      </c>
      <c r="S45" s="14">
        <v>0</v>
      </c>
      <c r="T45" s="18">
        <v>0</v>
      </c>
      <c r="U45" s="14">
        <v>1.175</v>
      </c>
      <c r="W45" s="38">
        <f t="shared" si="9"/>
        <v>870.67500000000007</v>
      </c>
      <c r="AB45" s="37" t="str">
        <f t="shared" si="10"/>
        <v>CTKS</v>
      </c>
      <c r="AC45" s="36">
        <f t="shared" si="11"/>
        <v>116.325</v>
      </c>
    </row>
    <row r="46" spans="1:29" x14ac:dyDescent="0.25">
      <c r="A46" s="7" t="s">
        <v>3</v>
      </c>
      <c r="B46" s="15" t="s">
        <v>13</v>
      </c>
      <c r="C46" s="7" t="s">
        <v>21</v>
      </c>
      <c r="D46" s="14">
        <v>0</v>
      </c>
      <c r="E46" s="14">
        <v>0</v>
      </c>
      <c r="F46" s="14">
        <v>0</v>
      </c>
      <c r="G46" s="14">
        <v>0</v>
      </c>
      <c r="H46" s="16">
        <v>1301</v>
      </c>
      <c r="I46" s="17">
        <v>377</v>
      </c>
      <c r="J46" s="14">
        <v>21</v>
      </c>
      <c r="K46" s="14">
        <v>82</v>
      </c>
      <c r="L46" s="14">
        <v>386</v>
      </c>
      <c r="M46" s="14">
        <v>198</v>
      </c>
      <c r="N46" s="14">
        <v>82</v>
      </c>
      <c r="O46" s="14">
        <v>122</v>
      </c>
      <c r="P46" s="14">
        <v>0</v>
      </c>
      <c r="Q46" s="14">
        <v>33</v>
      </c>
      <c r="R46" s="14">
        <v>0</v>
      </c>
      <c r="S46" s="14">
        <v>0</v>
      </c>
      <c r="T46" s="18">
        <v>0</v>
      </c>
      <c r="U46" s="14">
        <v>1.175</v>
      </c>
      <c r="W46" s="38">
        <f t="shared" si="9"/>
        <v>1528.675</v>
      </c>
      <c r="AB46" s="37" t="str">
        <f t="shared" si="10"/>
        <v>Repair</v>
      </c>
      <c r="AC46" s="36">
        <f t="shared" si="11"/>
        <v>442.97500000000002</v>
      </c>
    </row>
    <row r="47" spans="1:29" x14ac:dyDescent="0.25">
      <c r="A47" s="7" t="s">
        <v>3</v>
      </c>
      <c r="B47" s="15" t="s">
        <v>67</v>
      </c>
      <c r="C47" s="7" t="s">
        <v>21</v>
      </c>
      <c r="D47" s="14">
        <v>0</v>
      </c>
      <c r="E47" s="14">
        <v>0</v>
      </c>
      <c r="F47" s="14">
        <v>0</v>
      </c>
      <c r="G47" s="14">
        <v>0</v>
      </c>
      <c r="H47" s="16">
        <v>1433</v>
      </c>
      <c r="I47" s="17">
        <v>181</v>
      </c>
      <c r="J47" s="14">
        <v>153</v>
      </c>
      <c r="K47" s="14">
        <v>169</v>
      </c>
      <c r="L47" s="14">
        <v>173</v>
      </c>
      <c r="M47" s="14">
        <v>149</v>
      </c>
      <c r="N47" s="14">
        <v>163</v>
      </c>
      <c r="O47" s="14">
        <v>204</v>
      </c>
      <c r="P47" s="14">
        <v>58</v>
      </c>
      <c r="Q47" s="14">
        <v>53</v>
      </c>
      <c r="R47" s="14">
        <v>38</v>
      </c>
      <c r="S47" s="14">
        <v>35</v>
      </c>
      <c r="T47" s="18">
        <v>57</v>
      </c>
      <c r="U47" s="14">
        <v>1.175</v>
      </c>
      <c r="W47" s="38">
        <f t="shared" si="9"/>
        <v>1683.7750000000001</v>
      </c>
      <c r="AB47" s="37" t="str">
        <f t="shared" si="10"/>
        <v>Rental</v>
      </c>
      <c r="AC47" s="36">
        <f t="shared" si="11"/>
        <v>212.67500000000001</v>
      </c>
    </row>
    <row r="48" spans="1:29" x14ac:dyDescent="0.25">
      <c r="A48" s="7" t="s">
        <v>3</v>
      </c>
      <c r="B48" s="15" t="s">
        <v>73</v>
      </c>
      <c r="C48" s="7" t="s">
        <v>21</v>
      </c>
      <c r="D48" s="14">
        <v>0</v>
      </c>
      <c r="E48" s="14">
        <v>0</v>
      </c>
      <c r="F48" s="14">
        <v>0</v>
      </c>
      <c r="G48" s="14">
        <v>0</v>
      </c>
      <c r="H48" s="16">
        <v>2095</v>
      </c>
      <c r="I48" s="17">
        <v>384</v>
      </c>
      <c r="J48" s="14">
        <v>5</v>
      </c>
      <c r="K48" s="14">
        <v>101</v>
      </c>
      <c r="L48" s="14">
        <v>734</v>
      </c>
      <c r="M48" s="14">
        <v>311</v>
      </c>
      <c r="N48" s="14">
        <v>181</v>
      </c>
      <c r="O48" s="14">
        <v>144</v>
      </c>
      <c r="P48" s="14">
        <v>72</v>
      </c>
      <c r="Q48" s="14">
        <v>163</v>
      </c>
      <c r="R48" s="14">
        <v>0</v>
      </c>
      <c r="S48" s="14">
        <v>0</v>
      </c>
      <c r="T48" s="18">
        <v>0</v>
      </c>
      <c r="U48" s="14">
        <v>1.175</v>
      </c>
      <c r="W48" s="38">
        <f t="shared" si="9"/>
        <v>2461.625</v>
      </c>
      <c r="AB48" s="37"/>
    </row>
    <row r="49" spans="1:29" x14ac:dyDescent="0.25">
      <c r="A49" s="7" t="s">
        <v>3</v>
      </c>
      <c r="B49" s="15" t="s">
        <v>19</v>
      </c>
      <c r="C49" s="7" t="s">
        <v>21</v>
      </c>
      <c r="D49" s="14">
        <v>0</v>
      </c>
      <c r="E49" s="14">
        <v>0</v>
      </c>
      <c r="F49" s="14">
        <v>0</v>
      </c>
      <c r="G49" s="14">
        <v>0</v>
      </c>
      <c r="H49" s="16">
        <v>3670</v>
      </c>
      <c r="I49" s="17">
        <v>505</v>
      </c>
      <c r="J49" s="14">
        <v>672</v>
      </c>
      <c r="K49" s="14">
        <v>413</v>
      </c>
      <c r="L49" s="14">
        <v>250</v>
      </c>
      <c r="M49" s="14">
        <v>334</v>
      </c>
      <c r="N49" s="14">
        <v>415</v>
      </c>
      <c r="O49" s="14">
        <v>250</v>
      </c>
      <c r="P49" s="14">
        <v>341</v>
      </c>
      <c r="Q49" s="14">
        <v>308</v>
      </c>
      <c r="R49" s="14">
        <v>52</v>
      </c>
      <c r="S49" s="14">
        <v>87</v>
      </c>
      <c r="T49" s="18">
        <v>43</v>
      </c>
      <c r="U49" s="14">
        <v>1.175</v>
      </c>
      <c r="W49" s="38">
        <f t="shared" si="9"/>
        <v>4312.25</v>
      </c>
      <c r="AB49" s="37" t="str">
        <f t="shared" si="10"/>
        <v>Maintenance</v>
      </c>
      <c r="AC49" s="36">
        <f t="shared" si="11"/>
        <v>593.375</v>
      </c>
    </row>
    <row r="50" spans="1:29" ht="13" thickBot="1" x14ac:dyDescent="0.3">
      <c r="A50" s="7" t="s">
        <v>3</v>
      </c>
      <c r="B50" s="19" t="s">
        <v>20</v>
      </c>
      <c r="C50" s="20" t="s">
        <v>21</v>
      </c>
      <c r="D50" s="21">
        <v>0</v>
      </c>
      <c r="E50" s="21">
        <v>0</v>
      </c>
      <c r="F50" s="21">
        <v>0</v>
      </c>
      <c r="G50" s="21">
        <v>0</v>
      </c>
      <c r="H50" s="22">
        <v>133</v>
      </c>
      <c r="I50" s="23">
        <v>60</v>
      </c>
      <c r="J50" s="21">
        <v>5</v>
      </c>
      <c r="K50" s="21">
        <v>9</v>
      </c>
      <c r="L50" s="21">
        <v>25</v>
      </c>
      <c r="M50" s="21">
        <v>32</v>
      </c>
      <c r="N50" s="21">
        <v>1</v>
      </c>
      <c r="O50" s="21">
        <v>1</v>
      </c>
      <c r="P50" s="21">
        <v>0</v>
      </c>
      <c r="Q50" s="21">
        <v>0</v>
      </c>
      <c r="R50" s="21">
        <v>0</v>
      </c>
      <c r="S50" s="21">
        <v>0</v>
      </c>
      <c r="T50" s="24">
        <v>0</v>
      </c>
      <c r="U50" s="14">
        <v>1.175</v>
      </c>
      <c r="W50" s="38">
        <f t="shared" si="9"/>
        <v>156.27500000000001</v>
      </c>
      <c r="AB50" s="37" t="str">
        <f t="shared" si="10"/>
        <v>Startup</v>
      </c>
      <c r="AC50" s="36">
        <f t="shared" si="11"/>
        <v>70.5</v>
      </c>
    </row>
    <row r="51" spans="1:29" ht="13" thickBot="1" x14ac:dyDescent="0.3">
      <c r="A51" s="20" t="s">
        <v>3</v>
      </c>
      <c r="B51" s="25" t="s">
        <v>12</v>
      </c>
      <c r="C51" s="26" t="s">
        <v>21</v>
      </c>
      <c r="D51" s="27">
        <v>0</v>
      </c>
      <c r="E51" s="27">
        <v>0</v>
      </c>
      <c r="F51" s="27">
        <v>0</v>
      </c>
      <c r="G51" s="27">
        <v>0</v>
      </c>
      <c r="H51" s="28">
        <v>9646</v>
      </c>
      <c r="I51" s="29">
        <v>1775</v>
      </c>
      <c r="J51" s="27">
        <v>942</v>
      </c>
      <c r="K51" s="27">
        <v>785</v>
      </c>
      <c r="L51" s="27">
        <v>1575</v>
      </c>
      <c r="M51" s="27">
        <v>1024</v>
      </c>
      <c r="N51" s="27">
        <v>856</v>
      </c>
      <c r="O51" s="27">
        <v>721</v>
      </c>
      <c r="P51" s="27">
        <v>471</v>
      </c>
      <c r="Q51" s="27">
        <v>1185</v>
      </c>
      <c r="R51" s="27">
        <v>90</v>
      </c>
      <c r="S51" s="27">
        <v>122</v>
      </c>
      <c r="T51" s="29">
        <v>100</v>
      </c>
      <c r="U51" s="14">
        <v>1.175</v>
      </c>
      <c r="W51" s="38">
        <f t="shared" si="9"/>
        <v>11334.050000000001</v>
      </c>
      <c r="X51" s="35">
        <f>W50+W49+W46</f>
        <v>5997.2</v>
      </c>
      <c r="Y51" s="35">
        <f>W44</f>
        <v>320.77500000000003</v>
      </c>
      <c r="Z51" s="40">
        <f>V42/X51</f>
        <v>0</v>
      </c>
      <c r="AA51" s="40">
        <f>IF((Y51=0),0,Y43/Y51)</f>
        <v>6.2307692307692308</v>
      </c>
      <c r="AB51" s="48"/>
      <c r="AC51" s="48"/>
    </row>
    <row r="52" spans="1:29" ht="13" thickBot="1" x14ac:dyDescent="0.3">
      <c r="A52" s="9" t="s">
        <v>24</v>
      </c>
      <c r="B52" s="30" t="s">
        <v>15</v>
      </c>
      <c r="C52" s="31" t="s">
        <v>94</v>
      </c>
      <c r="D52" s="32" t="s">
        <v>47</v>
      </c>
      <c r="E52" s="53" t="s">
        <v>104</v>
      </c>
      <c r="F52" s="53" t="s">
        <v>105</v>
      </c>
      <c r="G52" s="53" t="s">
        <v>106</v>
      </c>
      <c r="H52" s="28" t="s">
        <v>12</v>
      </c>
      <c r="I52" s="54" t="s">
        <v>107</v>
      </c>
      <c r="J52" s="53" t="s">
        <v>108</v>
      </c>
      <c r="K52" s="53" t="s">
        <v>109</v>
      </c>
      <c r="L52" s="53" t="s">
        <v>110</v>
      </c>
      <c r="M52" s="53" t="s">
        <v>111</v>
      </c>
      <c r="N52" s="53" t="s">
        <v>115</v>
      </c>
      <c r="O52" s="53" t="s">
        <v>120</v>
      </c>
      <c r="P52" s="53" t="s">
        <v>121</v>
      </c>
      <c r="Q52" s="53" t="s">
        <v>164</v>
      </c>
      <c r="R52" s="53" t="s">
        <v>173</v>
      </c>
      <c r="S52" s="53" t="s">
        <v>177</v>
      </c>
      <c r="T52" s="55" t="s">
        <v>182</v>
      </c>
      <c r="U52" s="14">
        <v>1.34</v>
      </c>
      <c r="V52" s="14" t="s">
        <v>183</v>
      </c>
      <c r="W52" s="35"/>
      <c r="X52" s="14" t="s">
        <v>37</v>
      </c>
      <c r="Y52" s="14" t="s">
        <v>38</v>
      </c>
      <c r="AB52" s="48"/>
      <c r="AC52" s="48"/>
    </row>
    <row r="53" spans="1:29" x14ac:dyDescent="0.25">
      <c r="A53" s="7" t="s">
        <v>24</v>
      </c>
      <c r="B53" s="8" t="s">
        <v>17</v>
      </c>
      <c r="C53" s="9" t="s">
        <v>18</v>
      </c>
      <c r="D53" s="10">
        <v>1</v>
      </c>
      <c r="E53" s="10">
        <v>0</v>
      </c>
      <c r="F53" s="10">
        <v>29</v>
      </c>
      <c r="G53" s="10">
        <v>0</v>
      </c>
      <c r="H53" s="11">
        <v>681</v>
      </c>
      <c r="I53" s="12">
        <v>637</v>
      </c>
      <c r="J53" s="10">
        <v>14</v>
      </c>
      <c r="K53" s="10">
        <v>0</v>
      </c>
      <c r="L53" s="10">
        <v>0</v>
      </c>
      <c r="M53" s="10">
        <v>0</v>
      </c>
      <c r="N53" s="10">
        <v>0</v>
      </c>
      <c r="O53" s="10">
        <v>0</v>
      </c>
      <c r="P53" s="10">
        <v>0</v>
      </c>
      <c r="Q53" s="10">
        <v>0</v>
      </c>
      <c r="R53" s="10">
        <v>0</v>
      </c>
      <c r="S53" s="10">
        <v>0</v>
      </c>
      <c r="T53" s="13">
        <v>0</v>
      </c>
      <c r="U53" s="14">
        <v>1.34</v>
      </c>
      <c r="V53" s="42">
        <f>SUM(I53:T53)/H53</f>
        <v>0.95594713656387664</v>
      </c>
      <c r="W53" s="39">
        <f>SUM(I53:T53)*U53</f>
        <v>872.34</v>
      </c>
    </row>
    <row r="54" spans="1:29" x14ac:dyDescent="0.25">
      <c r="A54" s="7" t="s">
        <v>24</v>
      </c>
      <c r="B54" s="15" t="s">
        <v>66</v>
      </c>
      <c r="C54" s="7" t="s">
        <v>18</v>
      </c>
      <c r="D54" s="14">
        <v>0</v>
      </c>
      <c r="E54" s="14">
        <v>0</v>
      </c>
      <c r="F54" s="14">
        <v>0</v>
      </c>
      <c r="G54" s="14">
        <v>0</v>
      </c>
      <c r="H54" s="16">
        <v>453</v>
      </c>
      <c r="I54" s="17">
        <v>52</v>
      </c>
      <c r="J54" s="14">
        <v>43</v>
      </c>
      <c r="K54" s="14">
        <v>225</v>
      </c>
      <c r="L54" s="14">
        <v>46</v>
      </c>
      <c r="M54" s="14">
        <v>49</v>
      </c>
      <c r="N54" s="14">
        <v>38</v>
      </c>
      <c r="O54" s="14">
        <v>0</v>
      </c>
      <c r="P54" s="14">
        <v>0</v>
      </c>
      <c r="Q54" s="14">
        <v>0</v>
      </c>
      <c r="R54" s="14">
        <v>0</v>
      </c>
      <c r="S54" s="14">
        <v>0</v>
      </c>
      <c r="T54" s="18">
        <v>0</v>
      </c>
      <c r="U54" s="14">
        <v>1.34</v>
      </c>
      <c r="V54" s="44"/>
      <c r="W54" s="39">
        <f t="shared" ref="W54:W60" si="12">SUM(I54:T54)*U54</f>
        <v>607.02</v>
      </c>
    </row>
    <row r="55" spans="1:29" x14ac:dyDescent="0.25">
      <c r="A55" s="7" t="s">
        <v>24</v>
      </c>
      <c r="B55" s="15" t="s">
        <v>13</v>
      </c>
      <c r="C55" s="7" t="s">
        <v>18</v>
      </c>
      <c r="D55" s="14">
        <v>1</v>
      </c>
      <c r="E55" s="14">
        <v>4</v>
      </c>
      <c r="F55" s="14">
        <v>0</v>
      </c>
      <c r="G55" s="14">
        <v>16</v>
      </c>
      <c r="H55" s="16">
        <v>4064</v>
      </c>
      <c r="I55" s="17">
        <v>1810</v>
      </c>
      <c r="J55" s="14">
        <v>1522</v>
      </c>
      <c r="K55" s="14">
        <v>389</v>
      </c>
      <c r="L55" s="14">
        <v>174</v>
      </c>
      <c r="M55" s="14">
        <v>91</v>
      </c>
      <c r="N55" s="14">
        <v>0</v>
      </c>
      <c r="O55" s="14">
        <v>0</v>
      </c>
      <c r="P55" s="14">
        <v>0</v>
      </c>
      <c r="Q55" s="14">
        <v>57</v>
      </c>
      <c r="R55" s="14">
        <v>0</v>
      </c>
      <c r="S55" s="14">
        <v>0</v>
      </c>
      <c r="T55" s="18">
        <v>0</v>
      </c>
      <c r="U55" s="14">
        <v>1.34</v>
      </c>
      <c r="V55" s="41"/>
      <c r="W55" s="39">
        <f t="shared" si="12"/>
        <v>5417.62</v>
      </c>
    </row>
    <row r="56" spans="1:29" x14ac:dyDescent="0.25">
      <c r="A56" s="7" t="s">
        <v>24</v>
      </c>
      <c r="B56" s="15" t="s">
        <v>67</v>
      </c>
      <c r="C56" s="7" t="s">
        <v>18</v>
      </c>
      <c r="D56" s="14">
        <v>2</v>
      </c>
      <c r="E56" s="14">
        <v>0</v>
      </c>
      <c r="F56" s="14">
        <v>12</v>
      </c>
      <c r="G56" s="14">
        <v>178</v>
      </c>
      <c r="H56" s="16">
        <v>2476</v>
      </c>
      <c r="I56" s="17">
        <v>292</v>
      </c>
      <c r="J56" s="14">
        <v>821</v>
      </c>
      <c r="K56" s="14">
        <v>1021</v>
      </c>
      <c r="L56" s="14">
        <v>7</v>
      </c>
      <c r="M56" s="14">
        <v>143</v>
      </c>
      <c r="N56" s="14">
        <v>0</v>
      </c>
      <c r="O56" s="14">
        <v>0</v>
      </c>
      <c r="P56" s="14">
        <v>0</v>
      </c>
      <c r="Q56" s="14">
        <v>0</v>
      </c>
      <c r="R56" s="14">
        <v>0</v>
      </c>
      <c r="S56" s="14">
        <v>0</v>
      </c>
      <c r="T56" s="18">
        <v>0</v>
      </c>
      <c r="U56" s="14">
        <v>1.34</v>
      </c>
      <c r="V56" s="41"/>
      <c r="W56" s="39">
        <f t="shared" si="12"/>
        <v>3060.5600000000004</v>
      </c>
    </row>
    <row r="57" spans="1:29" x14ac:dyDescent="0.25">
      <c r="A57" s="7" t="s">
        <v>24</v>
      </c>
      <c r="B57" s="15" t="s">
        <v>73</v>
      </c>
      <c r="C57" s="7" t="s">
        <v>18</v>
      </c>
      <c r="D57" s="14">
        <v>0</v>
      </c>
      <c r="E57" s="14">
        <v>18</v>
      </c>
      <c r="F57" s="14">
        <v>92</v>
      </c>
      <c r="G57" s="14">
        <v>391</v>
      </c>
      <c r="H57" s="16">
        <v>5569</v>
      </c>
      <c r="I57" s="17">
        <v>1614</v>
      </c>
      <c r="J57" s="14">
        <v>2080</v>
      </c>
      <c r="K57" s="14">
        <v>568</v>
      </c>
      <c r="L57" s="14">
        <v>237</v>
      </c>
      <c r="M57" s="14">
        <v>43</v>
      </c>
      <c r="N57" s="14">
        <v>74</v>
      </c>
      <c r="O57" s="14">
        <v>360</v>
      </c>
      <c r="P57" s="14">
        <v>64</v>
      </c>
      <c r="Q57" s="14">
        <v>0</v>
      </c>
      <c r="R57" s="14">
        <v>28</v>
      </c>
      <c r="S57" s="14">
        <v>0</v>
      </c>
      <c r="T57" s="18">
        <v>0</v>
      </c>
      <c r="U57" s="14">
        <v>1.34</v>
      </c>
      <c r="V57" s="41"/>
      <c r="W57" s="39">
        <f t="shared" si="12"/>
        <v>6791.1200000000008</v>
      </c>
    </row>
    <row r="58" spans="1:29" x14ac:dyDescent="0.25">
      <c r="A58" s="7" t="s">
        <v>24</v>
      </c>
      <c r="B58" s="15" t="s">
        <v>19</v>
      </c>
      <c r="C58" s="7" t="s">
        <v>18</v>
      </c>
      <c r="D58" s="14">
        <v>0</v>
      </c>
      <c r="E58" s="14">
        <v>5</v>
      </c>
      <c r="F58" s="14">
        <v>2</v>
      </c>
      <c r="G58" s="14">
        <v>242</v>
      </c>
      <c r="H58" s="16">
        <v>6301</v>
      </c>
      <c r="I58" s="17">
        <v>2191</v>
      </c>
      <c r="J58" s="14">
        <v>1341</v>
      </c>
      <c r="K58" s="14">
        <v>1994</v>
      </c>
      <c r="L58" s="14">
        <v>172</v>
      </c>
      <c r="M58" s="14">
        <v>176</v>
      </c>
      <c r="N58" s="14">
        <v>56</v>
      </c>
      <c r="O58" s="14">
        <v>70</v>
      </c>
      <c r="P58" s="14">
        <v>9</v>
      </c>
      <c r="Q58" s="14">
        <v>11</v>
      </c>
      <c r="R58" s="14">
        <v>32</v>
      </c>
      <c r="S58" s="14">
        <v>0</v>
      </c>
      <c r="T58" s="18">
        <v>0</v>
      </c>
      <c r="U58" s="14">
        <v>1.34</v>
      </c>
      <c r="V58" s="41"/>
      <c r="W58" s="39">
        <f t="shared" si="12"/>
        <v>8109.68</v>
      </c>
    </row>
    <row r="59" spans="1:29" ht="13" thickBot="1" x14ac:dyDescent="0.3">
      <c r="A59" s="7" t="s">
        <v>24</v>
      </c>
      <c r="B59" s="19" t="s">
        <v>20</v>
      </c>
      <c r="C59" s="20" t="s">
        <v>18</v>
      </c>
      <c r="D59" s="21">
        <v>0</v>
      </c>
      <c r="E59" s="21">
        <v>0</v>
      </c>
      <c r="F59" s="21">
        <v>0</v>
      </c>
      <c r="G59" s="21">
        <v>0</v>
      </c>
      <c r="H59" s="22">
        <v>2</v>
      </c>
      <c r="I59" s="23">
        <v>1</v>
      </c>
      <c r="J59" s="21">
        <v>0</v>
      </c>
      <c r="K59" s="21">
        <v>0</v>
      </c>
      <c r="L59" s="21">
        <v>0</v>
      </c>
      <c r="M59" s="21">
        <v>1</v>
      </c>
      <c r="N59" s="21">
        <v>0</v>
      </c>
      <c r="O59" s="21">
        <v>0</v>
      </c>
      <c r="P59" s="21">
        <v>0</v>
      </c>
      <c r="Q59" s="21">
        <v>0</v>
      </c>
      <c r="R59" s="21">
        <v>0</v>
      </c>
      <c r="S59" s="21">
        <v>0</v>
      </c>
      <c r="T59" s="24">
        <v>0</v>
      </c>
      <c r="U59" s="14">
        <v>1.34</v>
      </c>
      <c r="V59" s="44"/>
      <c r="W59" s="39">
        <f t="shared" si="12"/>
        <v>2.68</v>
      </c>
    </row>
    <row r="60" spans="1:29" ht="13" thickBot="1" x14ac:dyDescent="0.3">
      <c r="A60" s="7" t="s">
        <v>24</v>
      </c>
      <c r="B60" s="25" t="s">
        <v>12</v>
      </c>
      <c r="C60" s="26" t="s">
        <v>18</v>
      </c>
      <c r="D60" s="27">
        <v>4</v>
      </c>
      <c r="E60" s="27">
        <v>27</v>
      </c>
      <c r="F60" s="27">
        <v>135</v>
      </c>
      <c r="G60" s="27">
        <v>827</v>
      </c>
      <c r="H60" s="28">
        <v>19546</v>
      </c>
      <c r="I60" s="29">
        <v>6597</v>
      </c>
      <c r="J60" s="27">
        <v>5821</v>
      </c>
      <c r="K60" s="27">
        <v>4197</v>
      </c>
      <c r="L60" s="27">
        <v>636</v>
      </c>
      <c r="M60" s="27">
        <v>503</v>
      </c>
      <c r="N60" s="27">
        <v>168</v>
      </c>
      <c r="O60" s="27">
        <v>430</v>
      </c>
      <c r="P60" s="27">
        <v>73</v>
      </c>
      <c r="Q60" s="27">
        <v>68</v>
      </c>
      <c r="R60" s="27">
        <v>60</v>
      </c>
      <c r="S60" s="27">
        <v>0</v>
      </c>
      <c r="T60" s="29">
        <v>0</v>
      </c>
      <c r="U60" s="14">
        <v>1.34</v>
      </c>
      <c r="V60" s="43">
        <f>SUM(I55:T58)/SUM(H55:H58)</f>
        <v>0.94769147202607273</v>
      </c>
      <c r="W60" s="39">
        <f t="shared" si="12"/>
        <v>24861.02</v>
      </c>
      <c r="X60" s="35">
        <f>W58+W55</f>
        <v>13527.3</v>
      </c>
      <c r="Y60" s="35">
        <f>W53</f>
        <v>872.34</v>
      </c>
    </row>
    <row r="61" spans="1:29" x14ac:dyDescent="0.25">
      <c r="A61" s="7" t="s">
        <v>24</v>
      </c>
      <c r="B61" s="8" t="s">
        <v>17</v>
      </c>
      <c r="C61" s="9" t="s">
        <v>21</v>
      </c>
      <c r="D61" s="10">
        <v>0</v>
      </c>
      <c r="E61" s="10">
        <v>0</v>
      </c>
      <c r="F61" s="10">
        <v>0</v>
      </c>
      <c r="G61" s="10">
        <v>0</v>
      </c>
      <c r="H61" s="11">
        <v>106</v>
      </c>
      <c r="I61" s="12">
        <v>106</v>
      </c>
      <c r="J61" s="10">
        <v>0</v>
      </c>
      <c r="K61" s="10">
        <v>0</v>
      </c>
      <c r="L61" s="10">
        <v>0</v>
      </c>
      <c r="M61" s="10">
        <v>0</v>
      </c>
      <c r="N61" s="10">
        <v>0</v>
      </c>
      <c r="O61" s="10">
        <v>0</v>
      </c>
      <c r="P61" s="10">
        <v>0</v>
      </c>
      <c r="Q61" s="10">
        <v>0</v>
      </c>
      <c r="R61" s="10">
        <v>0</v>
      </c>
      <c r="S61" s="10">
        <v>0</v>
      </c>
      <c r="T61" s="13">
        <v>0</v>
      </c>
      <c r="U61" s="14">
        <v>1.34</v>
      </c>
      <c r="W61" s="38">
        <f t="shared" ref="W61:W68" si="13">H61*U61</f>
        <v>142.04000000000002</v>
      </c>
      <c r="AB61" s="37" t="str">
        <f t="shared" ref="AB61:AB67" si="14">B61</f>
        <v>Parts-OTC</v>
      </c>
      <c r="AC61" s="36">
        <f t="shared" ref="AC61:AC67" si="15">I61*U61</f>
        <v>142.04000000000002</v>
      </c>
    </row>
    <row r="62" spans="1:29" x14ac:dyDescent="0.25">
      <c r="A62" s="7" t="s">
        <v>24</v>
      </c>
      <c r="B62" s="15" t="s">
        <v>66</v>
      </c>
      <c r="C62" s="7" t="s">
        <v>21</v>
      </c>
      <c r="D62" s="14">
        <v>0</v>
      </c>
      <c r="E62" s="14">
        <v>0</v>
      </c>
      <c r="F62" s="14">
        <v>0</v>
      </c>
      <c r="G62" s="14">
        <v>0</v>
      </c>
      <c r="H62" s="16">
        <v>1344</v>
      </c>
      <c r="I62" s="17">
        <v>117</v>
      </c>
      <c r="J62" s="14">
        <v>329</v>
      </c>
      <c r="K62" s="14">
        <v>221</v>
      </c>
      <c r="L62" s="14">
        <v>254</v>
      </c>
      <c r="M62" s="14">
        <v>108</v>
      </c>
      <c r="N62" s="14">
        <v>24</v>
      </c>
      <c r="O62" s="14">
        <v>14</v>
      </c>
      <c r="P62" s="14">
        <v>264</v>
      </c>
      <c r="Q62" s="14">
        <v>10</v>
      </c>
      <c r="R62" s="14">
        <v>3</v>
      </c>
      <c r="S62" s="14">
        <v>0</v>
      </c>
      <c r="T62" s="18">
        <v>0</v>
      </c>
      <c r="U62" s="14">
        <v>1.34</v>
      </c>
      <c r="W62" s="38">
        <f t="shared" si="13"/>
        <v>1800.96</v>
      </c>
      <c r="AB62" s="37" t="str">
        <f t="shared" si="14"/>
        <v>CTKS</v>
      </c>
      <c r="AC62" s="36">
        <f t="shared" si="15"/>
        <v>156.78</v>
      </c>
    </row>
    <row r="63" spans="1:29" x14ac:dyDescent="0.25">
      <c r="A63" s="7" t="s">
        <v>24</v>
      </c>
      <c r="B63" s="15" t="s">
        <v>13</v>
      </c>
      <c r="C63" s="7" t="s">
        <v>21</v>
      </c>
      <c r="D63" s="14">
        <v>0</v>
      </c>
      <c r="E63" s="14">
        <v>0</v>
      </c>
      <c r="F63" s="14">
        <v>0</v>
      </c>
      <c r="G63" s="14">
        <v>0</v>
      </c>
      <c r="H63" s="16">
        <v>1610</v>
      </c>
      <c r="I63" s="17">
        <v>887</v>
      </c>
      <c r="J63" s="14">
        <v>533</v>
      </c>
      <c r="K63" s="14">
        <v>138</v>
      </c>
      <c r="L63" s="14">
        <v>28</v>
      </c>
      <c r="M63" s="14">
        <v>0</v>
      </c>
      <c r="N63" s="14">
        <v>17</v>
      </c>
      <c r="O63" s="14">
        <v>6</v>
      </c>
      <c r="P63" s="14">
        <v>1</v>
      </c>
      <c r="Q63" s="14">
        <v>0</v>
      </c>
      <c r="R63" s="14">
        <v>0</v>
      </c>
      <c r="S63" s="14">
        <v>0</v>
      </c>
      <c r="T63" s="18">
        <v>0</v>
      </c>
      <c r="U63" s="14">
        <v>1.34</v>
      </c>
      <c r="W63" s="38">
        <f t="shared" si="13"/>
        <v>2157.4</v>
      </c>
      <c r="AB63" s="37" t="str">
        <f t="shared" si="14"/>
        <v>Repair</v>
      </c>
      <c r="AC63" s="36">
        <f t="shared" si="15"/>
        <v>1188.5800000000002</v>
      </c>
    </row>
    <row r="64" spans="1:29" x14ac:dyDescent="0.25">
      <c r="A64" s="7" t="s">
        <v>24</v>
      </c>
      <c r="B64" s="15" t="s">
        <v>67</v>
      </c>
      <c r="C64" s="7" t="s">
        <v>21</v>
      </c>
      <c r="D64" s="14">
        <v>0</v>
      </c>
      <c r="E64" s="14">
        <v>0</v>
      </c>
      <c r="F64" s="14">
        <v>0</v>
      </c>
      <c r="G64" s="14">
        <v>0</v>
      </c>
      <c r="H64" s="16">
        <v>1386</v>
      </c>
      <c r="I64" s="17">
        <v>275</v>
      </c>
      <c r="J64" s="14">
        <v>247</v>
      </c>
      <c r="K64" s="14">
        <v>219</v>
      </c>
      <c r="L64" s="14">
        <v>127</v>
      </c>
      <c r="M64" s="14">
        <v>106</v>
      </c>
      <c r="N64" s="14">
        <v>95</v>
      </c>
      <c r="O64" s="14">
        <v>77</v>
      </c>
      <c r="P64" s="14">
        <v>69</v>
      </c>
      <c r="Q64" s="14">
        <v>45</v>
      </c>
      <c r="R64" s="14">
        <v>42</v>
      </c>
      <c r="S64" s="14">
        <v>41</v>
      </c>
      <c r="T64" s="18">
        <v>43</v>
      </c>
      <c r="U64" s="14">
        <v>1.34</v>
      </c>
      <c r="W64" s="38">
        <f t="shared" si="13"/>
        <v>1857.24</v>
      </c>
      <c r="AB64" s="37" t="str">
        <f t="shared" si="14"/>
        <v>Rental</v>
      </c>
      <c r="AC64" s="36">
        <f t="shared" si="15"/>
        <v>368.5</v>
      </c>
    </row>
    <row r="65" spans="1:29" x14ac:dyDescent="0.25">
      <c r="A65" s="7" t="s">
        <v>24</v>
      </c>
      <c r="B65" s="15" t="s">
        <v>73</v>
      </c>
      <c r="C65" s="7" t="s">
        <v>21</v>
      </c>
      <c r="D65" s="14">
        <v>0</v>
      </c>
      <c r="E65" s="14">
        <v>0</v>
      </c>
      <c r="F65" s="14">
        <v>0</v>
      </c>
      <c r="G65" s="14">
        <v>0</v>
      </c>
      <c r="H65" s="16">
        <v>3023</v>
      </c>
      <c r="I65" s="17">
        <v>727</v>
      </c>
      <c r="J65" s="14">
        <v>1218</v>
      </c>
      <c r="K65" s="14">
        <v>479</v>
      </c>
      <c r="L65" s="14">
        <v>89</v>
      </c>
      <c r="M65" s="14">
        <v>8</v>
      </c>
      <c r="N65" s="14">
        <v>139</v>
      </c>
      <c r="O65" s="14">
        <v>362</v>
      </c>
      <c r="P65" s="14">
        <v>0</v>
      </c>
      <c r="Q65" s="14">
        <v>1</v>
      </c>
      <c r="R65" s="14">
        <v>0</v>
      </c>
      <c r="S65" s="14">
        <v>0</v>
      </c>
      <c r="T65" s="18">
        <v>0</v>
      </c>
      <c r="U65" s="14">
        <v>1.34</v>
      </c>
      <c r="W65" s="38">
        <f t="shared" si="13"/>
        <v>4050.82</v>
      </c>
      <c r="AB65" s="37"/>
    </row>
    <row r="66" spans="1:29" x14ac:dyDescent="0.25">
      <c r="A66" s="7" t="s">
        <v>24</v>
      </c>
      <c r="B66" s="15" t="s">
        <v>19</v>
      </c>
      <c r="C66" s="7" t="s">
        <v>21</v>
      </c>
      <c r="D66" s="14">
        <v>0</v>
      </c>
      <c r="E66" s="14">
        <v>0</v>
      </c>
      <c r="F66" s="14">
        <v>0</v>
      </c>
      <c r="G66" s="14">
        <v>0</v>
      </c>
      <c r="H66" s="16">
        <v>4059</v>
      </c>
      <c r="I66" s="17">
        <v>490</v>
      </c>
      <c r="J66" s="14">
        <v>470</v>
      </c>
      <c r="K66" s="14">
        <v>440</v>
      </c>
      <c r="L66" s="14">
        <v>256</v>
      </c>
      <c r="M66" s="14">
        <v>416</v>
      </c>
      <c r="N66" s="14">
        <v>442</v>
      </c>
      <c r="O66" s="14">
        <v>444</v>
      </c>
      <c r="P66" s="14">
        <v>261</v>
      </c>
      <c r="Q66" s="14">
        <v>272</v>
      </c>
      <c r="R66" s="14">
        <v>228</v>
      </c>
      <c r="S66" s="14">
        <v>149</v>
      </c>
      <c r="T66" s="18">
        <v>191</v>
      </c>
      <c r="U66" s="14">
        <v>1.34</v>
      </c>
      <c r="W66" s="38">
        <f t="shared" si="13"/>
        <v>5439.06</v>
      </c>
      <c r="AB66" s="37" t="str">
        <f t="shared" si="14"/>
        <v>Maintenance</v>
      </c>
      <c r="AC66" s="36">
        <f t="shared" si="15"/>
        <v>656.6</v>
      </c>
    </row>
    <row r="67" spans="1:29" ht="13" thickBot="1" x14ac:dyDescent="0.3">
      <c r="A67" s="7" t="s">
        <v>24</v>
      </c>
      <c r="B67" s="19" t="s">
        <v>20</v>
      </c>
      <c r="C67" s="20" t="s">
        <v>21</v>
      </c>
      <c r="D67" s="21">
        <v>0</v>
      </c>
      <c r="E67" s="21">
        <v>0</v>
      </c>
      <c r="F67" s="21">
        <v>0</v>
      </c>
      <c r="G67" s="21">
        <v>0</v>
      </c>
      <c r="H67" s="22">
        <v>1092</v>
      </c>
      <c r="I67" s="23">
        <v>114</v>
      </c>
      <c r="J67" s="21">
        <v>197</v>
      </c>
      <c r="K67" s="21">
        <v>363</v>
      </c>
      <c r="L67" s="21">
        <v>139</v>
      </c>
      <c r="M67" s="21">
        <v>26</v>
      </c>
      <c r="N67" s="21">
        <v>128</v>
      </c>
      <c r="O67" s="21">
        <v>18</v>
      </c>
      <c r="P67" s="21">
        <v>38</v>
      </c>
      <c r="Q67" s="21">
        <v>69</v>
      </c>
      <c r="R67" s="21">
        <v>0</v>
      </c>
      <c r="S67" s="21">
        <v>0</v>
      </c>
      <c r="T67" s="24">
        <v>0</v>
      </c>
      <c r="U67" s="14">
        <v>1.34</v>
      </c>
      <c r="W67" s="38">
        <f t="shared" si="13"/>
        <v>1463.2800000000002</v>
      </c>
      <c r="AB67" s="37" t="str">
        <f t="shared" si="14"/>
        <v>Startup</v>
      </c>
      <c r="AC67" s="36">
        <f t="shared" si="15"/>
        <v>152.76000000000002</v>
      </c>
    </row>
    <row r="68" spans="1:29" ht="13" thickBot="1" x14ac:dyDescent="0.3">
      <c r="A68" s="20" t="s">
        <v>24</v>
      </c>
      <c r="B68" s="25" t="s">
        <v>12</v>
      </c>
      <c r="C68" s="26" t="s">
        <v>21</v>
      </c>
      <c r="D68" s="27">
        <v>0</v>
      </c>
      <c r="E68" s="27">
        <v>0</v>
      </c>
      <c r="F68" s="27">
        <v>0</v>
      </c>
      <c r="G68" s="27">
        <v>0</v>
      </c>
      <c r="H68" s="28">
        <v>12620</v>
      </c>
      <c r="I68" s="29">
        <v>2716</v>
      </c>
      <c r="J68" s="27">
        <v>2994</v>
      </c>
      <c r="K68" s="27">
        <v>1860</v>
      </c>
      <c r="L68" s="27">
        <v>893</v>
      </c>
      <c r="M68" s="27">
        <v>664</v>
      </c>
      <c r="N68" s="27">
        <v>845</v>
      </c>
      <c r="O68" s="27">
        <v>921</v>
      </c>
      <c r="P68" s="27">
        <v>633</v>
      </c>
      <c r="Q68" s="27">
        <v>397</v>
      </c>
      <c r="R68" s="27">
        <v>273</v>
      </c>
      <c r="S68" s="27">
        <v>190</v>
      </c>
      <c r="T68" s="29">
        <v>234</v>
      </c>
      <c r="U68" s="14">
        <v>1.34</v>
      </c>
      <c r="W68" s="38">
        <f t="shared" si="13"/>
        <v>16910.8</v>
      </c>
      <c r="X68" s="35">
        <f>W67+W66+W63</f>
        <v>9059.74</v>
      </c>
      <c r="Y68" s="35">
        <f>W61</f>
        <v>142.04000000000002</v>
      </c>
      <c r="Z68" s="40">
        <f>V59/X68</f>
        <v>0</v>
      </c>
      <c r="AA68" s="40">
        <f>IF((Y68=0),0,Y60/Y68)</f>
        <v>6.1415094339622636</v>
      </c>
      <c r="AB68" s="48"/>
      <c r="AC68" s="48"/>
    </row>
    <row r="69" spans="1:29" ht="13" thickBot="1" x14ac:dyDescent="0.3">
      <c r="A69" s="9" t="s">
        <v>0</v>
      </c>
      <c r="B69" s="30" t="s">
        <v>15</v>
      </c>
      <c r="C69" s="31" t="s">
        <v>94</v>
      </c>
      <c r="D69" s="32" t="s">
        <v>47</v>
      </c>
      <c r="E69" s="53" t="s">
        <v>104</v>
      </c>
      <c r="F69" s="53" t="s">
        <v>105</v>
      </c>
      <c r="G69" s="53" t="s">
        <v>106</v>
      </c>
      <c r="H69" s="28" t="s">
        <v>12</v>
      </c>
      <c r="I69" s="54" t="s">
        <v>107</v>
      </c>
      <c r="J69" s="53" t="s">
        <v>108</v>
      </c>
      <c r="K69" s="53" t="s">
        <v>109</v>
      </c>
      <c r="L69" s="53" t="s">
        <v>110</v>
      </c>
      <c r="M69" s="53" t="s">
        <v>111</v>
      </c>
      <c r="N69" s="53" t="s">
        <v>115</v>
      </c>
      <c r="O69" s="53" t="s">
        <v>120</v>
      </c>
      <c r="P69" s="53" t="s">
        <v>121</v>
      </c>
      <c r="Q69" s="53" t="s">
        <v>164</v>
      </c>
      <c r="R69" s="53" t="s">
        <v>173</v>
      </c>
      <c r="S69" s="53" t="s">
        <v>177</v>
      </c>
      <c r="T69" s="55" t="s">
        <v>182</v>
      </c>
      <c r="U69" s="14">
        <v>1.175</v>
      </c>
      <c r="V69" s="14" t="s">
        <v>183</v>
      </c>
      <c r="W69" s="35"/>
      <c r="X69" s="14" t="s">
        <v>37</v>
      </c>
      <c r="Y69" s="14" t="s">
        <v>38</v>
      </c>
      <c r="AB69" s="48"/>
      <c r="AC69" s="48"/>
    </row>
    <row r="70" spans="1:29" x14ac:dyDescent="0.25">
      <c r="A70" s="7" t="s">
        <v>0</v>
      </c>
      <c r="B70" s="8" t="s">
        <v>17</v>
      </c>
      <c r="C70" s="9" t="s">
        <v>18</v>
      </c>
      <c r="D70" s="10">
        <v>0</v>
      </c>
      <c r="E70" s="10">
        <v>0</v>
      </c>
      <c r="F70" s="10">
        <v>0</v>
      </c>
      <c r="G70" s="10">
        <v>7</v>
      </c>
      <c r="H70" s="11">
        <v>489</v>
      </c>
      <c r="I70" s="12">
        <v>65</v>
      </c>
      <c r="J70" s="10">
        <v>76</v>
      </c>
      <c r="K70" s="10">
        <v>113</v>
      </c>
      <c r="L70" s="10">
        <v>195</v>
      </c>
      <c r="M70" s="10">
        <v>0</v>
      </c>
      <c r="N70" s="10">
        <v>0</v>
      </c>
      <c r="O70" s="10">
        <v>0</v>
      </c>
      <c r="P70" s="10">
        <v>33</v>
      </c>
      <c r="Q70" s="10">
        <v>0</v>
      </c>
      <c r="R70" s="10">
        <v>0</v>
      </c>
      <c r="S70" s="10">
        <v>0</v>
      </c>
      <c r="T70" s="13">
        <v>0</v>
      </c>
      <c r="U70" s="14">
        <v>1.175</v>
      </c>
      <c r="V70" s="42">
        <f>SUM(I70:T70)/H70</f>
        <v>0.98568507157464214</v>
      </c>
      <c r="W70" s="39">
        <f>SUM(I70:T70)*U70</f>
        <v>566.35</v>
      </c>
    </row>
    <row r="71" spans="1:29" x14ac:dyDescent="0.25">
      <c r="A71" s="7" t="s">
        <v>0</v>
      </c>
      <c r="B71" s="15" t="s">
        <v>66</v>
      </c>
      <c r="C71" s="7" t="s">
        <v>18</v>
      </c>
      <c r="D71" s="14">
        <v>0</v>
      </c>
      <c r="E71" s="14">
        <v>0</v>
      </c>
      <c r="F71" s="14">
        <v>0</v>
      </c>
      <c r="G71" s="14">
        <v>0</v>
      </c>
      <c r="H71" s="16">
        <v>100</v>
      </c>
      <c r="I71" s="17">
        <v>0</v>
      </c>
      <c r="J71" s="14">
        <v>0</v>
      </c>
      <c r="K71" s="14">
        <v>100</v>
      </c>
      <c r="L71" s="14">
        <v>0</v>
      </c>
      <c r="M71" s="14">
        <v>0</v>
      </c>
      <c r="N71" s="14">
        <v>0</v>
      </c>
      <c r="O71" s="14">
        <v>0</v>
      </c>
      <c r="P71" s="14">
        <v>0</v>
      </c>
      <c r="Q71" s="14">
        <v>0</v>
      </c>
      <c r="R71" s="14">
        <v>0</v>
      </c>
      <c r="S71" s="14">
        <v>0</v>
      </c>
      <c r="T71" s="18">
        <v>0</v>
      </c>
      <c r="U71" s="14">
        <v>1.175</v>
      </c>
      <c r="V71" s="44"/>
      <c r="W71" s="39">
        <f t="shared" ref="W71:W77" si="16">SUM(I71:T71)*U71</f>
        <v>117.5</v>
      </c>
    </row>
    <row r="72" spans="1:29" x14ac:dyDescent="0.25">
      <c r="A72" s="7" t="s">
        <v>0</v>
      </c>
      <c r="B72" s="15" t="s">
        <v>13</v>
      </c>
      <c r="C72" s="7" t="s">
        <v>18</v>
      </c>
      <c r="D72" s="14">
        <v>0</v>
      </c>
      <c r="E72" s="14">
        <v>0</v>
      </c>
      <c r="F72" s="14">
        <v>0</v>
      </c>
      <c r="G72" s="14">
        <v>1</v>
      </c>
      <c r="H72" s="16">
        <v>1207</v>
      </c>
      <c r="I72" s="17">
        <v>2</v>
      </c>
      <c r="J72" s="14">
        <v>521</v>
      </c>
      <c r="K72" s="14">
        <v>335</v>
      </c>
      <c r="L72" s="14">
        <v>105</v>
      </c>
      <c r="M72" s="14">
        <v>243</v>
      </c>
      <c r="N72" s="14">
        <v>0</v>
      </c>
      <c r="O72" s="14">
        <v>0</v>
      </c>
      <c r="P72" s="14">
        <v>0</v>
      </c>
      <c r="Q72" s="14">
        <v>0</v>
      </c>
      <c r="R72" s="14">
        <v>0</v>
      </c>
      <c r="S72" s="14">
        <v>0</v>
      </c>
      <c r="T72" s="18">
        <v>0</v>
      </c>
      <c r="U72" s="14">
        <v>1.175</v>
      </c>
      <c r="V72" s="41"/>
      <c r="W72" s="39">
        <f t="shared" si="16"/>
        <v>1417.05</v>
      </c>
    </row>
    <row r="73" spans="1:29" x14ac:dyDescent="0.25">
      <c r="A73" s="7" t="s">
        <v>0</v>
      </c>
      <c r="B73" s="15" t="s">
        <v>67</v>
      </c>
      <c r="C73" s="7" t="s">
        <v>18</v>
      </c>
      <c r="D73" s="14">
        <v>0</v>
      </c>
      <c r="E73" s="14">
        <v>0</v>
      </c>
      <c r="F73" s="14">
        <v>0</v>
      </c>
      <c r="G73" s="14">
        <v>0</v>
      </c>
      <c r="H73" s="16">
        <v>187</v>
      </c>
      <c r="I73" s="17">
        <v>0</v>
      </c>
      <c r="J73" s="14">
        <v>187</v>
      </c>
      <c r="K73" s="14">
        <v>0</v>
      </c>
      <c r="L73" s="14">
        <v>0</v>
      </c>
      <c r="M73" s="14">
        <v>0</v>
      </c>
      <c r="N73" s="14">
        <v>0</v>
      </c>
      <c r="O73" s="14">
        <v>0</v>
      </c>
      <c r="P73" s="14">
        <v>0</v>
      </c>
      <c r="Q73" s="14">
        <v>0</v>
      </c>
      <c r="R73" s="14">
        <v>0</v>
      </c>
      <c r="S73" s="14">
        <v>0</v>
      </c>
      <c r="T73" s="18">
        <v>0</v>
      </c>
      <c r="U73" s="14">
        <v>1.175</v>
      </c>
      <c r="V73" s="41"/>
      <c r="W73" s="39">
        <f t="shared" si="16"/>
        <v>219.72499999999999</v>
      </c>
    </row>
    <row r="74" spans="1:29" x14ac:dyDescent="0.25">
      <c r="A74" s="7" t="s">
        <v>0</v>
      </c>
      <c r="B74" s="15" t="s">
        <v>73</v>
      </c>
      <c r="C74" s="7" t="s">
        <v>18</v>
      </c>
      <c r="D74" s="14">
        <v>0</v>
      </c>
      <c r="E74" s="14">
        <v>0</v>
      </c>
      <c r="F74" s="14">
        <v>0</v>
      </c>
      <c r="G74" s="14">
        <v>0</v>
      </c>
      <c r="H74" s="16">
        <v>1224</v>
      </c>
      <c r="I74" s="17">
        <v>0</v>
      </c>
      <c r="J74" s="14">
        <v>284</v>
      </c>
      <c r="K74" s="14">
        <v>661</v>
      </c>
      <c r="L74" s="14">
        <v>189</v>
      </c>
      <c r="M74" s="14">
        <v>90</v>
      </c>
      <c r="N74" s="14">
        <v>0</v>
      </c>
      <c r="O74" s="14">
        <v>0</v>
      </c>
      <c r="P74" s="14">
        <v>0</v>
      </c>
      <c r="Q74" s="14">
        <v>0</v>
      </c>
      <c r="R74" s="14">
        <v>0</v>
      </c>
      <c r="S74" s="14">
        <v>0</v>
      </c>
      <c r="T74" s="18">
        <v>0</v>
      </c>
      <c r="U74" s="14">
        <v>1.175</v>
      </c>
      <c r="V74" s="41"/>
      <c r="W74" s="39">
        <f t="shared" si="16"/>
        <v>1438.2</v>
      </c>
    </row>
    <row r="75" spans="1:29" x14ac:dyDescent="0.25">
      <c r="A75" s="7" t="s">
        <v>0</v>
      </c>
      <c r="B75" s="15" t="s">
        <v>19</v>
      </c>
      <c r="C75" s="7" t="s">
        <v>18</v>
      </c>
      <c r="D75" s="14">
        <v>0</v>
      </c>
      <c r="E75" s="14">
        <v>0</v>
      </c>
      <c r="F75" s="14">
        <v>0</v>
      </c>
      <c r="G75" s="14">
        <v>0</v>
      </c>
      <c r="H75" s="16">
        <v>908</v>
      </c>
      <c r="I75" s="17">
        <v>0</v>
      </c>
      <c r="J75" s="14">
        <v>168</v>
      </c>
      <c r="K75" s="14">
        <v>74</v>
      </c>
      <c r="L75" s="14">
        <v>257</v>
      </c>
      <c r="M75" s="14">
        <v>28</v>
      </c>
      <c r="N75" s="14">
        <v>0</v>
      </c>
      <c r="O75" s="14">
        <v>0</v>
      </c>
      <c r="P75" s="14">
        <v>0</v>
      </c>
      <c r="Q75" s="14">
        <v>0</v>
      </c>
      <c r="R75" s="14">
        <v>0</v>
      </c>
      <c r="S75" s="14">
        <v>0</v>
      </c>
      <c r="T75" s="18">
        <v>381</v>
      </c>
      <c r="U75" s="14">
        <v>1.175</v>
      </c>
      <c r="V75" s="41"/>
      <c r="W75" s="39">
        <f t="shared" si="16"/>
        <v>1066.9000000000001</v>
      </c>
    </row>
    <row r="76" spans="1:29" ht="13" thickBot="1" x14ac:dyDescent="0.3">
      <c r="A76" s="7" t="s">
        <v>0</v>
      </c>
      <c r="B76" s="19" t="s">
        <v>20</v>
      </c>
      <c r="C76" s="20" t="s">
        <v>18</v>
      </c>
      <c r="D76" s="21">
        <v>0</v>
      </c>
      <c r="E76" s="21">
        <v>0</v>
      </c>
      <c r="F76" s="21">
        <v>0</v>
      </c>
      <c r="G76" s="21">
        <v>0</v>
      </c>
      <c r="H76" s="22">
        <v>0</v>
      </c>
      <c r="I76" s="23">
        <v>0</v>
      </c>
      <c r="J76" s="21">
        <v>0</v>
      </c>
      <c r="K76" s="21">
        <v>0</v>
      </c>
      <c r="L76" s="21">
        <v>0</v>
      </c>
      <c r="M76" s="21">
        <v>0</v>
      </c>
      <c r="N76" s="21">
        <v>0</v>
      </c>
      <c r="O76" s="21">
        <v>0</v>
      </c>
      <c r="P76" s="21">
        <v>0</v>
      </c>
      <c r="Q76" s="21">
        <v>0</v>
      </c>
      <c r="R76" s="21">
        <v>0</v>
      </c>
      <c r="S76" s="21">
        <v>0</v>
      </c>
      <c r="T76" s="24">
        <v>0</v>
      </c>
      <c r="U76" s="14">
        <v>1.175</v>
      </c>
      <c r="V76" s="44"/>
      <c r="W76" s="39">
        <f t="shared" si="16"/>
        <v>0</v>
      </c>
    </row>
    <row r="77" spans="1:29" ht="13" thickBot="1" x14ac:dyDescent="0.3">
      <c r="A77" s="7" t="s">
        <v>0</v>
      </c>
      <c r="B77" s="25" t="s">
        <v>12</v>
      </c>
      <c r="C77" s="26" t="s">
        <v>18</v>
      </c>
      <c r="D77" s="27">
        <v>0</v>
      </c>
      <c r="E77" s="27">
        <v>0</v>
      </c>
      <c r="F77" s="27">
        <v>0</v>
      </c>
      <c r="G77" s="27">
        <v>8</v>
      </c>
      <c r="H77" s="28">
        <v>4115</v>
      </c>
      <c r="I77" s="29">
        <v>67</v>
      </c>
      <c r="J77" s="27">
        <v>1236</v>
      </c>
      <c r="K77" s="27">
        <v>1283</v>
      </c>
      <c r="L77" s="27">
        <v>746</v>
      </c>
      <c r="M77" s="27">
        <v>361</v>
      </c>
      <c r="N77" s="27">
        <v>0</v>
      </c>
      <c r="O77" s="27">
        <v>0</v>
      </c>
      <c r="P77" s="27">
        <v>33</v>
      </c>
      <c r="Q77" s="27">
        <v>0</v>
      </c>
      <c r="R77" s="27">
        <v>0</v>
      </c>
      <c r="S77" s="27">
        <v>0</v>
      </c>
      <c r="T77" s="29">
        <v>381</v>
      </c>
      <c r="U77" s="14">
        <v>1.175</v>
      </c>
      <c r="V77" s="43">
        <f>SUM(I72:T75)/SUM(H72:H75)</f>
        <v>0.99971639251276234</v>
      </c>
      <c r="W77" s="39">
        <f t="shared" si="16"/>
        <v>4825.7250000000004</v>
      </c>
      <c r="X77" s="35">
        <f>W75+W72</f>
        <v>2483.9499999999998</v>
      </c>
      <c r="Y77" s="35">
        <f>W70</f>
        <v>566.35</v>
      </c>
    </row>
    <row r="78" spans="1:29" x14ac:dyDescent="0.25">
      <c r="A78" s="7" t="s">
        <v>0</v>
      </c>
      <c r="B78" s="8" t="s">
        <v>17</v>
      </c>
      <c r="C78" s="9" t="s">
        <v>21</v>
      </c>
      <c r="D78" s="10">
        <v>0</v>
      </c>
      <c r="E78" s="10">
        <v>0</v>
      </c>
      <c r="F78" s="10">
        <v>0</v>
      </c>
      <c r="G78" s="10">
        <v>0</v>
      </c>
      <c r="H78" s="11">
        <v>95</v>
      </c>
      <c r="I78" s="12">
        <v>28</v>
      </c>
      <c r="J78" s="10">
        <v>67</v>
      </c>
      <c r="K78" s="10">
        <v>0</v>
      </c>
      <c r="L78" s="10">
        <v>0</v>
      </c>
      <c r="M78" s="10">
        <v>0</v>
      </c>
      <c r="N78" s="10">
        <v>0</v>
      </c>
      <c r="O78" s="10">
        <v>0</v>
      </c>
      <c r="P78" s="10">
        <v>0</v>
      </c>
      <c r="Q78" s="10">
        <v>0</v>
      </c>
      <c r="R78" s="10">
        <v>0</v>
      </c>
      <c r="S78" s="10">
        <v>0</v>
      </c>
      <c r="T78" s="13">
        <v>0</v>
      </c>
      <c r="U78" s="14">
        <v>1.175</v>
      </c>
      <c r="W78" s="38">
        <f t="shared" ref="W78:W85" si="17">H78*U78</f>
        <v>111.625</v>
      </c>
      <c r="AB78" s="37" t="str">
        <f t="shared" ref="AB78:AB84" si="18">B78</f>
        <v>Parts-OTC</v>
      </c>
      <c r="AC78" s="36">
        <f t="shared" ref="AC78:AC84" si="19">I78*U78</f>
        <v>32.9</v>
      </c>
    </row>
    <row r="79" spans="1:29" x14ac:dyDescent="0.25">
      <c r="A79" s="7" t="s">
        <v>0</v>
      </c>
      <c r="B79" s="15" t="s">
        <v>66</v>
      </c>
      <c r="C79" s="7" t="s">
        <v>21</v>
      </c>
      <c r="D79" s="14">
        <v>0</v>
      </c>
      <c r="E79" s="14">
        <v>0</v>
      </c>
      <c r="F79" s="14">
        <v>0</v>
      </c>
      <c r="G79" s="14">
        <v>0</v>
      </c>
      <c r="H79" s="16">
        <v>7</v>
      </c>
      <c r="I79" s="17">
        <v>0</v>
      </c>
      <c r="J79" s="14">
        <v>7</v>
      </c>
      <c r="K79" s="14">
        <v>0</v>
      </c>
      <c r="L79" s="14">
        <v>0</v>
      </c>
      <c r="M79" s="14">
        <v>0</v>
      </c>
      <c r="N79" s="14">
        <v>0</v>
      </c>
      <c r="O79" s="14">
        <v>0</v>
      </c>
      <c r="P79" s="14">
        <v>0</v>
      </c>
      <c r="Q79" s="14">
        <v>0</v>
      </c>
      <c r="R79" s="14">
        <v>0</v>
      </c>
      <c r="S79" s="14">
        <v>0</v>
      </c>
      <c r="T79" s="18">
        <v>0</v>
      </c>
      <c r="U79" s="14">
        <v>1.175</v>
      </c>
      <c r="W79" s="38">
        <f t="shared" si="17"/>
        <v>8.2249999999999996</v>
      </c>
      <c r="AB79" s="37" t="str">
        <f t="shared" si="18"/>
        <v>CTKS</v>
      </c>
      <c r="AC79" s="36">
        <f t="shared" si="19"/>
        <v>0</v>
      </c>
    </row>
    <row r="80" spans="1:29" x14ac:dyDescent="0.25">
      <c r="A80" s="7" t="s">
        <v>0</v>
      </c>
      <c r="B80" s="15" t="s">
        <v>13</v>
      </c>
      <c r="C80" s="7" t="s">
        <v>21</v>
      </c>
      <c r="D80" s="14">
        <v>0</v>
      </c>
      <c r="E80" s="14">
        <v>0</v>
      </c>
      <c r="F80" s="14">
        <v>0</v>
      </c>
      <c r="G80" s="14">
        <v>0</v>
      </c>
      <c r="H80" s="16">
        <v>416</v>
      </c>
      <c r="I80" s="17">
        <v>186</v>
      </c>
      <c r="J80" s="14">
        <v>180</v>
      </c>
      <c r="K80" s="14">
        <v>50</v>
      </c>
      <c r="L80" s="14">
        <v>0</v>
      </c>
      <c r="M80" s="14">
        <v>0</v>
      </c>
      <c r="N80" s="14">
        <v>0</v>
      </c>
      <c r="O80" s="14">
        <v>0</v>
      </c>
      <c r="P80" s="14">
        <v>0</v>
      </c>
      <c r="Q80" s="14">
        <v>0</v>
      </c>
      <c r="R80" s="14">
        <v>0</v>
      </c>
      <c r="S80" s="14">
        <v>0</v>
      </c>
      <c r="T80" s="18">
        <v>0</v>
      </c>
      <c r="U80" s="14">
        <v>1.175</v>
      </c>
      <c r="W80" s="38">
        <f t="shared" si="17"/>
        <v>488.8</v>
      </c>
      <c r="AB80" s="37" t="str">
        <f t="shared" si="18"/>
        <v>Repair</v>
      </c>
      <c r="AC80" s="36">
        <f t="shared" si="19"/>
        <v>218.55</v>
      </c>
    </row>
    <row r="81" spans="1:29" x14ac:dyDescent="0.25">
      <c r="A81" s="7" t="s">
        <v>0</v>
      </c>
      <c r="B81" s="15" t="s">
        <v>67</v>
      </c>
      <c r="C81" s="7" t="s">
        <v>21</v>
      </c>
      <c r="D81" s="14">
        <v>0</v>
      </c>
      <c r="E81" s="14">
        <v>0</v>
      </c>
      <c r="F81" s="14">
        <v>0</v>
      </c>
      <c r="G81" s="14">
        <v>0</v>
      </c>
      <c r="H81" s="16">
        <v>538</v>
      </c>
      <c r="I81" s="17">
        <v>118</v>
      </c>
      <c r="J81" s="14">
        <v>138</v>
      </c>
      <c r="K81" s="14">
        <v>71</v>
      </c>
      <c r="L81" s="14">
        <v>35</v>
      </c>
      <c r="M81" s="14">
        <v>42</v>
      </c>
      <c r="N81" s="14">
        <v>30</v>
      </c>
      <c r="O81" s="14">
        <v>33</v>
      </c>
      <c r="P81" s="14">
        <v>34</v>
      </c>
      <c r="Q81" s="14">
        <v>23</v>
      </c>
      <c r="R81" s="14">
        <v>3</v>
      </c>
      <c r="S81" s="14">
        <v>5</v>
      </c>
      <c r="T81" s="18">
        <v>6</v>
      </c>
      <c r="U81" s="14">
        <v>1.175</v>
      </c>
      <c r="W81" s="38">
        <f t="shared" si="17"/>
        <v>632.15</v>
      </c>
      <c r="AB81" s="37" t="str">
        <f t="shared" si="18"/>
        <v>Rental</v>
      </c>
      <c r="AC81" s="36">
        <f t="shared" si="19"/>
        <v>138.65</v>
      </c>
    </row>
    <row r="82" spans="1:29" x14ac:dyDescent="0.25">
      <c r="A82" s="7" t="s">
        <v>0</v>
      </c>
      <c r="B82" s="15" t="s">
        <v>73</v>
      </c>
      <c r="C82" s="7" t="s">
        <v>21</v>
      </c>
      <c r="D82" s="14">
        <v>0</v>
      </c>
      <c r="E82" s="14">
        <v>0</v>
      </c>
      <c r="F82" s="14">
        <v>0</v>
      </c>
      <c r="G82" s="14">
        <v>0</v>
      </c>
      <c r="H82" s="16">
        <v>318</v>
      </c>
      <c r="I82" s="17">
        <v>87</v>
      </c>
      <c r="J82" s="14">
        <v>115</v>
      </c>
      <c r="K82" s="14">
        <v>116</v>
      </c>
      <c r="L82" s="14">
        <v>0</v>
      </c>
      <c r="M82" s="14">
        <v>0</v>
      </c>
      <c r="N82" s="14">
        <v>0</v>
      </c>
      <c r="O82" s="14">
        <v>0</v>
      </c>
      <c r="P82" s="14">
        <v>0</v>
      </c>
      <c r="Q82" s="14">
        <v>0</v>
      </c>
      <c r="R82" s="14">
        <v>0</v>
      </c>
      <c r="S82" s="14">
        <v>0</v>
      </c>
      <c r="T82" s="18">
        <v>0</v>
      </c>
      <c r="U82" s="14">
        <v>1.175</v>
      </c>
      <c r="W82" s="38">
        <f t="shared" si="17"/>
        <v>373.65000000000003</v>
      </c>
      <c r="AB82" s="37"/>
    </row>
    <row r="83" spans="1:29" x14ac:dyDescent="0.25">
      <c r="A83" s="7" t="s">
        <v>0</v>
      </c>
      <c r="B83" s="15" t="s">
        <v>19</v>
      </c>
      <c r="C83" s="7" t="s">
        <v>21</v>
      </c>
      <c r="D83" s="14">
        <v>0</v>
      </c>
      <c r="E83" s="14">
        <v>0</v>
      </c>
      <c r="F83" s="14">
        <v>0</v>
      </c>
      <c r="G83" s="14">
        <v>0</v>
      </c>
      <c r="H83" s="16">
        <v>1317</v>
      </c>
      <c r="I83" s="17">
        <v>151</v>
      </c>
      <c r="J83" s="14">
        <v>179</v>
      </c>
      <c r="K83" s="14">
        <v>85</v>
      </c>
      <c r="L83" s="14">
        <v>148</v>
      </c>
      <c r="M83" s="14">
        <v>121</v>
      </c>
      <c r="N83" s="14">
        <v>167</v>
      </c>
      <c r="O83" s="14">
        <v>100</v>
      </c>
      <c r="P83" s="14">
        <v>160</v>
      </c>
      <c r="Q83" s="14">
        <v>76</v>
      </c>
      <c r="R83" s="14">
        <v>47</v>
      </c>
      <c r="S83" s="14">
        <v>56</v>
      </c>
      <c r="T83" s="18">
        <v>27</v>
      </c>
      <c r="U83" s="14">
        <v>1.175</v>
      </c>
      <c r="W83" s="38">
        <f t="shared" si="17"/>
        <v>1547.4750000000001</v>
      </c>
      <c r="AB83" s="37" t="str">
        <f t="shared" si="18"/>
        <v>Maintenance</v>
      </c>
      <c r="AC83" s="36">
        <f t="shared" si="19"/>
        <v>177.42500000000001</v>
      </c>
    </row>
    <row r="84" spans="1:29" ht="13" thickBot="1" x14ac:dyDescent="0.3">
      <c r="A84" s="7" t="s">
        <v>0</v>
      </c>
      <c r="B84" s="19" t="s">
        <v>20</v>
      </c>
      <c r="C84" s="20" t="s">
        <v>21</v>
      </c>
      <c r="D84" s="21">
        <v>0</v>
      </c>
      <c r="E84" s="21">
        <v>0</v>
      </c>
      <c r="F84" s="21">
        <v>0</v>
      </c>
      <c r="G84" s="21">
        <v>0</v>
      </c>
      <c r="H84" s="22">
        <v>125</v>
      </c>
      <c r="I84" s="23">
        <v>60</v>
      </c>
      <c r="J84" s="21">
        <v>42</v>
      </c>
      <c r="K84" s="21">
        <v>20</v>
      </c>
      <c r="L84" s="21">
        <v>3</v>
      </c>
      <c r="M84" s="21">
        <v>0</v>
      </c>
      <c r="N84" s="21">
        <v>0</v>
      </c>
      <c r="O84" s="21">
        <v>0</v>
      </c>
      <c r="P84" s="21">
        <v>0</v>
      </c>
      <c r="Q84" s="21">
        <v>0</v>
      </c>
      <c r="R84" s="21">
        <v>0</v>
      </c>
      <c r="S84" s="21">
        <v>0</v>
      </c>
      <c r="T84" s="24">
        <v>0</v>
      </c>
      <c r="U84" s="14">
        <v>1.175</v>
      </c>
      <c r="W84" s="38">
        <f t="shared" si="17"/>
        <v>146.875</v>
      </c>
      <c r="AB84" s="37" t="str">
        <f t="shared" si="18"/>
        <v>Startup</v>
      </c>
      <c r="AC84" s="36">
        <f t="shared" si="19"/>
        <v>70.5</v>
      </c>
    </row>
    <row r="85" spans="1:29" ht="13" thickBot="1" x14ac:dyDescent="0.3">
      <c r="A85" s="20" t="s">
        <v>0</v>
      </c>
      <c r="B85" s="25" t="s">
        <v>12</v>
      </c>
      <c r="C85" s="26" t="s">
        <v>21</v>
      </c>
      <c r="D85" s="27">
        <v>0</v>
      </c>
      <c r="E85" s="27">
        <v>0</v>
      </c>
      <c r="F85" s="27">
        <v>0</v>
      </c>
      <c r="G85" s="27">
        <v>0</v>
      </c>
      <c r="H85" s="28">
        <v>2816</v>
      </c>
      <c r="I85" s="29">
        <v>630</v>
      </c>
      <c r="J85" s="27">
        <v>728</v>
      </c>
      <c r="K85" s="27">
        <v>342</v>
      </c>
      <c r="L85" s="27">
        <v>186</v>
      </c>
      <c r="M85" s="27">
        <v>163</v>
      </c>
      <c r="N85" s="27">
        <v>197</v>
      </c>
      <c r="O85" s="27">
        <v>133</v>
      </c>
      <c r="P85" s="27">
        <v>194</v>
      </c>
      <c r="Q85" s="27">
        <v>99</v>
      </c>
      <c r="R85" s="27">
        <v>50</v>
      </c>
      <c r="S85" s="27">
        <v>61</v>
      </c>
      <c r="T85" s="29">
        <v>33</v>
      </c>
      <c r="U85" s="14">
        <v>1.175</v>
      </c>
      <c r="W85" s="38">
        <f t="shared" si="17"/>
        <v>3308.8</v>
      </c>
      <c r="X85" s="35">
        <f>W84+W83+W80</f>
        <v>2183.15</v>
      </c>
      <c r="Y85" s="35">
        <f>W78</f>
        <v>111.625</v>
      </c>
      <c r="Z85" s="40">
        <f>V76/X85</f>
        <v>0</v>
      </c>
      <c r="AA85" s="40">
        <f>IF((Y85=0),0,Y77/Y85)</f>
        <v>5.0736842105263156</v>
      </c>
      <c r="AB85" s="48"/>
      <c r="AC85" s="48"/>
    </row>
    <row r="86" spans="1:29" ht="13" thickBot="1" x14ac:dyDescent="0.3">
      <c r="A86" s="9" t="s">
        <v>25</v>
      </c>
      <c r="B86" s="30" t="s">
        <v>15</v>
      </c>
      <c r="C86" s="31" t="s">
        <v>94</v>
      </c>
      <c r="D86" s="32" t="s">
        <v>47</v>
      </c>
      <c r="E86" s="53" t="s">
        <v>104</v>
      </c>
      <c r="F86" s="53" t="s">
        <v>105</v>
      </c>
      <c r="G86" s="53" t="s">
        <v>106</v>
      </c>
      <c r="H86" s="28" t="s">
        <v>12</v>
      </c>
      <c r="I86" s="54" t="s">
        <v>107</v>
      </c>
      <c r="J86" s="53" t="s">
        <v>108</v>
      </c>
      <c r="K86" s="53" t="s">
        <v>109</v>
      </c>
      <c r="L86" s="53" t="s">
        <v>110</v>
      </c>
      <c r="M86" s="53" t="s">
        <v>111</v>
      </c>
      <c r="N86" s="53" t="s">
        <v>115</v>
      </c>
      <c r="O86" s="53" t="s">
        <v>120</v>
      </c>
      <c r="P86" s="53" t="s">
        <v>121</v>
      </c>
      <c r="Q86" s="53" t="s">
        <v>164</v>
      </c>
      <c r="R86" s="53" t="s">
        <v>173</v>
      </c>
      <c r="S86" s="53" t="s">
        <v>177</v>
      </c>
      <c r="T86" s="55" t="s">
        <v>182</v>
      </c>
      <c r="U86" s="14">
        <v>1.175</v>
      </c>
      <c r="V86" s="14" t="s">
        <v>183</v>
      </c>
      <c r="W86" s="35"/>
      <c r="X86" s="14" t="s">
        <v>37</v>
      </c>
      <c r="Y86" s="14" t="s">
        <v>38</v>
      </c>
      <c r="AB86" s="48"/>
      <c r="AC86" s="48"/>
    </row>
    <row r="87" spans="1:29" x14ac:dyDescent="0.25">
      <c r="A87" s="7" t="s">
        <v>25</v>
      </c>
      <c r="B87" s="8" t="s">
        <v>17</v>
      </c>
      <c r="C87" s="9" t="s">
        <v>18</v>
      </c>
      <c r="D87" s="10">
        <v>0</v>
      </c>
      <c r="E87" s="10">
        <v>6</v>
      </c>
      <c r="F87" s="10">
        <v>12</v>
      </c>
      <c r="G87" s="10">
        <v>0</v>
      </c>
      <c r="H87" s="11">
        <v>1117</v>
      </c>
      <c r="I87" s="12">
        <v>2</v>
      </c>
      <c r="J87" s="10">
        <v>3</v>
      </c>
      <c r="K87" s="10">
        <v>0</v>
      </c>
      <c r="L87" s="10">
        <v>0</v>
      </c>
      <c r="M87" s="10">
        <v>0</v>
      </c>
      <c r="N87" s="10">
        <v>0</v>
      </c>
      <c r="O87" s="10">
        <v>0</v>
      </c>
      <c r="P87" s="10">
        <v>0</v>
      </c>
      <c r="Q87" s="10">
        <v>0</v>
      </c>
      <c r="R87" s="10">
        <v>0</v>
      </c>
      <c r="S87" s="10">
        <v>1094</v>
      </c>
      <c r="T87" s="13">
        <v>0</v>
      </c>
      <c r="U87" s="14">
        <v>1.175</v>
      </c>
      <c r="V87" s="42">
        <f>SUM(I87:T87)/H87</f>
        <v>0.9838854073410922</v>
      </c>
      <c r="W87" s="39">
        <f>SUM(I87:T87)*U87</f>
        <v>1291.325</v>
      </c>
    </row>
    <row r="88" spans="1:29" x14ac:dyDescent="0.25">
      <c r="A88" s="7" t="s">
        <v>25</v>
      </c>
      <c r="B88" s="15" t="s">
        <v>66</v>
      </c>
      <c r="C88" s="7" t="s">
        <v>18</v>
      </c>
      <c r="D88" s="14">
        <v>0</v>
      </c>
      <c r="E88" s="14">
        <v>0</v>
      </c>
      <c r="F88" s="14">
        <v>2</v>
      </c>
      <c r="G88" s="14">
        <v>0</v>
      </c>
      <c r="H88" s="16">
        <v>2</v>
      </c>
      <c r="I88" s="17">
        <v>0</v>
      </c>
      <c r="J88" s="14">
        <v>0</v>
      </c>
      <c r="K88" s="14">
        <v>0</v>
      </c>
      <c r="L88" s="14">
        <v>0</v>
      </c>
      <c r="M88" s="14">
        <v>0</v>
      </c>
      <c r="N88" s="14">
        <v>0</v>
      </c>
      <c r="O88" s="14">
        <v>0</v>
      </c>
      <c r="P88" s="14">
        <v>0</v>
      </c>
      <c r="Q88" s="14">
        <v>0</v>
      </c>
      <c r="R88" s="14">
        <v>0</v>
      </c>
      <c r="S88" s="14">
        <v>0</v>
      </c>
      <c r="T88" s="18">
        <v>0</v>
      </c>
      <c r="U88" s="14">
        <v>1.175</v>
      </c>
      <c r="V88" s="44"/>
      <c r="W88" s="39">
        <f t="shared" ref="W88:W94" si="20">SUM(I88:T88)*U88</f>
        <v>0</v>
      </c>
    </row>
    <row r="89" spans="1:29" x14ac:dyDescent="0.25">
      <c r="A89" s="7" t="s">
        <v>25</v>
      </c>
      <c r="B89" s="15" t="s">
        <v>13</v>
      </c>
      <c r="C89" s="7" t="s">
        <v>18</v>
      </c>
      <c r="D89" s="14">
        <v>0</v>
      </c>
      <c r="E89" s="14">
        <v>0</v>
      </c>
      <c r="F89" s="14">
        <v>30</v>
      </c>
      <c r="G89" s="14">
        <v>0</v>
      </c>
      <c r="H89" s="16">
        <v>535</v>
      </c>
      <c r="I89" s="17">
        <v>102</v>
      </c>
      <c r="J89" s="14">
        <v>108</v>
      </c>
      <c r="K89" s="14">
        <v>130</v>
      </c>
      <c r="L89" s="14">
        <v>74</v>
      </c>
      <c r="M89" s="14">
        <v>17</v>
      </c>
      <c r="N89" s="14">
        <v>6</v>
      </c>
      <c r="O89" s="14">
        <v>5</v>
      </c>
      <c r="P89" s="14">
        <v>0</v>
      </c>
      <c r="Q89" s="14">
        <v>63</v>
      </c>
      <c r="R89" s="14">
        <v>0</v>
      </c>
      <c r="S89" s="14">
        <v>0</v>
      </c>
      <c r="T89" s="18">
        <v>0</v>
      </c>
      <c r="U89" s="14">
        <v>1.175</v>
      </c>
      <c r="V89" s="41"/>
      <c r="W89" s="39">
        <f t="shared" si="20"/>
        <v>593.375</v>
      </c>
    </row>
    <row r="90" spans="1:29" x14ac:dyDescent="0.25">
      <c r="A90" s="7" t="s">
        <v>25</v>
      </c>
      <c r="B90" s="15" t="s">
        <v>67</v>
      </c>
      <c r="C90" s="7" t="s">
        <v>18</v>
      </c>
      <c r="D90" s="14">
        <v>37</v>
      </c>
      <c r="E90" s="14">
        <v>0</v>
      </c>
      <c r="F90" s="14">
        <v>5</v>
      </c>
      <c r="G90" s="14">
        <v>71</v>
      </c>
      <c r="H90" s="16">
        <v>218</v>
      </c>
      <c r="I90" s="17">
        <v>4</v>
      </c>
      <c r="J90" s="14">
        <v>32</v>
      </c>
      <c r="K90" s="14">
        <v>37</v>
      </c>
      <c r="L90" s="14">
        <v>19</v>
      </c>
      <c r="M90" s="14">
        <v>0</v>
      </c>
      <c r="N90" s="14">
        <v>0</v>
      </c>
      <c r="O90" s="14">
        <v>1</v>
      </c>
      <c r="P90" s="14">
        <v>0</v>
      </c>
      <c r="Q90" s="14">
        <v>12</v>
      </c>
      <c r="R90" s="14">
        <v>0</v>
      </c>
      <c r="S90" s="14">
        <v>0</v>
      </c>
      <c r="T90" s="18">
        <v>0</v>
      </c>
      <c r="U90" s="14">
        <v>1.175</v>
      </c>
      <c r="V90" s="41"/>
      <c r="W90" s="39">
        <f t="shared" si="20"/>
        <v>123.375</v>
      </c>
    </row>
    <row r="91" spans="1:29" x14ac:dyDescent="0.25">
      <c r="A91" s="7" t="s">
        <v>25</v>
      </c>
      <c r="B91" s="15" t="s">
        <v>73</v>
      </c>
      <c r="C91" s="7" t="s">
        <v>18</v>
      </c>
      <c r="D91" s="14">
        <v>0</v>
      </c>
      <c r="E91" s="14">
        <v>0</v>
      </c>
      <c r="F91" s="14">
        <v>0</v>
      </c>
      <c r="G91" s="14">
        <v>0</v>
      </c>
      <c r="H91" s="16">
        <v>984</v>
      </c>
      <c r="I91" s="17">
        <v>90</v>
      </c>
      <c r="J91" s="14">
        <v>315</v>
      </c>
      <c r="K91" s="14">
        <v>94</v>
      </c>
      <c r="L91" s="14">
        <v>55</v>
      </c>
      <c r="M91" s="14">
        <v>26</v>
      </c>
      <c r="N91" s="14">
        <v>52</v>
      </c>
      <c r="O91" s="14">
        <v>86</v>
      </c>
      <c r="P91" s="14">
        <v>38</v>
      </c>
      <c r="Q91" s="14">
        <v>228</v>
      </c>
      <c r="R91" s="14">
        <v>0</v>
      </c>
      <c r="S91" s="14">
        <v>0</v>
      </c>
      <c r="T91" s="18">
        <v>0</v>
      </c>
      <c r="U91" s="14">
        <v>1.175</v>
      </c>
      <c r="V91" s="41"/>
      <c r="W91" s="39">
        <f t="shared" si="20"/>
        <v>1156.2</v>
      </c>
    </row>
    <row r="92" spans="1:29" x14ac:dyDescent="0.25">
      <c r="A92" s="7" t="s">
        <v>25</v>
      </c>
      <c r="B92" s="15" t="s">
        <v>19</v>
      </c>
      <c r="C92" s="7" t="s">
        <v>18</v>
      </c>
      <c r="D92" s="14">
        <v>0</v>
      </c>
      <c r="E92" s="14">
        <v>10</v>
      </c>
      <c r="F92" s="14">
        <v>110</v>
      </c>
      <c r="G92" s="14">
        <v>144</v>
      </c>
      <c r="H92" s="16">
        <v>1037</v>
      </c>
      <c r="I92" s="17">
        <v>327</v>
      </c>
      <c r="J92" s="14">
        <v>193</v>
      </c>
      <c r="K92" s="14">
        <v>138</v>
      </c>
      <c r="L92" s="14">
        <v>19</v>
      </c>
      <c r="M92" s="14">
        <v>6</v>
      </c>
      <c r="N92" s="14">
        <v>3</v>
      </c>
      <c r="O92" s="14">
        <v>19</v>
      </c>
      <c r="P92" s="14">
        <v>22</v>
      </c>
      <c r="Q92" s="14">
        <v>46</v>
      </c>
      <c r="R92" s="14">
        <v>0</v>
      </c>
      <c r="S92" s="14">
        <v>0</v>
      </c>
      <c r="T92" s="18">
        <v>0</v>
      </c>
      <c r="U92" s="14">
        <v>1.175</v>
      </c>
      <c r="V92" s="41"/>
      <c r="W92" s="39">
        <f t="shared" si="20"/>
        <v>908.27500000000009</v>
      </c>
    </row>
    <row r="93" spans="1:29" ht="13" thickBot="1" x14ac:dyDescent="0.3">
      <c r="A93" s="7" t="s">
        <v>25</v>
      </c>
      <c r="B93" s="19" t="s">
        <v>20</v>
      </c>
      <c r="C93" s="20" t="s">
        <v>18</v>
      </c>
      <c r="D93" s="21">
        <v>0</v>
      </c>
      <c r="E93" s="21">
        <v>0</v>
      </c>
      <c r="F93" s="21">
        <v>0</v>
      </c>
      <c r="G93" s="21">
        <v>0</v>
      </c>
      <c r="H93" s="22">
        <v>0</v>
      </c>
      <c r="I93" s="23">
        <v>0</v>
      </c>
      <c r="J93" s="21">
        <v>0</v>
      </c>
      <c r="K93" s="21">
        <v>0</v>
      </c>
      <c r="L93" s="21">
        <v>0</v>
      </c>
      <c r="M93" s="21">
        <v>0</v>
      </c>
      <c r="N93" s="21">
        <v>0</v>
      </c>
      <c r="O93" s="21">
        <v>0</v>
      </c>
      <c r="P93" s="21">
        <v>0</v>
      </c>
      <c r="Q93" s="21">
        <v>0</v>
      </c>
      <c r="R93" s="21">
        <v>0</v>
      </c>
      <c r="S93" s="21">
        <v>0</v>
      </c>
      <c r="T93" s="24">
        <v>0</v>
      </c>
      <c r="U93" s="14">
        <v>1.175</v>
      </c>
      <c r="V93" s="44"/>
      <c r="W93" s="39">
        <f t="shared" si="20"/>
        <v>0</v>
      </c>
    </row>
    <row r="94" spans="1:29" ht="13" thickBot="1" x14ac:dyDescent="0.3">
      <c r="A94" s="7" t="s">
        <v>25</v>
      </c>
      <c r="B94" s="25" t="s">
        <v>12</v>
      </c>
      <c r="C94" s="26" t="s">
        <v>18</v>
      </c>
      <c r="D94" s="27">
        <v>37</v>
      </c>
      <c r="E94" s="27">
        <v>16</v>
      </c>
      <c r="F94" s="27">
        <v>159</v>
      </c>
      <c r="G94" s="27">
        <v>215</v>
      </c>
      <c r="H94" s="28">
        <v>3893</v>
      </c>
      <c r="I94" s="29">
        <v>525</v>
      </c>
      <c r="J94" s="27">
        <v>651</v>
      </c>
      <c r="K94" s="27">
        <v>399</v>
      </c>
      <c r="L94" s="27">
        <v>167</v>
      </c>
      <c r="M94" s="27">
        <v>49</v>
      </c>
      <c r="N94" s="27">
        <v>61</v>
      </c>
      <c r="O94" s="27">
        <v>111</v>
      </c>
      <c r="P94" s="27">
        <v>60</v>
      </c>
      <c r="Q94" s="27">
        <v>349</v>
      </c>
      <c r="R94" s="27">
        <v>0</v>
      </c>
      <c r="S94" s="27">
        <v>1094</v>
      </c>
      <c r="T94" s="29">
        <v>0</v>
      </c>
      <c r="U94" s="14">
        <v>1.175</v>
      </c>
      <c r="V94" s="43">
        <f>SUM(I89:T92)/SUM(H89:H92)</f>
        <v>0.85328046142754144</v>
      </c>
      <c r="W94" s="39">
        <f t="shared" si="20"/>
        <v>4072.55</v>
      </c>
      <c r="X94" s="35">
        <f>W92+W89</f>
        <v>1501.65</v>
      </c>
      <c r="Y94" s="35">
        <f>W87</f>
        <v>1291.325</v>
      </c>
    </row>
    <row r="95" spans="1:29" x14ac:dyDescent="0.25">
      <c r="A95" s="7" t="s">
        <v>25</v>
      </c>
      <c r="B95" s="8" t="s">
        <v>17</v>
      </c>
      <c r="C95" s="9" t="s">
        <v>21</v>
      </c>
      <c r="D95" s="10">
        <v>0</v>
      </c>
      <c r="E95" s="10">
        <v>0</v>
      </c>
      <c r="F95" s="10">
        <v>0</v>
      </c>
      <c r="G95" s="10">
        <v>0</v>
      </c>
      <c r="H95" s="11">
        <v>86</v>
      </c>
      <c r="I95" s="12">
        <v>50</v>
      </c>
      <c r="J95" s="10">
        <v>15</v>
      </c>
      <c r="K95" s="10">
        <v>21</v>
      </c>
      <c r="L95" s="10">
        <v>0</v>
      </c>
      <c r="M95" s="10">
        <v>0</v>
      </c>
      <c r="N95" s="10">
        <v>0</v>
      </c>
      <c r="O95" s="10">
        <v>0</v>
      </c>
      <c r="P95" s="10">
        <v>0</v>
      </c>
      <c r="Q95" s="10">
        <v>0</v>
      </c>
      <c r="R95" s="10">
        <v>0</v>
      </c>
      <c r="S95" s="10">
        <v>0</v>
      </c>
      <c r="T95" s="13">
        <v>0</v>
      </c>
      <c r="U95" s="14">
        <v>1.175</v>
      </c>
      <c r="W95" s="38">
        <f t="shared" ref="W95:W119" si="21">H95*U95</f>
        <v>101.05</v>
      </c>
      <c r="AB95" s="37" t="str">
        <f t="shared" ref="AB95:AB101" si="22">B95</f>
        <v>Parts-OTC</v>
      </c>
      <c r="AC95" s="36">
        <f t="shared" ref="AC95:AC101" si="23">I95*U95</f>
        <v>58.75</v>
      </c>
    </row>
    <row r="96" spans="1:29" x14ac:dyDescent="0.25">
      <c r="A96" s="7" t="s">
        <v>25</v>
      </c>
      <c r="B96" s="15" t="s">
        <v>66</v>
      </c>
      <c r="C96" s="7" t="s">
        <v>21</v>
      </c>
      <c r="D96" s="14">
        <v>0</v>
      </c>
      <c r="E96" s="14">
        <v>0</v>
      </c>
      <c r="F96" s="14">
        <v>0</v>
      </c>
      <c r="G96" s="14">
        <v>0</v>
      </c>
      <c r="H96" s="16">
        <v>1</v>
      </c>
      <c r="I96" s="17">
        <v>1</v>
      </c>
      <c r="J96" s="14">
        <v>0</v>
      </c>
      <c r="K96" s="14">
        <v>0</v>
      </c>
      <c r="L96" s="14">
        <v>0</v>
      </c>
      <c r="M96" s="14">
        <v>0</v>
      </c>
      <c r="N96" s="14">
        <v>0</v>
      </c>
      <c r="O96" s="14">
        <v>0</v>
      </c>
      <c r="P96" s="14">
        <v>0</v>
      </c>
      <c r="Q96" s="14">
        <v>0</v>
      </c>
      <c r="R96" s="14">
        <v>0</v>
      </c>
      <c r="S96" s="14">
        <v>0</v>
      </c>
      <c r="T96" s="18">
        <v>0</v>
      </c>
      <c r="U96" s="14">
        <v>1.175</v>
      </c>
      <c r="W96" s="38">
        <f t="shared" si="21"/>
        <v>1.175</v>
      </c>
      <c r="AB96" s="37" t="str">
        <f t="shared" si="22"/>
        <v>CTKS</v>
      </c>
      <c r="AC96" s="36">
        <f t="shared" si="23"/>
        <v>1.175</v>
      </c>
    </row>
    <row r="97" spans="1:29" x14ac:dyDescent="0.25">
      <c r="A97" s="7" t="s">
        <v>25</v>
      </c>
      <c r="B97" s="15" t="s">
        <v>13</v>
      </c>
      <c r="C97" s="7" t="s">
        <v>21</v>
      </c>
      <c r="D97" s="14">
        <v>0</v>
      </c>
      <c r="E97" s="14">
        <v>0</v>
      </c>
      <c r="F97" s="14">
        <v>0</v>
      </c>
      <c r="G97" s="14">
        <v>0</v>
      </c>
      <c r="H97" s="16">
        <v>880</v>
      </c>
      <c r="I97" s="17">
        <v>254</v>
      </c>
      <c r="J97" s="14">
        <v>163</v>
      </c>
      <c r="K97" s="14">
        <v>95</v>
      </c>
      <c r="L97" s="14">
        <v>80</v>
      </c>
      <c r="M97" s="14">
        <v>25</v>
      </c>
      <c r="N97" s="14">
        <v>2</v>
      </c>
      <c r="O97" s="14">
        <v>27</v>
      </c>
      <c r="P97" s="14">
        <v>55</v>
      </c>
      <c r="Q97" s="14">
        <v>160</v>
      </c>
      <c r="R97" s="14">
        <v>13</v>
      </c>
      <c r="S97" s="14">
        <v>0</v>
      </c>
      <c r="T97" s="18">
        <v>6</v>
      </c>
      <c r="U97" s="14">
        <v>1.175</v>
      </c>
      <c r="W97" s="38">
        <f t="shared" si="21"/>
        <v>1034</v>
      </c>
      <c r="AB97" s="37" t="str">
        <f t="shared" si="22"/>
        <v>Repair</v>
      </c>
      <c r="AC97" s="36">
        <f t="shared" si="23"/>
        <v>298.45</v>
      </c>
    </row>
    <row r="98" spans="1:29" x14ac:dyDescent="0.25">
      <c r="A98" s="7" t="s">
        <v>25</v>
      </c>
      <c r="B98" s="15" t="s">
        <v>67</v>
      </c>
      <c r="C98" s="7" t="s">
        <v>21</v>
      </c>
      <c r="D98" s="14">
        <v>0</v>
      </c>
      <c r="E98" s="14">
        <v>0</v>
      </c>
      <c r="F98" s="14">
        <v>0</v>
      </c>
      <c r="G98" s="14">
        <v>0</v>
      </c>
      <c r="H98" s="16">
        <v>867</v>
      </c>
      <c r="I98" s="17">
        <v>209</v>
      </c>
      <c r="J98" s="14">
        <v>161</v>
      </c>
      <c r="K98" s="14">
        <v>134</v>
      </c>
      <c r="L98" s="14">
        <v>76</v>
      </c>
      <c r="M98" s="14">
        <v>62</v>
      </c>
      <c r="N98" s="14">
        <v>57</v>
      </c>
      <c r="O98" s="14">
        <v>57</v>
      </c>
      <c r="P98" s="14">
        <v>49</v>
      </c>
      <c r="Q98" s="14">
        <v>50</v>
      </c>
      <c r="R98" s="14">
        <v>4</v>
      </c>
      <c r="S98" s="14">
        <v>4</v>
      </c>
      <c r="T98" s="18">
        <v>4</v>
      </c>
      <c r="U98" s="14">
        <v>1.175</v>
      </c>
      <c r="W98" s="38">
        <f t="shared" si="21"/>
        <v>1018.725</v>
      </c>
      <c r="AB98" s="37" t="str">
        <f t="shared" si="22"/>
        <v>Rental</v>
      </c>
      <c r="AC98" s="36">
        <f t="shared" si="23"/>
        <v>245.57500000000002</v>
      </c>
    </row>
    <row r="99" spans="1:29" x14ac:dyDescent="0.25">
      <c r="A99" s="7" t="s">
        <v>25</v>
      </c>
      <c r="B99" s="15" t="s">
        <v>73</v>
      </c>
      <c r="C99" s="7" t="s">
        <v>21</v>
      </c>
      <c r="D99" s="14">
        <v>0</v>
      </c>
      <c r="E99" s="14">
        <v>0</v>
      </c>
      <c r="F99" s="14">
        <v>0</v>
      </c>
      <c r="G99" s="14">
        <v>0</v>
      </c>
      <c r="H99" s="16">
        <v>1236</v>
      </c>
      <c r="I99" s="17">
        <v>335</v>
      </c>
      <c r="J99" s="14">
        <v>300</v>
      </c>
      <c r="K99" s="14">
        <v>89</v>
      </c>
      <c r="L99" s="14">
        <v>335</v>
      </c>
      <c r="M99" s="14">
        <v>10</v>
      </c>
      <c r="N99" s="14">
        <v>0</v>
      </c>
      <c r="O99" s="14">
        <v>4</v>
      </c>
      <c r="P99" s="14">
        <v>35</v>
      </c>
      <c r="Q99" s="14">
        <v>95</v>
      </c>
      <c r="R99" s="14">
        <v>6</v>
      </c>
      <c r="S99" s="14">
        <v>0</v>
      </c>
      <c r="T99" s="18">
        <v>27</v>
      </c>
      <c r="U99" s="14">
        <v>1.175</v>
      </c>
      <c r="W99" s="38">
        <f t="shared" si="21"/>
        <v>1452.3</v>
      </c>
      <c r="AB99" s="37"/>
    </row>
    <row r="100" spans="1:29" x14ac:dyDescent="0.25">
      <c r="A100" s="7" t="s">
        <v>25</v>
      </c>
      <c r="B100" s="15" t="s">
        <v>19</v>
      </c>
      <c r="C100" s="7" t="s">
        <v>21</v>
      </c>
      <c r="D100" s="14">
        <v>0</v>
      </c>
      <c r="E100" s="14">
        <v>0</v>
      </c>
      <c r="F100" s="14">
        <v>0</v>
      </c>
      <c r="G100" s="14">
        <v>0</v>
      </c>
      <c r="H100" s="16">
        <v>2308</v>
      </c>
      <c r="I100" s="17">
        <v>374</v>
      </c>
      <c r="J100" s="14">
        <v>301</v>
      </c>
      <c r="K100" s="14">
        <v>216</v>
      </c>
      <c r="L100" s="14">
        <v>219</v>
      </c>
      <c r="M100" s="14">
        <v>164</v>
      </c>
      <c r="N100" s="14">
        <v>180</v>
      </c>
      <c r="O100" s="14">
        <v>310</v>
      </c>
      <c r="P100" s="14">
        <v>262</v>
      </c>
      <c r="Q100" s="14">
        <v>179</v>
      </c>
      <c r="R100" s="14">
        <v>32</v>
      </c>
      <c r="S100" s="14">
        <v>39</v>
      </c>
      <c r="T100" s="18">
        <v>32</v>
      </c>
      <c r="U100" s="14">
        <v>1.175</v>
      </c>
      <c r="W100" s="38">
        <f t="shared" si="21"/>
        <v>2711.9</v>
      </c>
      <c r="AB100" s="37" t="str">
        <f t="shared" si="22"/>
        <v>Maintenance</v>
      </c>
      <c r="AC100" s="36">
        <f t="shared" si="23"/>
        <v>439.45</v>
      </c>
    </row>
    <row r="101" spans="1:29" ht="13" thickBot="1" x14ac:dyDescent="0.3">
      <c r="A101" s="7" t="s">
        <v>25</v>
      </c>
      <c r="B101" s="19" t="s">
        <v>20</v>
      </c>
      <c r="C101" s="20" t="s">
        <v>21</v>
      </c>
      <c r="D101" s="21">
        <v>0</v>
      </c>
      <c r="E101" s="21">
        <v>0</v>
      </c>
      <c r="F101" s="21">
        <v>0</v>
      </c>
      <c r="G101" s="21">
        <v>0</v>
      </c>
      <c r="H101" s="22">
        <v>555</v>
      </c>
      <c r="I101" s="23">
        <v>243</v>
      </c>
      <c r="J101" s="21">
        <v>140</v>
      </c>
      <c r="K101" s="21">
        <v>68</v>
      </c>
      <c r="L101" s="21">
        <v>20</v>
      </c>
      <c r="M101" s="21">
        <v>14</v>
      </c>
      <c r="N101" s="21">
        <v>6</v>
      </c>
      <c r="O101" s="21">
        <v>14</v>
      </c>
      <c r="P101" s="21">
        <v>9</v>
      </c>
      <c r="Q101" s="21">
        <v>37</v>
      </c>
      <c r="R101" s="21">
        <v>0</v>
      </c>
      <c r="S101" s="21">
        <v>0</v>
      </c>
      <c r="T101" s="24">
        <v>4</v>
      </c>
      <c r="U101" s="14">
        <v>1.175</v>
      </c>
      <c r="W101" s="38">
        <f t="shared" si="21"/>
        <v>652.125</v>
      </c>
      <c r="AB101" s="37" t="str">
        <f t="shared" si="22"/>
        <v>Startup</v>
      </c>
      <c r="AC101" s="36">
        <f t="shared" si="23"/>
        <v>285.52500000000003</v>
      </c>
    </row>
    <row r="102" spans="1:29" ht="13" thickBot="1" x14ac:dyDescent="0.3">
      <c r="A102" s="20" t="s">
        <v>25</v>
      </c>
      <c r="B102" s="25" t="s">
        <v>12</v>
      </c>
      <c r="C102" s="26" t="s">
        <v>21</v>
      </c>
      <c r="D102" s="27">
        <v>0</v>
      </c>
      <c r="E102" s="27">
        <v>0</v>
      </c>
      <c r="F102" s="27">
        <v>0</v>
      </c>
      <c r="G102" s="27">
        <v>0</v>
      </c>
      <c r="H102" s="28">
        <v>5933</v>
      </c>
      <c r="I102" s="29">
        <v>1466</v>
      </c>
      <c r="J102" s="27">
        <v>1080</v>
      </c>
      <c r="K102" s="27">
        <v>623</v>
      </c>
      <c r="L102" s="27">
        <v>730</v>
      </c>
      <c r="M102" s="27">
        <v>275</v>
      </c>
      <c r="N102" s="27">
        <v>245</v>
      </c>
      <c r="O102" s="27">
        <v>412</v>
      </c>
      <c r="P102" s="27">
        <v>410</v>
      </c>
      <c r="Q102" s="27">
        <v>521</v>
      </c>
      <c r="R102" s="27">
        <v>55</v>
      </c>
      <c r="S102" s="27">
        <v>43</v>
      </c>
      <c r="T102" s="29">
        <v>73</v>
      </c>
      <c r="U102" s="14">
        <v>1.175</v>
      </c>
      <c r="W102" s="38">
        <f t="shared" si="21"/>
        <v>6971.2750000000005</v>
      </c>
      <c r="X102" s="35">
        <f>W101+W100+W97</f>
        <v>4398.0249999999996</v>
      </c>
      <c r="Y102" s="35">
        <f>W95</f>
        <v>101.05</v>
      </c>
      <c r="Z102" s="40">
        <f>V93/X102</f>
        <v>0</v>
      </c>
      <c r="AA102" s="40">
        <f>IF((Y102=0),0,Y94/Y102)</f>
        <v>12.779069767441861</v>
      </c>
      <c r="AB102" s="48"/>
      <c r="AC102" s="48"/>
    </row>
    <row r="103" spans="1:29" ht="13" thickBot="1" x14ac:dyDescent="0.3">
      <c r="A103" s="9" t="s">
        <v>1</v>
      </c>
      <c r="B103" s="30" t="s">
        <v>15</v>
      </c>
      <c r="C103" s="31" t="s">
        <v>94</v>
      </c>
      <c r="D103" s="32" t="s">
        <v>47</v>
      </c>
      <c r="E103" s="53" t="s">
        <v>104</v>
      </c>
      <c r="F103" s="53" t="s">
        <v>105</v>
      </c>
      <c r="G103" s="53" t="s">
        <v>106</v>
      </c>
      <c r="H103" s="28" t="s">
        <v>12</v>
      </c>
      <c r="I103" s="54" t="s">
        <v>107</v>
      </c>
      <c r="J103" s="53" t="s">
        <v>108</v>
      </c>
      <c r="K103" s="53" t="s">
        <v>109</v>
      </c>
      <c r="L103" s="53" t="s">
        <v>110</v>
      </c>
      <c r="M103" s="53" t="s">
        <v>111</v>
      </c>
      <c r="N103" s="53" t="s">
        <v>115</v>
      </c>
      <c r="O103" s="53" t="s">
        <v>120</v>
      </c>
      <c r="P103" s="53" t="s">
        <v>121</v>
      </c>
      <c r="Q103" s="53" t="s">
        <v>164</v>
      </c>
      <c r="R103" s="53" t="s">
        <v>173</v>
      </c>
      <c r="S103" s="53" t="s">
        <v>177</v>
      </c>
      <c r="T103" s="55" t="s">
        <v>182</v>
      </c>
      <c r="U103" s="14">
        <v>0.1075543392</v>
      </c>
      <c r="V103" s="14" t="s">
        <v>183</v>
      </c>
      <c r="W103" s="35"/>
      <c r="X103" s="14" t="s">
        <v>37</v>
      </c>
      <c r="Y103" s="14" t="s">
        <v>38</v>
      </c>
      <c r="AB103" s="48"/>
      <c r="AC103" s="48"/>
    </row>
    <row r="104" spans="1:29" x14ac:dyDescent="0.25">
      <c r="A104" s="7" t="s">
        <v>1</v>
      </c>
      <c r="B104" s="8" t="s">
        <v>17</v>
      </c>
      <c r="C104" s="9" t="s">
        <v>18</v>
      </c>
      <c r="D104" s="10">
        <v>0</v>
      </c>
      <c r="E104" s="10">
        <v>0</v>
      </c>
      <c r="F104" s="10">
        <v>0</v>
      </c>
      <c r="G104" s="10">
        <v>0</v>
      </c>
      <c r="H104" s="11">
        <v>1534</v>
      </c>
      <c r="I104" s="12">
        <v>1472</v>
      </c>
      <c r="J104" s="10">
        <v>62</v>
      </c>
      <c r="K104" s="10">
        <v>0</v>
      </c>
      <c r="L104" s="10">
        <v>0</v>
      </c>
      <c r="M104" s="10">
        <v>0</v>
      </c>
      <c r="N104" s="10">
        <v>0</v>
      </c>
      <c r="O104" s="10">
        <v>0</v>
      </c>
      <c r="P104" s="10">
        <v>0</v>
      </c>
      <c r="Q104" s="10">
        <v>0</v>
      </c>
      <c r="R104" s="10">
        <v>0</v>
      </c>
      <c r="S104" s="10">
        <v>0</v>
      </c>
      <c r="T104" s="13">
        <v>0</v>
      </c>
      <c r="U104" s="14">
        <v>0.1075543392</v>
      </c>
      <c r="V104" s="42">
        <f>SUM(I104:T104)/H104</f>
        <v>1</v>
      </c>
      <c r="W104" s="39">
        <f>SUM(I104:T104)*U104</f>
        <v>164.98835633280001</v>
      </c>
    </row>
    <row r="105" spans="1:29" x14ac:dyDescent="0.25">
      <c r="A105" s="7" t="s">
        <v>1</v>
      </c>
      <c r="B105" s="15" t="s">
        <v>66</v>
      </c>
      <c r="C105" s="7" t="s">
        <v>18</v>
      </c>
      <c r="D105" s="14">
        <v>0</v>
      </c>
      <c r="E105" s="14">
        <v>0</v>
      </c>
      <c r="F105" s="14">
        <v>0</v>
      </c>
      <c r="G105" s="14">
        <v>0</v>
      </c>
      <c r="H105" s="16">
        <v>178</v>
      </c>
      <c r="I105" s="17">
        <v>98</v>
      </c>
      <c r="J105" s="14">
        <v>80</v>
      </c>
      <c r="K105" s="14">
        <v>0</v>
      </c>
      <c r="L105" s="14">
        <v>0</v>
      </c>
      <c r="M105" s="14">
        <v>0</v>
      </c>
      <c r="N105" s="14">
        <v>0</v>
      </c>
      <c r="O105" s="14">
        <v>0</v>
      </c>
      <c r="P105" s="14">
        <v>0</v>
      </c>
      <c r="Q105" s="14">
        <v>0</v>
      </c>
      <c r="R105" s="14">
        <v>0</v>
      </c>
      <c r="S105" s="14">
        <v>0</v>
      </c>
      <c r="T105" s="18">
        <v>0</v>
      </c>
      <c r="U105" s="14">
        <v>0.1075543392</v>
      </c>
      <c r="V105" s="44"/>
      <c r="W105" s="39">
        <f t="shared" ref="W105:W111" si="24">SUM(I105:T105)*U105</f>
        <v>19.144672377599999</v>
      </c>
    </row>
    <row r="106" spans="1:29" x14ac:dyDescent="0.25">
      <c r="A106" s="7" t="s">
        <v>1</v>
      </c>
      <c r="B106" s="15" t="s">
        <v>13</v>
      </c>
      <c r="C106" s="7" t="s">
        <v>18</v>
      </c>
      <c r="D106" s="14">
        <v>0</v>
      </c>
      <c r="E106" s="14">
        <v>0</v>
      </c>
      <c r="F106" s="14">
        <v>0</v>
      </c>
      <c r="G106" s="14">
        <v>0</v>
      </c>
      <c r="H106" s="16">
        <v>1891</v>
      </c>
      <c r="I106" s="17">
        <v>1841</v>
      </c>
      <c r="J106" s="14">
        <v>50</v>
      </c>
      <c r="K106" s="14">
        <v>0</v>
      </c>
      <c r="L106" s="14">
        <v>0</v>
      </c>
      <c r="M106" s="14">
        <v>0</v>
      </c>
      <c r="N106" s="14">
        <v>0</v>
      </c>
      <c r="O106" s="14">
        <v>0</v>
      </c>
      <c r="P106" s="14">
        <v>0</v>
      </c>
      <c r="Q106" s="14">
        <v>0</v>
      </c>
      <c r="R106" s="14">
        <v>0</v>
      </c>
      <c r="S106" s="14">
        <v>0</v>
      </c>
      <c r="T106" s="18">
        <v>0</v>
      </c>
      <c r="U106" s="14">
        <v>0.1075543392</v>
      </c>
      <c r="V106" s="41"/>
      <c r="W106" s="39">
        <f t="shared" si="24"/>
        <v>203.38525542720001</v>
      </c>
    </row>
    <row r="107" spans="1:29" x14ac:dyDescent="0.25">
      <c r="A107" s="7" t="s">
        <v>1</v>
      </c>
      <c r="B107" s="15" t="s">
        <v>67</v>
      </c>
      <c r="C107" s="7" t="s">
        <v>18</v>
      </c>
      <c r="D107" s="14">
        <v>0</v>
      </c>
      <c r="E107" s="14">
        <v>0</v>
      </c>
      <c r="F107" s="14">
        <v>0</v>
      </c>
      <c r="G107" s="14">
        <v>0</v>
      </c>
      <c r="H107" s="16">
        <v>7719</v>
      </c>
      <c r="I107" s="17">
        <v>1486</v>
      </c>
      <c r="J107" s="14">
        <v>2927</v>
      </c>
      <c r="K107" s="14">
        <v>3306</v>
      </c>
      <c r="L107" s="14">
        <v>0</v>
      </c>
      <c r="M107" s="14">
        <v>0</v>
      </c>
      <c r="N107" s="14">
        <v>0</v>
      </c>
      <c r="O107" s="14">
        <v>0</v>
      </c>
      <c r="P107" s="14">
        <v>0</v>
      </c>
      <c r="Q107" s="14">
        <v>0</v>
      </c>
      <c r="R107" s="14">
        <v>0</v>
      </c>
      <c r="S107" s="14">
        <v>0</v>
      </c>
      <c r="T107" s="18">
        <v>0</v>
      </c>
      <c r="U107" s="14">
        <v>0.1075543392</v>
      </c>
      <c r="V107" s="41"/>
      <c r="W107" s="39">
        <f t="shared" si="24"/>
        <v>830.21194428479998</v>
      </c>
    </row>
    <row r="108" spans="1:29" x14ac:dyDescent="0.25">
      <c r="A108" s="7" t="s">
        <v>1</v>
      </c>
      <c r="B108" s="15" t="s">
        <v>73</v>
      </c>
      <c r="C108" s="7" t="s">
        <v>18</v>
      </c>
      <c r="D108" s="14">
        <v>0</v>
      </c>
      <c r="E108" s="14">
        <v>0</v>
      </c>
      <c r="F108" s="14">
        <v>0</v>
      </c>
      <c r="G108" s="14">
        <v>0</v>
      </c>
      <c r="H108" s="16">
        <v>1244</v>
      </c>
      <c r="I108" s="17">
        <v>1244</v>
      </c>
      <c r="J108" s="14">
        <v>0</v>
      </c>
      <c r="K108" s="14">
        <v>0</v>
      </c>
      <c r="L108" s="14">
        <v>0</v>
      </c>
      <c r="M108" s="14">
        <v>0</v>
      </c>
      <c r="N108" s="14">
        <v>0</v>
      </c>
      <c r="O108" s="14">
        <v>0</v>
      </c>
      <c r="P108" s="14">
        <v>0</v>
      </c>
      <c r="Q108" s="14">
        <v>0</v>
      </c>
      <c r="R108" s="14">
        <v>0</v>
      </c>
      <c r="S108" s="14">
        <v>0</v>
      </c>
      <c r="T108" s="18">
        <v>0</v>
      </c>
      <c r="U108" s="14">
        <v>0.1075543392</v>
      </c>
      <c r="V108" s="41"/>
      <c r="W108" s="39">
        <f t="shared" si="24"/>
        <v>133.79759796479999</v>
      </c>
    </row>
    <row r="109" spans="1:29" x14ac:dyDescent="0.25">
      <c r="A109" s="7" t="s">
        <v>1</v>
      </c>
      <c r="B109" s="15" t="s">
        <v>19</v>
      </c>
      <c r="C109" s="7" t="s">
        <v>18</v>
      </c>
      <c r="D109" s="14">
        <v>0</v>
      </c>
      <c r="E109" s="14">
        <v>0</v>
      </c>
      <c r="F109" s="14">
        <v>0</v>
      </c>
      <c r="G109" s="14">
        <v>0</v>
      </c>
      <c r="H109" s="16">
        <v>150</v>
      </c>
      <c r="I109" s="17">
        <v>9</v>
      </c>
      <c r="J109" s="14">
        <v>0</v>
      </c>
      <c r="K109" s="14">
        <v>0</v>
      </c>
      <c r="L109" s="14">
        <v>0</v>
      </c>
      <c r="M109" s="14">
        <v>0</v>
      </c>
      <c r="N109" s="14">
        <v>0</v>
      </c>
      <c r="O109" s="14">
        <v>0</v>
      </c>
      <c r="P109" s="14">
        <v>141</v>
      </c>
      <c r="Q109" s="14">
        <v>0</v>
      </c>
      <c r="R109" s="14">
        <v>0</v>
      </c>
      <c r="S109" s="14">
        <v>0</v>
      </c>
      <c r="T109" s="18">
        <v>0</v>
      </c>
      <c r="U109" s="14">
        <v>0.1075543392</v>
      </c>
      <c r="V109" s="41"/>
      <c r="W109" s="39">
        <f t="shared" si="24"/>
        <v>16.133150879999999</v>
      </c>
    </row>
    <row r="110" spans="1:29" ht="13" thickBot="1" x14ac:dyDescent="0.3">
      <c r="A110" s="7" t="s">
        <v>1</v>
      </c>
      <c r="B110" s="19" t="s">
        <v>20</v>
      </c>
      <c r="C110" s="20" t="s">
        <v>18</v>
      </c>
      <c r="D110" s="21">
        <v>0</v>
      </c>
      <c r="E110" s="21">
        <v>0</v>
      </c>
      <c r="F110" s="21">
        <v>0</v>
      </c>
      <c r="G110" s="21">
        <v>0</v>
      </c>
      <c r="H110" s="22">
        <v>0</v>
      </c>
      <c r="I110" s="23">
        <v>0</v>
      </c>
      <c r="J110" s="21">
        <v>0</v>
      </c>
      <c r="K110" s="21">
        <v>0</v>
      </c>
      <c r="L110" s="21">
        <v>0</v>
      </c>
      <c r="M110" s="21">
        <v>0</v>
      </c>
      <c r="N110" s="21">
        <v>0</v>
      </c>
      <c r="O110" s="21">
        <v>0</v>
      </c>
      <c r="P110" s="21">
        <v>0</v>
      </c>
      <c r="Q110" s="21">
        <v>0</v>
      </c>
      <c r="R110" s="21">
        <v>0</v>
      </c>
      <c r="S110" s="21">
        <v>0</v>
      </c>
      <c r="T110" s="24">
        <v>0</v>
      </c>
      <c r="U110" s="14">
        <v>0.1075543392</v>
      </c>
      <c r="V110" s="44"/>
      <c r="W110" s="39">
        <f t="shared" si="24"/>
        <v>0</v>
      </c>
    </row>
    <row r="111" spans="1:29" ht="13" thickBot="1" x14ac:dyDescent="0.3">
      <c r="A111" s="7" t="s">
        <v>1</v>
      </c>
      <c r="B111" s="25" t="s">
        <v>12</v>
      </c>
      <c r="C111" s="26" t="s">
        <v>18</v>
      </c>
      <c r="D111" s="27">
        <v>0</v>
      </c>
      <c r="E111" s="27">
        <v>0</v>
      </c>
      <c r="F111" s="27">
        <v>0</v>
      </c>
      <c r="G111" s="27">
        <v>0</v>
      </c>
      <c r="H111" s="28">
        <v>12716</v>
      </c>
      <c r="I111" s="29">
        <v>6150</v>
      </c>
      <c r="J111" s="27">
        <v>3119</v>
      </c>
      <c r="K111" s="27">
        <v>3306</v>
      </c>
      <c r="L111" s="27">
        <v>0</v>
      </c>
      <c r="M111" s="27">
        <v>0</v>
      </c>
      <c r="N111" s="27">
        <v>0</v>
      </c>
      <c r="O111" s="27">
        <v>0</v>
      </c>
      <c r="P111" s="27">
        <v>141</v>
      </c>
      <c r="Q111" s="27">
        <v>0</v>
      </c>
      <c r="R111" s="27">
        <v>0</v>
      </c>
      <c r="S111" s="27">
        <v>0</v>
      </c>
      <c r="T111" s="29">
        <v>0</v>
      </c>
      <c r="U111" s="14">
        <v>0.1075543392</v>
      </c>
      <c r="V111" s="43">
        <f>SUM(I106:T109)/SUM(H106:H109)</f>
        <v>1</v>
      </c>
      <c r="W111" s="39">
        <f t="shared" si="24"/>
        <v>1367.6609772672</v>
      </c>
      <c r="X111" s="35">
        <f>W109+W106</f>
        <v>219.5184063072</v>
      </c>
      <c r="Y111" s="35">
        <f>W104</f>
        <v>164.98835633280001</v>
      </c>
    </row>
    <row r="112" spans="1:29" x14ac:dyDescent="0.25">
      <c r="A112" s="7" t="s">
        <v>1</v>
      </c>
      <c r="B112" s="8" t="s">
        <v>17</v>
      </c>
      <c r="C112" s="9" t="s">
        <v>21</v>
      </c>
      <c r="D112" s="10">
        <v>0</v>
      </c>
      <c r="E112" s="10">
        <v>0</v>
      </c>
      <c r="F112" s="10">
        <v>0</v>
      </c>
      <c r="G112" s="10">
        <v>0</v>
      </c>
      <c r="H112" s="11">
        <v>529</v>
      </c>
      <c r="I112" s="12">
        <v>451</v>
      </c>
      <c r="J112" s="10">
        <v>78</v>
      </c>
      <c r="K112" s="10">
        <v>0</v>
      </c>
      <c r="L112" s="10">
        <v>0</v>
      </c>
      <c r="M112" s="10">
        <v>0</v>
      </c>
      <c r="N112" s="10">
        <v>0</v>
      </c>
      <c r="O112" s="10">
        <v>0</v>
      </c>
      <c r="P112" s="10">
        <v>0</v>
      </c>
      <c r="Q112" s="10">
        <v>0</v>
      </c>
      <c r="R112" s="10">
        <v>0</v>
      </c>
      <c r="S112" s="10">
        <v>0</v>
      </c>
      <c r="T112" s="13">
        <v>0</v>
      </c>
      <c r="U112" s="14">
        <v>0.1075543392</v>
      </c>
      <c r="W112" s="38">
        <f t="shared" si="21"/>
        <v>56.896245436800001</v>
      </c>
      <c r="AB112" s="37" t="str">
        <f t="shared" ref="AB112:AB118" si="25">B112</f>
        <v>Parts-OTC</v>
      </c>
      <c r="AC112" s="36">
        <f t="shared" ref="AC112:AC118" si="26">I112*U112</f>
        <v>48.5070069792</v>
      </c>
    </row>
    <row r="113" spans="1:29" x14ac:dyDescent="0.25">
      <c r="A113" s="7" t="s">
        <v>1</v>
      </c>
      <c r="B113" s="15" t="s">
        <v>66</v>
      </c>
      <c r="C113" s="7" t="s">
        <v>21</v>
      </c>
      <c r="D113" s="14">
        <v>0</v>
      </c>
      <c r="E113" s="14">
        <v>0</v>
      </c>
      <c r="F113" s="14">
        <v>0</v>
      </c>
      <c r="G113" s="14">
        <v>0</v>
      </c>
      <c r="H113" s="16">
        <v>198</v>
      </c>
      <c r="I113" s="17">
        <v>154</v>
      </c>
      <c r="J113" s="14">
        <v>44</v>
      </c>
      <c r="K113" s="14">
        <v>0</v>
      </c>
      <c r="L113" s="14">
        <v>0</v>
      </c>
      <c r="M113" s="14">
        <v>0</v>
      </c>
      <c r="N113" s="14">
        <v>0</v>
      </c>
      <c r="O113" s="14">
        <v>0</v>
      </c>
      <c r="P113" s="14">
        <v>0</v>
      </c>
      <c r="Q113" s="14">
        <v>0</v>
      </c>
      <c r="R113" s="14">
        <v>0</v>
      </c>
      <c r="S113" s="14">
        <v>0</v>
      </c>
      <c r="T113" s="18">
        <v>0</v>
      </c>
      <c r="U113" s="14">
        <v>0.1075543392</v>
      </c>
      <c r="W113" s="38">
        <f t="shared" si="21"/>
        <v>21.295759161599999</v>
      </c>
      <c r="AB113" s="37" t="str">
        <f t="shared" si="25"/>
        <v>CTKS</v>
      </c>
      <c r="AC113" s="36">
        <f t="shared" si="26"/>
        <v>16.563368236799999</v>
      </c>
    </row>
    <row r="114" spans="1:29" x14ac:dyDescent="0.25">
      <c r="A114" s="7" t="s">
        <v>1</v>
      </c>
      <c r="B114" s="15" t="s">
        <v>13</v>
      </c>
      <c r="C114" s="7" t="s">
        <v>21</v>
      </c>
      <c r="D114" s="14">
        <v>0</v>
      </c>
      <c r="E114" s="14">
        <v>0</v>
      </c>
      <c r="F114" s="14">
        <v>0</v>
      </c>
      <c r="G114" s="14">
        <v>0</v>
      </c>
      <c r="H114" s="16">
        <v>1453</v>
      </c>
      <c r="I114" s="17">
        <v>1094</v>
      </c>
      <c r="J114" s="14">
        <v>322</v>
      </c>
      <c r="K114" s="14">
        <v>37</v>
      </c>
      <c r="L114" s="14">
        <v>0</v>
      </c>
      <c r="M114" s="14">
        <v>0</v>
      </c>
      <c r="N114" s="14">
        <v>0</v>
      </c>
      <c r="O114" s="14">
        <v>0</v>
      </c>
      <c r="P114" s="14">
        <v>0</v>
      </c>
      <c r="Q114" s="14">
        <v>0</v>
      </c>
      <c r="R114" s="14">
        <v>0</v>
      </c>
      <c r="S114" s="14">
        <v>0</v>
      </c>
      <c r="T114" s="18">
        <v>0</v>
      </c>
      <c r="U114" s="14">
        <v>0.1075543392</v>
      </c>
      <c r="W114" s="38">
        <f t="shared" si="21"/>
        <v>156.27645485760002</v>
      </c>
      <c r="AB114" s="37" t="str">
        <f t="shared" si="25"/>
        <v>Repair</v>
      </c>
      <c r="AC114" s="36">
        <f t="shared" si="26"/>
        <v>117.6644470848</v>
      </c>
    </row>
    <row r="115" spans="1:29" x14ac:dyDescent="0.25">
      <c r="A115" s="7" t="s">
        <v>1</v>
      </c>
      <c r="B115" s="15" t="s">
        <v>67</v>
      </c>
      <c r="C115" s="7" t="s">
        <v>21</v>
      </c>
      <c r="D115" s="14">
        <v>0</v>
      </c>
      <c r="E115" s="14">
        <v>0</v>
      </c>
      <c r="F115" s="14">
        <v>0</v>
      </c>
      <c r="G115" s="14">
        <v>0</v>
      </c>
      <c r="H115" s="16">
        <v>1095</v>
      </c>
      <c r="I115" s="17">
        <v>706</v>
      </c>
      <c r="J115" s="14">
        <v>136</v>
      </c>
      <c r="K115" s="14">
        <v>124</v>
      </c>
      <c r="L115" s="14">
        <v>49</v>
      </c>
      <c r="M115" s="14">
        <v>40</v>
      </c>
      <c r="N115" s="14">
        <v>40</v>
      </c>
      <c r="O115" s="14">
        <v>0</v>
      </c>
      <c r="P115" s="14">
        <v>0</v>
      </c>
      <c r="Q115" s="14">
        <v>0</v>
      </c>
      <c r="R115" s="14">
        <v>0</v>
      </c>
      <c r="S115" s="14">
        <v>0</v>
      </c>
      <c r="T115" s="18">
        <v>0</v>
      </c>
      <c r="U115" s="14">
        <v>0.1075543392</v>
      </c>
      <c r="W115" s="38">
        <f t="shared" si="21"/>
        <v>117.772001424</v>
      </c>
      <c r="AB115" s="37" t="str">
        <f t="shared" si="25"/>
        <v>Rental</v>
      </c>
      <c r="AC115" s="36">
        <f t="shared" si="26"/>
        <v>75.933363475199997</v>
      </c>
    </row>
    <row r="116" spans="1:29" x14ac:dyDescent="0.25">
      <c r="A116" s="7" t="s">
        <v>1</v>
      </c>
      <c r="B116" s="15" t="s">
        <v>73</v>
      </c>
      <c r="C116" s="7" t="s">
        <v>21</v>
      </c>
      <c r="D116" s="14">
        <v>0</v>
      </c>
      <c r="E116" s="14">
        <v>0</v>
      </c>
      <c r="F116" s="14">
        <v>0</v>
      </c>
      <c r="G116" s="14">
        <v>0</v>
      </c>
      <c r="H116" s="16">
        <v>788</v>
      </c>
      <c r="I116" s="17">
        <v>672</v>
      </c>
      <c r="J116" s="14">
        <v>116</v>
      </c>
      <c r="K116" s="14">
        <v>0</v>
      </c>
      <c r="L116" s="14">
        <v>0</v>
      </c>
      <c r="M116" s="14">
        <v>0</v>
      </c>
      <c r="N116" s="14">
        <v>0</v>
      </c>
      <c r="O116" s="14">
        <v>0</v>
      </c>
      <c r="P116" s="14">
        <v>0</v>
      </c>
      <c r="Q116" s="14">
        <v>0</v>
      </c>
      <c r="R116" s="14">
        <v>0</v>
      </c>
      <c r="S116" s="14">
        <v>0</v>
      </c>
      <c r="T116" s="18">
        <v>0</v>
      </c>
      <c r="U116" s="14">
        <v>0.1075543392</v>
      </c>
      <c r="W116" s="38">
        <f t="shared" si="21"/>
        <v>84.752819289599998</v>
      </c>
      <c r="AB116" s="37"/>
    </row>
    <row r="117" spans="1:29" x14ac:dyDescent="0.25">
      <c r="A117" s="7" t="s">
        <v>1</v>
      </c>
      <c r="B117" s="15" t="s">
        <v>19</v>
      </c>
      <c r="C117" s="7" t="s">
        <v>21</v>
      </c>
      <c r="D117" s="14">
        <v>0</v>
      </c>
      <c r="E117" s="14">
        <v>0</v>
      </c>
      <c r="F117" s="14">
        <v>0</v>
      </c>
      <c r="G117" s="14">
        <v>0</v>
      </c>
      <c r="H117" s="16">
        <v>2478</v>
      </c>
      <c r="I117" s="17">
        <v>133</v>
      </c>
      <c r="J117" s="14">
        <v>494</v>
      </c>
      <c r="K117" s="14">
        <v>152</v>
      </c>
      <c r="L117" s="14">
        <v>191</v>
      </c>
      <c r="M117" s="14">
        <v>216</v>
      </c>
      <c r="N117" s="14">
        <v>292</v>
      </c>
      <c r="O117" s="14">
        <v>182</v>
      </c>
      <c r="P117" s="14">
        <v>331</v>
      </c>
      <c r="Q117" s="14">
        <v>98</v>
      </c>
      <c r="R117" s="14">
        <v>146</v>
      </c>
      <c r="S117" s="14">
        <v>208</v>
      </c>
      <c r="T117" s="18">
        <v>35</v>
      </c>
      <c r="U117" s="14">
        <v>0.1075543392</v>
      </c>
      <c r="W117" s="38">
        <f t="shared" si="21"/>
        <v>266.5196525376</v>
      </c>
      <c r="AB117" s="37" t="str">
        <f t="shared" si="25"/>
        <v>Maintenance</v>
      </c>
      <c r="AC117" s="36">
        <f t="shared" si="26"/>
        <v>14.3047271136</v>
      </c>
    </row>
    <row r="118" spans="1:29" ht="13" thickBot="1" x14ac:dyDescent="0.3">
      <c r="A118" s="7" t="s">
        <v>1</v>
      </c>
      <c r="B118" s="19" t="s">
        <v>20</v>
      </c>
      <c r="C118" s="20" t="s">
        <v>21</v>
      </c>
      <c r="D118" s="21">
        <v>0</v>
      </c>
      <c r="E118" s="21">
        <v>0</v>
      </c>
      <c r="F118" s="21">
        <v>0</v>
      </c>
      <c r="G118" s="21">
        <v>0</v>
      </c>
      <c r="H118" s="22">
        <v>61</v>
      </c>
      <c r="I118" s="23">
        <v>30</v>
      </c>
      <c r="J118" s="21">
        <v>0</v>
      </c>
      <c r="K118" s="21">
        <v>31</v>
      </c>
      <c r="L118" s="21">
        <v>0</v>
      </c>
      <c r="M118" s="21">
        <v>0</v>
      </c>
      <c r="N118" s="21">
        <v>0</v>
      </c>
      <c r="O118" s="21">
        <v>0</v>
      </c>
      <c r="P118" s="21">
        <v>0</v>
      </c>
      <c r="Q118" s="21">
        <v>0</v>
      </c>
      <c r="R118" s="21">
        <v>0</v>
      </c>
      <c r="S118" s="21">
        <v>0</v>
      </c>
      <c r="T118" s="24">
        <v>0</v>
      </c>
      <c r="U118" s="14">
        <v>0.1075543392</v>
      </c>
      <c r="W118" s="38">
        <f t="shared" si="21"/>
        <v>6.5608146912</v>
      </c>
      <c r="AB118" s="37" t="str">
        <f t="shared" si="25"/>
        <v>Startup</v>
      </c>
      <c r="AC118" s="36">
        <f t="shared" si="26"/>
        <v>3.226630176</v>
      </c>
    </row>
    <row r="119" spans="1:29" ht="13" thickBot="1" x14ac:dyDescent="0.3">
      <c r="A119" s="20" t="s">
        <v>1</v>
      </c>
      <c r="B119" s="25" t="s">
        <v>12</v>
      </c>
      <c r="C119" s="26" t="s">
        <v>21</v>
      </c>
      <c r="D119" s="27">
        <v>0</v>
      </c>
      <c r="E119" s="27">
        <v>0</v>
      </c>
      <c r="F119" s="27">
        <v>0</v>
      </c>
      <c r="G119" s="27">
        <v>0</v>
      </c>
      <c r="H119" s="28">
        <v>6602</v>
      </c>
      <c r="I119" s="29">
        <v>3240</v>
      </c>
      <c r="J119" s="27">
        <v>1190</v>
      </c>
      <c r="K119" s="27">
        <v>344</v>
      </c>
      <c r="L119" s="27">
        <v>240</v>
      </c>
      <c r="M119" s="27">
        <v>256</v>
      </c>
      <c r="N119" s="27">
        <v>332</v>
      </c>
      <c r="O119" s="27">
        <v>182</v>
      </c>
      <c r="P119" s="27">
        <v>331</v>
      </c>
      <c r="Q119" s="27">
        <v>98</v>
      </c>
      <c r="R119" s="27">
        <v>146</v>
      </c>
      <c r="S119" s="27">
        <v>208</v>
      </c>
      <c r="T119" s="29">
        <v>35</v>
      </c>
      <c r="U119" s="14">
        <v>0.1075543392</v>
      </c>
      <c r="W119" s="38">
        <f t="shared" si="21"/>
        <v>710.07374739839997</v>
      </c>
      <c r="X119" s="35">
        <f>W118+W117+W114</f>
        <v>429.3569220864</v>
      </c>
      <c r="Y119" s="35">
        <f>W112</f>
        <v>56.896245436800001</v>
      </c>
      <c r="Z119" s="40">
        <f>V110/X119</f>
        <v>0</v>
      </c>
      <c r="AA119" s="40">
        <f>IF((Y119=0),0,Y111/Y119)</f>
        <v>2.899810964083176</v>
      </c>
      <c r="AB119" s="48"/>
      <c r="AC119" s="48"/>
    </row>
    <row r="120" spans="1:29" ht="13" thickBot="1" x14ac:dyDescent="0.3">
      <c r="A120" s="9" t="s">
        <v>11</v>
      </c>
      <c r="B120" s="30" t="s">
        <v>15</v>
      </c>
      <c r="C120" s="31" t="s">
        <v>94</v>
      </c>
      <c r="D120" s="32" t="s">
        <v>47</v>
      </c>
      <c r="E120" s="53" t="s">
        <v>104</v>
      </c>
      <c r="F120" s="53" t="s">
        <v>105</v>
      </c>
      <c r="G120" s="53" t="s">
        <v>106</v>
      </c>
      <c r="H120" s="28" t="s">
        <v>12</v>
      </c>
      <c r="I120" s="54" t="s">
        <v>107</v>
      </c>
      <c r="J120" s="53" t="s">
        <v>108</v>
      </c>
      <c r="K120" s="53" t="s">
        <v>109</v>
      </c>
      <c r="L120" s="53" t="s">
        <v>110</v>
      </c>
      <c r="M120" s="53" t="s">
        <v>111</v>
      </c>
      <c r="N120" s="53" t="s">
        <v>115</v>
      </c>
      <c r="O120" s="53" t="s">
        <v>120</v>
      </c>
      <c r="P120" s="53" t="s">
        <v>121</v>
      </c>
      <c r="Q120" s="53" t="s">
        <v>164</v>
      </c>
      <c r="R120" s="53" t="s">
        <v>173</v>
      </c>
      <c r="S120" s="53" t="s">
        <v>177</v>
      </c>
      <c r="T120" s="55" t="s">
        <v>182</v>
      </c>
      <c r="U120" s="14">
        <v>1.175</v>
      </c>
      <c r="V120" s="14" t="s">
        <v>183</v>
      </c>
      <c r="W120" s="35"/>
      <c r="X120" s="14" t="s">
        <v>37</v>
      </c>
      <c r="Y120" s="14" t="s">
        <v>38</v>
      </c>
      <c r="AB120" s="48"/>
      <c r="AC120" s="48"/>
    </row>
    <row r="121" spans="1:29" x14ac:dyDescent="0.25">
      <c r="A121" s="7" t="s">
        <v>11</v>
      </c>
      <c r="B121" s="8" t="s">
        <v>17</v>
      </c>
      <c r="C121" s="9" t="s">
        <v>18</v>
      </c>
      <c r="D121" s="10">
        <v>0</v>
      </c>
      <c r="E121" s="10">
        <v>0</v>
      </c>
      <c r="F121" s="10">
        <v>0</v>
      </c>
      <c r="G121" s="10">
        <v>0</v>
      </c>
      <c r="H121" s="11">
        <v>366</v>
      </c>
      <c r="I121" s="12">
        <v>331</v>
      </c>
      <c r="J121" s="10">
        <v>35</v>
      </c>
      <c r="K121" s="10">
        <v>0</v>
      </c>
      <c r="L121" s="10">
        <v>0</v>
      </c>
      <c r="M121" s="10">
        <v>0</v>
      </c>
      <c r="N121" s="10">
        <v>0</v>
      </c>
      <c r="O121" s="10">
        <v>0</v>
      </c>
      <c r="P121" s="10">
        <v>0</v>
      </c>
      <c r="Q121" s="10">
        <v>0</v>
      </c>
      <c r="R121" s="10">
        <v>0</v>
      </c>
      <c r="S121" s="10">
        <v>0</v>
      </c>
      <c r="T121" s="13">
        <v>0</v>
      </c>
      <c r="U121" s="14">
        <v>1.175</v>
      </c>
      <c r="V121" s="42">
        <f>SUM(I121:T121)/H121</f>
        <v>1</v>
      </c>
      <c r="W121" s="39">
        <f>SUM(I121:T121)*U121</f>
        <v>430.05</v>
      </c>
    </row>
    <row r="122" spans="1:29" x14ac:dyDescent="0.25">
      <c r="A122" s="7" t="s">
        <v>11</v>
      </c>
      <c r="B122" s="15" t="s">
        <v>66</v>
      </c>
      <c r="C122" s="7" t="s">
        <v>18</v>
      </c>
      <c r="D122" s="14">
        <v>0</v>
      </c>
      <c r="E122" s="14">
        <v>0</v>
      </c>
      <c r="F122" s="14">
        <v>0</v>
      </c>
      <c r="G122" s="14">
        <v>0</v>
      </c>
      <c r="H122" s="16">
        <v>0</v>
      </c>
      <c r="I122" s="17">
        <v>0</v>
      </c>
      <c r="J122" s="14">
        <v>0</v>
      </c>
      <c r="K122" s="14">
        <v>0</v>
      </c>
      <c r="L122" s="14">
        <v>0</v>
      </c>
      <c r="M122" s="14">
        <v>0</v>
      </c>
      <c r="N122" s="14">
        <v>0</v>
      </c>
      <c r="O122" s="14">
        <v>0</v>
      </c>
      <c r="P122" s="14">
        <v>0</v>
      </c>
      <c r="Q122" s="14">
        <v>0</v>
      </c>
      <c r="R122" s="14">
        <v>0</v>
      </c>
      <c r="S122" s="14">
        <v>0</v>
      </c>
      <c r="T122" s="18">
        <v>0</v>
      </c>
      <c r="U122" s="14">
        <v>1.175</v>
      </c>
      <c r="V122" s="44"/>
      <c r="W122" s="39">
        <f t="shared" ref="W122:W128" si="27">SUM(I122:T122)*U122</f>
        <v>0</v>
      </c>
    </row>
    <row r="123" spans="1:29" x14ac:dyDescent="0.25">
      <c r="A123" s="7" t="s">
        <v>11</v>
      </c>
      <c r="B123" s="15" t="s">
        <v>13</v>
      </c>
      <c r="C123" s="7" t="s">
        <v>18</v>
      </c>
      <c r="D123" s="14">
        <v>0</v>
      </c>
      <c r="E123" s="14">
        <v>0</v>
      </c>
      <c r="F123" s="14">
        <v>0</v>
      </c>
      <c r="G123" s="14">
        <v>0</v>
      </c>
      <c r="H123" s="16">
        <v>379</v>
      </c>
      <c r="I123" s="17">
        <v>304</v>
      </c>
      <c r="J123" s="14">
        <v>71</v>
      </c>
      <c r="K123" s="14">
        <v>0</v>
      </c>
      <c r="L123" s="14">
        <v>0</v>
      </c>
      <c r="M123" s="14">
        <v>0</v>
      </c>
      <c r="N123" s="14">
        <v>0</v>
      </c>
      <c r="O123" s="14">
        <v>4</v>
      </c>
      <c r="P123" s="14">
        <v>0</v>
      </c>
      <c r="Q123" s="14">
        <v>0</v>
      </c>
      <c r="R123" s="14">
        <v>0</v>
      </c>
      <c r="S123" s="14">
        <v>0</v>
      </c>
      <c r="T123" s="18">
        <v>0</v>
      </c>
      <c r="U123" s="14">
        <v>1.175</v>
      </c>
      <c r="V123" s="41"/>
      <c r="W123" s="39">
        <f t="shared" si="27"/>
        <v>445.32499999999999</v>
      </c>
    </row>
    <row r="124" spans="1:29" x14ac:dyDescent="0.25">
      <c r="A124" s="7" t="s">
        <v>11</v>
      </c>
      <c r="B124" s="15" t="s">
        <v>67</v>
      </c>
      <c r="C124" s="7" t="s">
        <v>18</v>
      </c>
      <c r="D124" s="14">
        <v>0</v>
      </c>
      <c r="E124" s="14">
        <v>0</v>
      </c>
      <c r="F124" s="14">
        <v>0</v>
      </c>
      <c r="G124" s="14">
        <v>0</v>
      </c>
      <c r="H124" s="16">
        <v>328</v>
      </c>
      <c r="I124" s="17">
        <v>102</v>
      </c>
      <c r="J124" s="14">
        <v>69</v>
      </c>
      <c r="K124" s="14">
        <v>98</v>
      </c>
      <c r="L124" s="14">
        <v>0</v>
      </c>
      <c r="M124" s="14">
        <v>30</v>
      </c>
      <c r="N124" s="14">
        <v>27</v>
      </c>
      <c r="O124" s="14">
        <v>2</v>
      </c>
      <c r="P124" s="14">
        <v>0</v>
      </c>
      <c r="Q124" s="14">
        <v>0</v>
      </c>
      <c r="R124" s="14">
        <v>0</v>
      </c>
      <c r="S124" s="14">
        <v>0</v>
      </c>
      <c r="T124" s="18">
        <v>0</v>
      </c>
      <c r="U124" s="14">
        <v>1.175</v>
      </c>
      <c r="V124" s="41"/>
      <c r="W124" s="39">
        <f t="shared" si="27"/>
        <v>385.40000000000003</v>
      </c>
    </row>
    <row r="125" spans="1:29" x14ac:dyDescent="0.25">
      <c r="A125" s="7" t="s">
        <v>11</v>
      </c>
      <c r="B125" s="15" t="s">
        <v>73</v>
      </c>
      <c r="C125" s="7" t="s">
        <v>18</v>
      </c>
      <c r="D125" s="14">
        <v>0</v>
      </c>
      <c r="E125" s="14">
        <v>0</v>
      </c>
      <c r="F125" s="14">
        <v>0</v>
      </c>
      <c r="G125" s="14">
        <v>0</v>
      </c>
      <c r="H125" s="16">
        <v>259</v>
      </c>
      <c r="I125" s="17">
        <v>175</v>
      </c>
      <c r="J125" s="14">
        <v>51</v>
      </c>
      <c r="K125" s="14">
        <v>27</v>
      </c>
      <c r="L125" s="14">
        <v>0</v>
      </c>
      <c r="M125" s="14">
        <v>6</v>
      </c>
      <c r="N125" s="14">
        <v>0</v>
      </c>
      <c r="O125" s="14">
        <v>0</v>
      </c>
      <c r="P125" s="14">
        <v>0</v>
      </c>
      <c r="Q125" s="14">
        <v>0</v>
      </c>
      <c r="R125" s="14">
        <v>0</v>
      </c>
      <c r="S125" s="14">
        <v>0</v>
      </c>
      <c r="T125" s="18">
        <v>0</v>
      </c>
      <c r="U125" s="14">
        <v>1.175</v>
      </c>
      <c r="V125" s="41"/>
      <c r="W125" s="39">
        <f t="shared" si="27"/>
        <v>304.32499999999999</v>
      </c>
    </row>
    <row r="126" spans="1:29" x14ac:dyDescent="0.25">
      <c r="A126" s="7" t="s">
        <v>11</v>
      </c>
      <c r="B126" s="15" t="s">
        <v>19</v>
      </c>
      <c r="C126" s="7" t="s">
        <v>18</v>
      </c>
      <c r="D126" s="14">
        <v>0</v>
      </c>
      <c r="E126" s="14">
        <v>0</v>
      </c>
      <c r="F126" s="14">
        <v>0</v>
      </c>
      <c r="G126" s="14">
        <v>17</v>
      </c>
      <c r="H126" s="16">
        <v>286</v>
      </c>
      <c r="I126" s="17">
        <v>206</v>
      </c>
      <c r="J126" s="14">
        <v>22</v>
      </c>
      <c r="K126" s="14">
        <v>22</v>
      </c>
      <c r="L126" s="14">
        <v>19</v>
      </c>
      <c r="M126" s="14">
        <v>0</v>
      </c>
      <c r="N126" s="14">
        <v>0</v>
      </c>
      <c r="O126" s="14">
        <v>0</v>
      </c>
      <c r="P126" s="14">
        <v>0</v>
      </c>
      <c r="Q126" s="14">
        <v>0</v>
      </c>
      <c r="R126" s="14">
        <v>0</v>
      </c>
      <c r="S126" s="14">
        <v>0</v>
      </c>
      <c r="T126" s="18">
        <v>0</v>
      </c>
      <c r="U126" s="14">
        <v>1.175</v>
      </c>
      <c r="V126" s="41"/>
      <c r="W126" s="39">
        <f t="shared" si="27"/>
        <v>316.07499999999999</v>
      </c>
    </row>
    <row r="127" spans="1:29" ht="13" thickBot="1" x14ac:dyDescent="0.3">
      <c r="A127" s="7" t="s">
        <v>11</v>
      </c>
      <c r="B127" s="19" t="s">
        <v>20</v>
      </c>
      <c r="C127" s="20" t="s">
        <v>18</v>
      </c>
      <c r="D127" s="21">
        <v>0</v>
      </c>
      <c r="E127" s="21">
        <v>0</v>
      </c>
      <c r="F127" s="21">
        <v>0</v>
      </c>
      <c r="G127" s="21">
        <v>0</v>
      </c>
      <c r="H127" s="22">
        <v>0</v>
      </c>
      <c r="I127" s="23">
        <v>0</v>
      </c>
      <c r="J127" s="21">
        <v>0</v>
      </c>
      <c r="K127" s="21">
        <v>0</v>
      </c>
      <c r="L127" s="21">
        <v>0</v>
      </c>
      <c r="M127" s="21">
        <v>0</v>
      </c>
      <c r="N127" s="21">
        <v>0</v>
      </c>
      <c r="O127" s="21">
        <v>0</v>
      </c>
      <c r="P127" s="21">
        <v>0</v>
      </c>
      <c r="Q127" s="21">
        <v>0</v>
      </c>
      <c r="R127" s="21">
        <v>0</v>
      </c>
      <c r="S127" s="21">
        <v>0</v>
      </c>
      <c r="T127" s="24">
        <v>0</v>
      </c>
      <c r="U127" s="14">
        <v>1.175</v>
      </c>
      <c r="V127" s="44"/>
      <c r="W127" s="39">
        <f t="shared" si="27"/>
        <v>0</v>
      </c>
    </row>
    <row r="128" spans="1:29" ht="13" thickBot="1" x14ac:dyDescent="0.3">
      <c r="A128" s="7" t="s">
        <v>11</v>
      </c>
      <c r="B128" s="25" t="s">
        <v>12</v>
      </c>
      <c r="C128" s="26" t="s">
        <v>18</v>
      </c>
      <c r="D128" s="10">
        <v>0</v>
      </c>
      <c r="E128" s="10">
        <v>0</v>
      </c>
      <c r="F128" s="10">
        <v>0</v>
      </c>
      <c r="G128" s="10">
        <v>17</v>
      </c>
      <c r="H128" s="11">
        <v>1618</v>
      </c>
      <c r="I128" s="12">
        <v>1118</v>
      </c>
      <c r="J128" s="10">
        <v>248</v>
      </c>
      <c r="K128" s="10">
        <v>147</v>
      </c>
      <c r="L128" s="10">
        <v>19</v>
      </c>
      <c r="M128" s="10">
        <v>36</v>
      </c>
      <c r="N128" s="10">
        <v>27</v>
      </c>
      <c r="O128" s="10">
        <v>6</v>
      </c>
      <c r="P128" s="10">
        <v>0</v>
      </c>
      <c r="Q128" s="10">
        <v>0</v>
      </c>
      <c r="R128" s="10">
        <v>0</v>
      </c>
      <c r="S128" s="10">
        <v>0</v>
      </c>
      <c r="T128" s="13">
        <v>0</v>
      </c>
      <c r="U128" s="14">
        <v>1.175</v>
      </c>
      <c r="V128" s="43">
        <f>SUM(I123:T126)/SUM(H123:H126)</f>
        <v>0.98642172523961658</v>
      </c>
      <c r="W128" s="39">
        <f t="shared" si="27"/>
        <v>1881.1750000000002</v>
      </c>
      <c r="X128" s="35">
        <f>W126+W123</f>
        <v>761.4</v>
      </c>
      <c r="Y128" s="35">
        <f>W121</f>
        <v>430.05</v>
      </c>
    </row>
    <row r="129" spans="1:29" x14ac:dyDescent="0.25">
      <c r="A129" s="7" t="s">
        <v>11</v>
      </c>
      <c r="B129" s="8" t="s">
        <v>17</v>
      </c>
      <c r="C129" s="9" t="s">
        <v>21</v>
      </c>
      <c r="D129" s="10">
        <v>0</v>
      </c>
      <c r="E129" s="10">
        <v>0</v>
      </c>
      <c r="F129" s="10">
        <v>0</v>
      </c>
      <c r="G129" s="10">
        <v>0</v>
      </c>
      <c r="H129" s="11">
        <v>99</v>
      </c>
      <c r="I129" s="12">
        <v>83</v>
      </c>
      <c r="J129" s="10">
        <v>16</v>
      </c>
      <c r="K129" s="10">
        <v>0</v>
      </c>
      <c r="L129" s="10">
        <v>0</v>
      </c>
      <c r="M129" s="10">
        <v>0</v>
      </c>
      <c r="N129" s="10">
        <v>0</v>
      </c>
      <c r="O129" s="10">
        <v>0</v>
      </c>
      <c r="P129" s="10">
        <v>0</v>
      </c>
      <c r="Q129" s="10">
        <v>0</v>
      </c>
      <c r="R129" s="10">
        <v>0</v>
      </c>
      <c r="S129" s="10">
        <v>0</v>
      </c>
      <c r="T129" s="13">
        <v>0</v>
      </c>
      <c r="U129" s="14">
        <v>1.175</v>
      </c>
      <c r="W129" s="38">
        <f t="shared" ref="W129:W153" si="28">H129*U129</f>
        <v>116.325</v>
      </c>
      <c r="AB129" s="37" t="str">
        <f t="shared" ref="AB129:AB135" si="29">B129</f>
        <v>Parts-OTC</v>
      </c>
      <c r="AC129" s="36">
        <f t="shared" ref="AC129:AC135" si="30">I129*U129</f>
        <v>97.525000000000006</v>
      </c>
    </row>
    <row r="130" spans="1:29" x14ac:dyDescent="0.25">
      <c r="A130" s="7" t="s">
        <v>11</v>
      </c>
      <c r="B130" s="15" t="s">
        <v>66</v>
      </c>
      <c r="C130" s="7" t="s">
        <v>21</v>
      </c>
      <c r="D130" s="14">
        <v>0</v>
      </c>
      <c r="E130" s="14">
        <v>0</v>
      </c>
      <c r="F130" s="14">
        <v>0</v>
      </c>
      <c r="G130" s="14">
        <v>0</v>
      </c>
      <c r="H130" s="16">
        <v>110</v>
      </c>
      <c r="I130" s="17">
        <v>88</v>
      </c>
      <c r="J130" s="14">
        <v>22</v>
      </c>
      <c r="K130" s="14">
        <v>0</v>
      </c>
      <c r="L130" s="14">
        <v>0</v>
      </c>
      <c r="M130" s="14">
        <v>0</v>
      </c>
      <c r="N130" s="14">
        <v>0</v>
      </c>
      <c r="O130" s="14">
        <v>0</v>
      </c>
      <c r="P130" s="14">
        <v>0</v>
      </c>
      <c r="Q130" s="14">
        <v>0</v>
      </c>
      <c r="R130" s="14">
        <v>0</v>
      </c>
      <c r="S130" s="14">
        <v>0</v>
      </c>
      <c r="T130" s="18">
        <v>0</v>
      </c>
      <c r="U130" s="14">
        <v>1.175</v>
      </c>
      <c r="W130" s="38">
        <f t="shared" si="28"/>
        <v>129.25</v>
      </c>
      <c r="AB130" s="37" t="str">
        <f t="shared" si="29"/>
        <v>CTKS</v>
      </c>
      <c r="AC130" s="36">
        <f t="shared" si="30"/>
        <v>103.4</v>
      </c>
    </row>
    <row r="131" spans="1:29" x14ac:dyDescent="0.25">
      <c r="A131" s="7" t="s">
        <v>11</v>
      </c>
      <c r="B131" s="15" t="s">
        <v>13</v>
      </c>
      <c r="C131" s="7" t="s">
        <v>21</v>
      </c>
      <c r="D131" s="14">
        <v>0</v>
      </c>
      <c r="E131" s="14">
        <v>0</v>
      </c>
      <c r="F131" s="14">
        <v>0</v>
      </c>
      <c r="G131" s="14">
        <v>0</v>
      </c>
      <c r="H131" s="16">
        <v>166</v>
      </c>
      <c r="I131" s="17">
        <v>60</v>
      </c>
      <c r="J131" s="14">
        <v>94</v>
      </c>
      <c r="K131" s="14">
        <v>9</v>
      </c>
      <c r="L131" s="14">
        <v>0</v>
      </c>
      <c r="M131" s="14">
        <v>0</v>
      </c>
      <c r="N131" s="14">
        <v>3</v>
      </c>
      <c r="O131" s="14">
        <v>0</v>
      </c>
      <c r="P131" s="14">
        <v>0</v>
      </c>
      <c r="Q131" s="14">
        <v>0</v>
      </c>
      <c r="R131" s="14">
        <v>0</v>
      </c>
      <c r="S131" s="14">
        <v>0</v>
      </c>
      <c r="T131" s="18">
        <v>0</v>
      </c>
      <c r="U131" s="14">
        <v>1.175</v>
      </c>
      <c r="W131" s="38">
        <f t="shared" si="28"/>
        <v>195.05</v>
      </c>
      <c r="AB131" s="37" t="str">
        <f t="shared" si="29"/>
        <v>Repair</v>
      </c>
      <c r="AC131" s="36">
        <f t="shared" si="30"/>
        <v>70.5</v>
      </c>
    </row>
    <row r="132" spans="1:29" x14ac:dyDescent="0.25">
      <c r="A132" s="7" t="s">
        <v>11</v>
      </c>
      <c r="B132" s="15" t="s">
        <v>67</v>
      </c>
      <c r="C132" s="7" t="s">
        <v>21</v>
      </c>
      <c r="D132" s="14">
        <v>0</v>
      </c>
      <c r="E132" s="14">
        <v>0</v>
      </c>
      <c r="F132" s="14">
        <v>0</v>
      </c>
      <c r="G132" s="14">
        <v>0</v>
      </c>
      <c r="H132" s="16">
        <v>457</v>
      </c>
      <c r="I132" s="17">
        <v>106</v>
      </c>
      <c r="J132" s="14">
        <v>23</v>
      </c>
      <c r="K132" s="14">
        <v>14</v>
      </c>
      <c r="L132" s="14">
        <v>42</v>
      </c>
      <c r="M132" s="14">
        <v>128</v>
      </c>
      <c r="N132" s="14">
        <v>38</v>
      </c>
      <c r="O132" s="14">
        <v>32</v>
      </c>
      <c r="P132" s="14">
        <v>6</v>
      </c>
      <c r="Q132" s="14">
        <v>50</v>
      </c>
      <c r="R132" s="14">
        <v>6</v>
      </c>
      <c r="S132" s="14">
        <v>6</v>
      </c>
      <c r="T132" s="18">
        <v>6</v>
      </c>
      <c r="U132" s="14">
        <v>1.175</v>
      </c>
      <c r="W132" s="38">
        <f t="shared" si="28"/>
        <v>536.97500000000002</v>
      </c>
      <c r="AB132" s="37" t="str">
        <f t="shared" si="29"/>
        <v>Rental</v>
      </c>
      <c r="AC132" s="36">
        <f t="shared" si="30"/>
        <v>124.55000000000001</v>
      </c>
    </row>
    <row r="133" spans="1:29" x14ac:dyDescent="0.25">
      <c r="A133" s="7" t="s">
        <v>11</v>
      </c>
      <c r="B133" s="15" t="s">
        <v>73</v>
      </c>
      <c r="C133" s="7" t="s">
        <v>21</v>
      </c>
      <c r="D133" s="14">
        <v>0</v>
      </c>
      <c r="E133" s="14">
        <v>0</v>
      </c>
      <c r="F133" s="14">
        <v>0</v>
      </c>
      <c r="G133" s="14">
        <v>0</v>
      </c>
      <c r="H133" s="16">
        <v>52</v>
      </c>
      <c r="I133" s="17">
        <v>46</v>
      </c>
      <c r="J133" s="14">
        <v>6</v>
      </c>
      <c r="K133" s="14">
        <v>0</v>
      </c>
      <c r="L133" s="14">
        <v>0</v>
      </c>
      <c r="M133" s="14">
        <v>0</v>
      </c>
      <c r="N133" s="14">
        <v>0</v>
      </c>
      <c r="O133" s="14">
        <v>0</v>
      </c>
      <c r="P133" s="14">
        <v>0</v>
      </c>
      <c r="Q133" s="14">
        <v>0</v>
      </c>
      <c r="R133" s="14">
        <v>0</v>
      </c>
      <c r="S133" s="14">
        <v>0</v>
      </c>
      <c r="T133" s="18">
        <v>0</v>
      </c>
      <c r="U133" s="14">
        <v>1.175</v>
      </c>
      <c r="W133" s="38">
        <f t="shared" si="28"/>
        <v>61.1</v>
      </c>
      <c r="AB133" s="37"/>
    </row>
    <row r="134" spans="1:29" x14ac:dyDescent="0.25">
      <c r="A134" s="7" t="s">
        <v>11</v>
      </c>
      <c r="B134" s="15" t="s">
        <v>19</v>
      </c>
      <c r="C134" s="7" t="s">
        <v>21</v>
      </c>
      <c r="D134" s="14">
        <v>0</v>
      </c>
      <c r="E134" s="14">
        <v>0</v>
      </c>
      <c r="F134" s="14">
        <v>0</v>
      </c>
      <c r="G134" s="14">
        <v>0</v>
      </c>
      <c r="H134" s="16">
        <v>613</v>
      </c>
      <c r="I134" s="17">
        <v>105</v>
      </c>
      <c r="J134" s="14">
        <v>75</v>
      </c>
      <c r="K134" s="14">
        <v>95</v>
      </c>
      <c r="L134" s="14">
        <v>38</v>
      </c>
      <c r="M134" s="14">
        <v>77</v>
      </c>
      <c r="N134" s="14">
        <v>54</v>
      </c>
      <c r="O134" s="14">
        <v>64</v>
      </c>
      <c r="P134" s="14">
        <v>34</v>
      </c>
      <c r="Q134" s="14">
        <v>61</v>
      </c>
      <c r="R134" s="14">
        <v>6</v>
      </c>
      <c r="S134" s="14">
        <v>2</v>
      </c>
      <c r="T134" s="18">
        <v>2</v>
      </c>
      <c r="U134" s="14">
        <v>1.175</v>
      </c>
      <c r="W134" s="38">
        <f t="shared" si="28"/>
        <v>720.27499999999998</v>
      </c>
      <c r="AB134" s="37" t="str">
        <f t="shared" si="29"/>
        <v>Maintenance</v>
      </c>
      <c r="AC134" s="36">
        <f t="shared" si="30"/>
        <v>123.375</v>
      </c>
    </row>
    <row r="135" spans="1:29" ht="13" thickBot="1" x14ac:dyDescent="0.3">
      <c r="A135" s="7" t="s">
        <v>11</v>
      </c>
      <c r="B135" s="19" t="s">
        <v>20</v>
      </c>
      <c r="C135" s="20" t="s">
        <v>21</v>
      </c>
      <c r="D135" s="21">
        <v>0</v>
      </c>
      <c r="E135" s="21">
        <v>0</v>
      </c>
      <c r="F135" s="21">
        <v>0</v>
      </c>
      <c r="G135" s="21">
        <v>0</v>
      </c>
      <c r="H135" s="22">
        <v>43</v>
      </c>
      <c r="I135" s="23">
        <v>38</v>
      </c>
      <c r="J135" s="21">
        <v>3</v>
      </c>
      <c r="K135" s="21">
        <v>2</v>
      </c>
      <c r="L135" s="21">
        <v>0</v>
      </c>
      <c r="M135" s="21">
        <v>0</v>
      </c>
      <c r="N135" s="21">
        <v>0</v>
      </c>
      <c r="O135" s="21">
        <v>0</v>
      </c>
      <c r="P135" s="21">
        <v>0</v>
      </c>
      <c r="Q135" s="21">
        <v>0</v>
      </c>
      <c r="R135" s="21">
        <v>0</v>
      </c>
      <c r="S135" s="21">
        <v>0</v>
      </c>
      <c r="T135" s="24">
        <v>0</v>
      </c>
      <c r="U135" s="14">
        <v>1.175</v>
      </c>
      <c r="W135" s="38">
        <f t="shared" si="28"/>
        <v>50.524999999999999</v>
      </c>
      <c r="AB135" s="37" t="str">
        <f t="shared" si="29"/>
        <v>Startup</v>
      </c>
      <c r="AC135" s="36">
        <f t="shared" si="30"/>
        <v>44.65</v>
      </c>
    </row>
    <row r="136" spans="1:29" ht="13" thickBot="1" x14ac:dyDescent="0.3">
      <c r="A136" s="20" t="s">
        <v>11</v>
      </c>
      <c r="B136" s="25" t="s">
        <v>12</v>
      </c>
      <c r="C136" s="26" t="s">
        <v>21</v>
      </c>
      <c r="D136" s="27">
        <v>0</v>
      </c>
      <c r="E136" s="27">
        <v>0</v>
      </c>
      <c r="F136" s="27">
        <v>0</v>
      </c>
      <c r="G136" s="27">
        <v>0</v>
      </c>
      <c r="H136" s="28">
        <v>1540</v>
      </c>
      <c r="I136" s="54">
        <v>526</v>
      </c>
      <c r="J136" s="139">
        <v>239</v>
      </c>
      <c r="K136" s="139">
        <v>120</v>
      </c>
      <c r="L136" s="27">
        <v>80</v>
      </c>
      <c r="M136" s="27">
        <v>205</v>
      </c>
      <c r="N136" s="27">
        <v>95</v>
      </c>
      <c r="O136" s="27">
        <v>96</v>
      </c>
      <c r="P136" s="27">
        <v>40</v>
      </c>
      <c r="Q136" s="27">
        <v>111</v>
      </c>
      <c r="R136" s="27">
        <v>12</v>
      </c>
      <c r="S136" s="27">
        <v>8</v>
      </c>
      <c r="T136" s="29">
        <v>8</v>
      </c>
      <c r="U136" s="14">
        <v>1.175</v>
      </c>
      <c r="W136" s="38">
        <f t="shared" si="28"/>
        <v>1809.5</v>
      </c>
      <c r="X136" s="35">
        <f>W135+W134+W131</f>
        <v>965.84999999999991</v>
      </c>
      <c r="Y136" s="35">
        <f>W129</f>
        <v>116.325</v>
      </c>
      <c r="Z136" s="40">
        <f>V127/X136</f>
        <v>0</v>
      </c>
      <c r="AA136" s="40">
        <f>IF((Y136=0),0,Y128/Y136)</f>
        <v>3.6969696969696968</v>
      </c>
      <c r="AB136" s="48"/>
      <c r="AC136" s="48"/>
    </row>
    <row r="137" spans="1:29" ht="13" thickBot="1" x14ac:dyDescent="0.3">
      <c r="A137" s="9" t="s">
        <v>8</v>
      </c>
      <c r="B137" s="30" t="s">
        <v>15</v>
      </c>
      <c r="C137" s="31" t="s">
        <v>94</v>
      </c>
      <c r="D137" s="32" t="s">
        <v>47</v>
      </c>
      <c r="E137" s="53" t="s">
        <v>104</v>
      </c>
      <c r="F137" s="53" t="s">
        <v>105</v>
      </c>
      <c r="G137" s="53" t="s">
        <v>106</v>
      </c>
      <c r="H137" s="28" t="s">
        <v>12</v>
      </c>
      <c r="I137" s="54" t="s">
        <v>107</v>
      </c>
      <c r="J137" s="53" t="s">
        <v>108</v>
      </c>
      <c r="K137" s="53" t="s">
        <v>109</v>
      </c>
      <c r="L137" s="53" t="s">
        <v>110</v>
      </c>
      <c r="M137" s="53" t="s">
        <v>111</v>
      </c>
      <c r="N137" s="53" t="s">
        <v>115</v>
      </c>
      <c r="O137" s="53" t="s">
        <v>120</v>
      </c>
      <c r="P137" s="53" t="s">
        <v>121</v>
      </c>
      <c r="Q137" s="53" t="s">
        <v>164</v>
      </c>
      <c r="R137" s="53" t="s">
        <v>173</v>
      </c>
      <c r="S137" s="53" t="s">
        <v>177</v>
      </c>
      <c r="T137" s="55" t="s">
        <v>182</v>
      </c>
      <c r="U137" s="14">
        <v>3.0394242999999999E-3</v>
      </c>
      <c r="V137" s="14" t="s">
        <v>183</v>
      </c>
      <c r="W137" s="35"/>
      <c r="X137" s="14" t="s">
        <v>37</v>
      </c>
      <c r="Y137" s="14" t="s">
        <v>38</v>
      </c>
      <c r="AB137" s="48"/>
      <c r="AC137" s="48"/>
    </row>
    <row r="138" spans="1:29" x14ac:dyDescent="0.25">
      <c r="A138" s="7" t="s">
        <v>8</v>
      </c>
      <c r="B138" s="8" t="s">
        <v>17</v>
      </c>
      <c r="C138" s="9" t="s">
        <v>18</v>
      </c>
      <c r="D138" s="188">
        <v>0</v>
      </c>
      <c r="E138" s="188">
        <v>0</v>
      </c>
      <c r="F138" s="188">
        <v>7377</v>
      </c>
      <c r="G138" s="188">
        <v>0</v>
      </c>
      <c r="H138" s="189">
        <v>196188</v>
      </c>
      <c r="I138" s="190">
        <v>13079</v>
      </c>
      <c r="J138" s="188">
        <v>162155</v>
      </c>
      <c r="K138" s="188">
        <v>1198</v>
      </c>
      <c r="L138" s="188">
        <v>0</v>
      </c>
      <c r="M138" s="188">
        <v>12379</v>
      </c>
      <c r="N138" s="188">
        <v>0</v>
      </c>
      <c r="O138" s="188">
        <v>0</v>
      </c>
      <c r="P138" s="188">
        <v>0</v>
      </c>
      <c r="Q138" s="188">
        <v>0</v>
      </c>
      <c r="R138" s="188">
        <v>0</v>
      </c>
      <c r="S138" s="188">
        <v>0</v>
      </c>
      <c r="T138" s="191">
        <v>0</v>
      </c>
      <c r="U138" s="14">
        <v>3.0394242999999999E-3</v>
      </c>
      <c r="V138" s="42">
        <f>SUM(I138:T138)/H138</f>
        <v>0.96239831182335311</v>
      </c>
      <c r="W138" s="39">
        <f>SUM(I138:T138)*U138</f>
        <v>573.87674150729993</v>
      </c>
    </row>
    <row r="139" spans="1:29" x14ac:dyDescent="0.25">
      <c r="A139" s="7" t="s">
        <v>8</v>
      </c>
      <c r="B139" s="15" t="s">
        <v>66</v>
      </c>
      <c r="C139" s="7" t="s">
        <v>18</v>
      </c>
      <c r="D139" s="35">
        <v>0</v>
      </c>
      <c r="E139" s="35">
        <v>0</v>
      </c>
      <c r="F139" s="35">
        <v>0</v>
      </c>
      <c r="G139" s="35">
        <v>0</v>
      </c>
      <c r="H139" s="192">
        <v>41961</v>
      </c>
      <c r="I139" s="193">
        <v>0</v>
      </c>
      <c r="J139" s="35">
        <v>41961</v>
      </c>
      <c r="K139" s="35">
        <v>0</v>
      </c>
      <c r="L139" s="35">
        <v>0</v>
      </c>
      <c r="M139" s="35">
        <v>0</v>
      </c>
      <c r="N139" s="35">
        <v>0</v>
      </c>
      <c r="O139" s="35">
        <v>0</v>
      </c>
      <c r="P139" s="35">
        <v>0</v>
      </c>
      <c r="Q139" s="35">
        <v>0</v>
      </c>
      <c r="R139" s="35">
        <v>0</v>
      </c>
      <c r="S139" s="35">
        <v>0</v>
      </c>
      <c r="T139" s="194">
        <v>0</v>
      </c>
      <c r="U139" s="14">
        <v>3.0394242999999999E-3</v>
      </c>
      <c r="V139" s="44"/>
      <c r="W139" s="39">
        <f t="shared" ref="W139:W145" si="31">SUM(I139:T139)*U139</f>
        <v>127.5372830523</v>
      </c>
    </row>
    <row r="140" spans="1:29" x14ac:dyDescent="0.25">
      <c r="A140" s="7" t="s">
        <v>8</v>
      </c>
      <c r="B140" s="15" t="s">
        <v>13</v>
      </c>
      <c r="C140" s="7" t="s">
        <v>18</v>
      </c>
      <c r="D140" s="35">
        <v>0</v>
      </c>
      <c r="E140" s="35">
        <v>0</v>
      </c>
      <c r="F140" s="35">
        <v>0</v>
      </c>
      <c r="G140" s="35">
        <v>0</v>
      </c>
      <c r="H140" s="192">
        <v>756825</v>
      </c>
      <c r="I140" s="193">
        <v>14474</v>
      </c>
      <c r="J140" s="35">
        <v>742351</v>
      </c>
      <c r="K140" s="35">
        <v>0</v>
      </c>
      <c r="L140" s="35">
        <v>0</v>
      </c>
      <c r="M140" s="35">
        <v>0</v>
      </c>
      <c r="N140" s="35">
        <v>0</v>
      </c>
      <c r="O140" s="35">
        <v>0</v>
      </c>
      <c r="P140" s="35">
        <v>0</v>
      </c>
      <c r="Q140" s="35">
        <v>0</v>
      </c>
      <c r="R140" s="35">
        <v>0</v>
      </c>
      <c r="S140" s="35">
        <v>0</v>
      </c>
      <c r="T140" s="194">
        <v>0</v>
      </c>
      <c r="U140" s="14">
        <v>3.0394242999999999E-3</v>
      </c>
      <c r="V140" s="41"/>
      <c r="W140" s="39">
        <f>SUM(I140:T140)*U140</f>
        <v>2300.3122958475001</v>
      </c>
    </row>
    <row r="141" spans="1:29" x14ac:dyDescent="0.25">
      <c r="A141" s="7" t="s">
        <v>8</v>
      </c>
      <c r="B141" s="15" t="s">
        <v>67</v>
      </c>
      <c r="C141" s="7" t="s">
        <v>18</v>
      </c>
      <c r="D141" s="35">
        <v>0</v>
      </c>
      <c r="E141" s="35">
        <v>0</v>
      </c>
      <c r="F141" s="35">
        <v>0</v>
      </c>
      <c r="G141" s="35">
        <v>162406</v>
      </c>
      <c r="H141" s="192">
        <v>1643194</v>
      </c>
      <c r="I141" s="193">
        <v>556667</v>
      </c>
      <c r="J141" s="35">
        <v>734751</v>
      </c>
      <c r="K141" s="35">
        <v>54263</v>
      </c>
      <c r="L141" s="35">
        <v>50145</v>
      </c>
      <c r="M141" s="35">
        <v>7099</v>
      </c>
      <c r="N141" s="35">
        <v>20750</v>
      </c>
      <c r="O141" s="35">
        <v>8759</v>
      </c>
      <c r="P141" s="35">
        <v>0</v>
      </c>
      <c r="Q141" s="35">
        <v>48354</v>
      </c>
      <c r="R141" s="35">
        <v>0</v>
      </c>
      <c r="S141" s="35">
        <v>0</v>
      </c>
      <c r="T141" s="194">
        <v>0</v>
      </c>
      <c r="U141" s="14">
        <v>3.0394242999999999E-3</v>
      </c>
      <c r="V141" s="41"/>
      <c r="W141" s="39">
        <f t="shared" si="31"/>
        <v>4500.7430303483998</v>
      </c>
    </row>
    <row r="142" spans="1:29" x14ac:dyDescent="0.25">
      <c r="A142" s="7" t="s">
        <v>8</v>
      </c>
      <c r="B142" s="15" t="s">
        <v>73</v>
      </c>
      <c r="C142" s="7" t="s">
        <v>18</v>
      </c>
      <c r="D142" s="35">
        <v>0</v>
      </c>
      <c r="E142" s="35">
        <v>0</v>
      </c>
      <c r="F142" s="35">
        <v>0</v>
      </c>
      <c r="G142" s="35">
        <v>0</v>
      </c>
      <c r="H142" s="192">
        <v>1785408</v>
      </c>
      <c r="I142" s="193">
        <v>0</v>
      </c>
      <c r="J142" s="35">
        <v>1780070</v>
      </c>
      <c r="K142" s="35">
        <v>5338</v>
      </c>
      <c r="L142" s="35">
        <v>0</v>
      </c>
      <c r="M142" s="35">
        <v>0</v>
      </c>
      <c r="N142" s="35">
        <v>0</v>
      </c>
      <c r="O142" s="35">
        <v>0</v>
      </c>
      <c r="P142" s="35">
        <v>0</v>
      </c>
      <c r="Q142" s="35">
        <v>0</v>
      </c>
      <c r="R142" s="35">
        <v>0</v>
      </c>
      <c r="S142" s="35">
        <v>0</v>
      </c>
      <c r="T142" s="194">
        <v>0</v>
      </c>
      <c r="U142" s="14">
        <v>3.0394242999999999E-3</v>
      </c>
      <c r="V142" s="41"/>
      <c r="W142" s="39">
        <f t="shared" si="31"/>
        <v>5426.6124606143994</v>
      </c>
    </row>
    <row r="143" spans="1:29" x14ac:dyDescent="0.25">
      <c r="A143" s="7" t="s">
        <v>8</v>
      </c>
      <c r="B143" s="15" t="s">
        <v>19</v>
      </c>
      <c r="C143" s="7" t="s">
        <v>18</v>
      </c>
      <c r="D143" s="35">
        <v>403</v>
      </c>
      <c r="E143" s="35">
        <v>0</v>
      </c>
      <c r="F143" s="35">
        <v>0</v>
      </c>
      <c r="G143" s="35">
        <v>549</v>
      </c>
      <c r="H143" s="192">
        <v>271183</v>
      </c>
      <c r="I143" s="193">
        <v>39004</v>
      </c>
      <c r="J143" s="35">
        <v>170364</v>
      </c>
      <c r="K143" s="35">
        <v>40090</v>
      </c>
      <c r="L143" s="35">
        <v>0</v>
      </c>
      <c r="M143" s="35">
        <v>0</v>
      </c>
      <c r="N143" s="35">
        <v>0</v>
      </c>
      <c r="O143" s="35">
        <v>0</v>
      </c>
      <c r="P143" s="35">
        <v>0</v>
      </c>
      <c r="Q143" s="35">
        <v>0</v>
      </c>
      <c r="R143" s="35">
        <v>0</v>
      </c>
      <c r="S143" s="35">
        <v>20773</v>
      </c>
      <c r="T143" s="194">
        <v>0</v>
      </c>
      <c r="U143" s="14">
        <v>3.0394242999999999E-3</v>
      </c>
      <c r="V143" s="41"/>
      <c r="W143" s="39">
        <f t="shared" si="31"/>
        <v>821.34666801330002</v>
      </c>
    </row>
    <row r="144" spans="1:29" ht="13" thickBot="1" x14ac:dyDescent="0.3">
      <c r="A144" s="7" t="s">
        <v>8</v>
      </c>
      <c r="B144" s="19" t="s">
        <v>20</v>
      </c>
      <c r="C144" s="20" t="s">
        <v>18</v>
      </c>
      <c r="D144" s="195">
        <v>0</v>
      </c>
      <c r="E144" s="195">
        <v>0</v>
      </c>
      <c r="F144" s="195">
        <v>0</v>
      </c>
      <c r="G144" s="195">
        <v>0</v>
      </c>
      <c r="H144" s="196">
        <v>703</v>
      </c>
      <c r="I144" s="197">
        <v>0</v>
      </c>
      <c r="J144" s="195">
        <v>703</v>
      </c>
      <c r="K144" s="195">
        <v>0</v>
      </c>
      <c r="L144" s="195">
        <v>0</v>
      </c>
      <c r="M144" s="195">
        <v>0</v>
      </c>
      <c r="N144" s="195">
        <v>0</v>
      </c>
      <c r="O144" s="195">
        <v>0</v>
      </c>
      <c r="P144" s="195">
        <v>0</v>
      </c>
      <c r="Q144" s="195">
        <v>0</v>
      </c>
      <c r="R144" s="195">
        <v>0</v>
      </c>
      <c r="S144" s="195">
        <v>0</v>
      </c>
      <c r="T144" s="198">
        <v>0</v>
      </c>
      <c r="U144" s="14">
        <v>3.0394242999999999E-3</v>
      </c>
      <c r="V144" s="44"/>
      <c r="W144" s="39">
        <f t="shared" si="31"/>
        <v>2.1367152829</v>
      </c>
    </row>
    <row r="145" spans="1:29" ht="13" thickBot="1" x14ac:dyDescent="0.3">
      <c r="A145" s="7" t="s">
        <v>8</v>
      </c>
      <c r="B145" s="25" t="s">
        <v>12</v>
      </c>
      <c r="C145" s="26" t="s">
        <v>18</v>
      </c>
      <c r="D145" s="199">
        <v>403</v>
      </c>
      <c r="E145" s="199">
        <v>0</v>
      </c>
      <c r="F145" s="199">
        <v>7377</v>
      </c>
      <c r="G145" s="199">
        <v>162955</v>
      </c>
      <c r="H145" s="200">
        <v>4695462</v>
      </c>
      <c r="I145" s="201">
        <v>623224</v>
      </c>
      <c r="J145" s="199">
        <v>3632355</v>
      </c>
      <c r="K145" s="199">
        <v>100889</v>
      </c>
      <c r="L145" s="199">
        <v>50145</v>
      </c>
      <c r="M145" s="199">
        <v>19478</v>
      </c>
      <c r="N145" s="199">
        <v>20750</v>
      </c>
      <c r="O145" s="199">
        <v>8759</v>
      </c>
      <c r="P145" s="199">
        <v>0</v>
      </c>
      <c r="Q145" s="199">
        <v>48354</v>
      </c>
      <c r="R145" s="199">
        <v>0</v>
      </c>
      <c r="S145" s="199">
        <v>20773</v>
      </c>
      <c r="T145" s="201">
        <v>0</v>
      </c>
      <c r="U145" s="14">
        <v>3.0394242999999999E-3</v>
      </c>
      <c r="V145" s="43">
        <f>SUM(I140:T143)/SUM(H140:H143)</f>
        <v>0.96334478448865846</v>
      </c>
      <c r="W145" s="39">
        <f t="shared" si="31"/>
        <v>13752.5651946661</v>
      </c>
      <c r="X145" s="35">
        <f>W143+W140</f>
        <v>3121.6589638608002</v>
      </c>
      <c r="Y145" s="35">
        <f>W138</f>
        <v>573.87674150729993</v>
      </c>
    </row>
    <row r="146" spans="1:29" x14ac:dyDescent="0.25">
      <c r="A146" s="7" t="s">
        <v>8</v>
      </c>
      <c r="B146" s="8" t="s">
        <v>17</v>
      </c>
      <c r="C146" s="9" t="s">
        <v>21</v>
      </c>
      <c r="D146" s="10">
        <v>0</v>
      </c>
      <c r="E146" s="10">
        <v>0</v>
      </c>
      <c r="F146" s="10">
        <v>0</v>
      </c>
      <c r="G146" s="10">
        <v>0</v>
      </c>
      <c r="H146" s="11">
        <v>0</v>
      </c>
      <c r="I146" s="12">
        <v>0</v>
      </c>
      <c r="J146" s="10">
        <v>0</v>
      </c>
      <c r="K146" s="10">
        <v>0</v>
      </c>
      <c r="L146" s="10">
        <v>0</v>
      </c>
      <c r="M146" s="10">
        <v>0</v>
      </c>
      <c r="N146" s="10">
        <v>0</v>
      </c>
      <c r="O146" s="10">
        <v>0</v>
      </c>
      <c r="P146" s="10">
        <v>0</v>
      </c>
      <c r="Q146" s="10">
        <v>0</v>
      </c>
      <c r="R146" s="10">
        <v>0</v>
      </c>
      <c r="S146" s="10">
        <v>0</v>
      </c>
      <c r="T146" s="13">
        <v>0</v>
      </c>
      <c r="U146" s="14">
        <v>3.0394242999999999E-3</v>
      </c>
      <c r="W146" s="38">
        <f>H146*U146</f>
        <v>0</v>
      </c>
      <c r="AB146" s="37" t="str">
        <f t="shared" ref="AB146:AB152" si="32">B146</f>
        <v>Parts-OTC</v>
      </c>
      <c r="AC146" s="36">
        <f t="shared" ref="AC146:AC152" si="33">I146*U146</f>
        <v>0</v>
      </c>
    </row>
    <row r="147" spans="1:29" x14ac:dyDescent="0.25">
      <c r="A147" s="7" t="s">
        <v>8</v>
      </c>
      <c r="B147" s="15" t="s">
        <v>66</v>
      </c>
      <c r="C147" s="7" t="s">
        <v>21</v>
      </c>
      <c r="D147" s="14">
        <v>0</v>
      </c>
      <c r="E147" s="14">
        <v>0</v>
      </c>
      <c r="F147" s="14">
        <v>0</v>
      </c>
      <c r="G147" s="14">
        <v>0</v>
      </c>
      <c r="H147" s="16">
        <v>5733</v>
      </c>
      <c r="I147" s="17">
        <v>332</v>
      </c>
      <c r="J147" s="14">
        <v>5401</v>
      </c>
      <c r="K147" s="14">
        <v>0</v>
      </c>
      <c r="L147" s="14">
        <v>0</v>
      </c>
      <c r="M147" s="14">
        <v>0</v>
      </c>
      <c r="N147" s="14">
        <v>0</v>
      </c>
      <c r="O147" s="14">
        <v>0</v>
      </c>
      <c r="P147" s="14">
        <v>0</v>
      </c>
      <c r="Q147" s="14">
        <v>0</v>
      </c>
      <c r="R147" s="14">
        <v>0</v>
      </c>
      <c r="S147" s="14">
        <v>0</v>
      </c>
      <c r="T147" s="18">
        <v>0</v>
      </c>
      <c r="U147" s="14">
        <v>3.0394242999999999E-3</v>
      </c>
      <c r="W147" s="38">
        <f t="shared" si="28"/>
        <v>17.4250195119</v>
      </c>
      <c r="AB147" s="37" t="str">
        <f t="shared" si="32"/>
        <v>CTKS</v>
      </c>
      <c r="AC147" s="36">
        <f t="shared" si="33"/>
        <v>1.0090888676000001</v>
      </c>
    </row>
    <row r="148" spans="1:29" x14ac:dyDescent="0.25">
      <c r="A148" s="7" t="s">
        <v>8</v>
      </c>
      <c r="B148" s="15" t="s">
        <v>13</v>
      </c>
      <c r="C148" s="7" t="s">
        <v>21</v>
      </c>
      <c r="D148" s="14">
        <v>0</v>
      </c>
      <c r="E148" s="14">
        <v>0</v>
      </c>
      <c r="F148" s="14">
        <v>0</v>
      </c>
      <c r="G148" s="14">
        <v>0</v>
      </c>
      <c r="H148" s="16">
        <v>129292</v>
      </c>
      <c r="I148" s="17">
        <v>64892</v>
      </c>
      <c r="J148" s="14">
        <v>63128</v>
      </c>
      <c r="K148" s="14">
        <v>993</v>
      </c>
      <c r="L148" s="14">
        <v>0</v>
      </c>
      <c r="M148" s="14">
        <v>0</v>
      </c>
      <c r="N148" s="14">
        <v>0</v>
      </c>
      <c r="O148" s="14">
        <v>0</v>
      </c>
      <c r="P148" s="14">
        <v>279</v>
      </c>
      <c r="Q148" s="14">
        <v>0</v>
      </c>
      <c r="R148" s="14">
        <v>0</v>
      </c>
      <c r="S148" s="14">
        <v>0</v>
      </c>
      <c r="T148" s="18">
        <v>0</v>
      </c>
      <c r="U148" s="14">
        <v>3.0394242999999999E-3</v>
      </c>
      <c r="W148" s="38">
        <f t="shared" si="28"/>
        <v>392.97324659559996</v>
      </c>
      <c r="AB148" s="37" t="str">
        <f t="shared" si="32"/>
        <v>Repair</v>
      </c>
      <c r="AC148" s="36">
        <f t="shared" si="33"/>
        <v>197.2343216756</v>
      </c>
    </row>
    <row r="149" spans="1:29" x14ac:dyDescent="0.25">
      <c r="A149" s="7" t="s">
        <v>8</v>
      </c>
      <c r="B149" s="15" t="s">
        <v>67</v>
      </c>
      <c r="C149" s="7" t="s">
        <v>21</v>
      </c>
      <c r="D149" s="14">
        <v>0</v>
      </c>
      <c r="E149" s="14">
        <v>0</v>
      </c>
      <c r="F149" s="14">
        <v>0</v>
      </c>
      <c r="G149" s="14">
        <v>0</v>
      </c>
      <c r="H149" s="16">
        <v>280933</v>
      </c>
      <c r="I149" s="17">
        <v>54873</v>
      </c>
      <c r="J149" s="14">
        <v>49524</v>
      </c>
      <c r="K149" s="14">
        <v>36598</v>
      </c>
      <c r="L149" s="14">
        <v>26264</v>
      </c>
      <c r="M149" s="14">
        <v>24020</v>
      </c>
      <c r="N149" s="14">
        <v>24579</v>
      </c>
      <c r="O149" s="14">
        <v>19542</v>
      </c>
      <c r="P149" s="14">
        <v>14781</v>
      </c>
      <c r="Q149" s="14">
        <v>9859</v>
      </c>
      <c r="R149" s="14">
        <v>7917</v>
      </c>
      <c r="S149" s="14">
        <v>6269</v>
      </c>
      <c r="T149" s="18">
        <v>6707</v>
      </c>
      <c r="U149" s="14">
        <v>3.0394242999999999E-3</v>
      </c>
      <c r="W149" s="38">
        <f t="shared" si="28"/>
        <v>853.87458687189996</v>
      </c>
      <c r="AB149" s="37" t="str">
        <f t="shared" si="32"/>
        <v>Rental</v>
      </c>
      <c r="AC149" s="36">
        <f t="shared" si="33"/>
        <v>166.7823296139</v>
      </c>
    </row>
    <row r="150" spans="1:29" x14ac:dyDescent="0.25">
      <c r="A150" s="7" t="s">
        <v>8</v>
      </c>
      <c r="B150" s="15" t="s">
        <v>73</v>
      </c>
      <c r="C150" s="7" t="s">
        <v>21</v>
      </c>
      <c r="D150" s="14">
        <v>0</v>
      </c>
      <c r="E150" s="14">
        <v>0</v>
      </c>
      <c r="F150" s="14">
        <v>0</v>
      </c>
      <c r="G150" s="14">
        <v>0</v>
      </c>
      <c r="H150" s="16">
        <v>207106</v>
      </c>
      <c r="I150" s="17">
        <v>72134</v>
      </c>
      <c r="J150" s="14">
        <v>94357</v>
      </c>
      <c r="K150" s="14">
        <v>40615</v>
      </c>
      <c r="L150" s="14">
        <v>0</v>
      </c>
      <c r="M150" s="14">
        <v>0</v>
      </c>
      <c r="N150" s="14">
        <v>0</v>
      </c>
      <c r="O150" s="14">
        <v>0</v>
      </c>
      <c r="P150" s="14">
        <v>0</v>
      </c>
      <c r="Q150" s="14">
        <v>0</v>
      </c>
      <c r="R150" s="14">
        <v>0</v>
      </c>
      <c r="S150" s="14">
        <v>0</v>
      </c>
      <c r="T150" s="18">
        <v>0</v>
      </c>
      <c r="U150" s="14">
        <v>3.0394242999999999E-3</v>
      </c>
      <c r="W150" s="38">
        <f t="shared" si="28"/>
        <v>629.48300907579994</v>
      </c>
      <c r="AB150" s="37"/>
    </row>
    <row r="151" spans="1:29" x14ac:dyDescent="0.25">
      <c r="A151" s="7" t="s">
        <v>8</v>
      </c>
      <c r="B151" s="15" t="s">
        <v>19</v>
      </c>
      <c r="C151" s="7" t="s">
        <v>21</v>
      </c>
      <c r="D151" s="14">
        <v>0</v>
      </c>
      <c r="E151" s="14">
        <v>0</v>
      </c>
      <c r="F151" s="14">
        <v>0</v>
      </c>
      <c r="G151" s="14">
        <v>0</v>
      </c>
      <c r="H151" s="16">
        <v>454333</v>
      </c>
      <c r="I151" s="17">
        <v>68679</v>
      </c>
      <c r="J151" s="14">
        <v>86248</v>
      </c>
      <c r="K151" s="14">
        <v>42831</v>
      </c>
      <c r="L151" s="14">
        <v>51834</v>
      </c>
      <c r="M151" s="14">
        <v>33274</v>
      </c>
      <c r="N151" s="14">
        <v>47629</v>
      </c>
      <c r="O151" s="14">
        <v>43171</v>
      </c>
      <c r="P151" s="14">
        <v>29365</v>
      </c>
      <c r="Q151" s="14">
        <v>20911</v>
      </c>
      <c r="R151" s="14">
        <v>14268</v>
      </c>
      <c r="S151" s="14">
        <v>7396</v>
      </c>
      <c r="T151" s="18">
        <v>8727</v>
      </c>
      <c r="U151" s="14">
        <v>3.0394242999999999E-3</v>
      </c>
      <c r="W151" s="38">
        <f t="shared" si="28"/>
        <v>1380.9107604919</v>
      </c>
      <c r="AB151" s="37" t="str">
        <f t="shared" si="32"/>
        <v>Maintenance</v>
      </c>
      <c r="AC151" s="36">
        <f t="shared" si="33"/>
        <v>208.7446214997</v>
      </c>
    </row>
    <row r="152" spans="1:29" ht="13" thickBot="1" x14ac:dyDescent="0.3">
      <c r="A152" s="7" t="s">
        <v>8</v>
      </c>
      <c r="B152" s="19" t="s">
        <v>20</v>
      </c>
      <c r="C152" s="20" t="s">
        <v>21</v>
      </c>
      <c r="D152" s="21">
        <v>0</v>
      </c>
      <c r="E152" s="21">
        <v>0</v>
      </c>
      <c r="F152" s="21">
        <v>0</v>
      </c>
      <c r="G152" s="21">
        <v>0</v>
      </c>
      <c r="H152" s="22">
        <v>19555</v>
      </c>
      <c r="I152" s="23">
        <v>3360</v>
      </c>
      <c r="J152" s="21">
        <v>14097</v>
      </c>
      <c r="K152" s="21">
        <v>1868</v>
      </c>
      <c r="L152" s="21">
        <v>230</v>
      </c>
      <c r="M152" s="21">
        <v>0</v>
      </c>
      <c r="N152" s="21">
        <v>0</v>
      </c>
      <c r="O152" s="21">
        <v>0</v>
      </c>
      <c r="P152" s="21">
        <v>0</v>
      </c>
      <c r="Q152" s="21">
        <v>0</v>
      </c>
      <c r="R152" s="21">
        <v>0</v>
      </c>
      <c r="S152" s="21">
        <v>0</v>
      </c>
      <c r="T152" s="24">
        <v>0</v>
      </c>
      <c r="U152" s="14">
        <v>3.0394242999999999E-3</v>
      </c>
      <c r="W152" s="38">
        <f t="shared" si="28"/>
        <v>59.4359421865</v>
      </c>
      <c r="AB152" s="37" t="str">
        <f t="shared" si="32"/>
        <v>Startup</v>
      </c>
      <c r="AC152" s="36">
        <f t="shared" si="33"/>
        <v>10.212465648</v>
      </c>
    </row>
    <row r="153" spans="1:29" ht="13" thickBot="1" x14ac:dyDescent="0.3">
      <c r="A153" s="20" t="s">
        <v>8</v>
      </c>
      <c r="B153" s="25" t="s">
        <v>12</v>
      </c>
      <c r="C153" s="26" t="s">
        <v>21</v>
      </c>
      <c r="D153" s="27">
        <v>0</v>
      </c>
      <c r="E153" s="27">
        <v>0</v>
      </c>
      <c r="F153" s="27">
        <v>0</v>
      </c>
      <c r="G153" s="27">
        <v>0</v>
      </c>
      <c r="H153" s="28">
        <v>1096952</v>
      </c>
      <c r="I153" s="29">
        <v>264270</v>
      </c>
      <c r="J153" s="27">
        <v>312755</v>
      </c>
      <c r="K153" s="27">
        <v>122905</v>
      </c>
      <c r="L153" s="27">
        <v>78328</v>
      </c>
      <c r="M153" s="27">
        <v>57294</v>
      </c>
      <c r="N153" s="27">
        <v>72208</v>
      </c>
      <c r="O153" s="27">
        <v>62713</v>
      </c>
      <c r="P153" s="27">
        <v>44425</v>
      </c>
      <c r="Q153" s="27">
        <v>30770</v>
      </c>
      <c r="R153" s="27">
        <v>22185</v>
      </c>
      <c r="S153" s="27">
        <v>13665</v>
      </c>
      <c r="T153" s="29">
        <v>15434</v>
      </c>
      <c r="U153" s="14">
        <v>3.0394242999999999E-3</v>
      </c>
      <c r="W153" s="38">
        <f t="shared" si="28"/>
        <v>3334.1025647336</v>
      </c>
      <c r="X153" s="35">
        <f>W152+W151+W148</f>
        <v>1833.3199492739998</v>
      </c>
      <c r="Y153" s="35">
        <f>W146</f>
        <v>0</v>
      </c>
      <c r="Z153" s="40">
        <f>V144/X153</f>
        <v>0</v>
      </c>
      <c r="AA153" s="40">
        <f>IF((Y153=0),0,Y145/Y153)</f>
        <v>0</v>
      </c>
      <c r="AB153" s="48"/>
      <c r="AC153" s="48"/>
    </row>
    <row r="154" spans="1:29" ht="13" thickBot="1" x14ac:dyDescent="0.3">
      <c r="A154" s="9" t="s">
        <v>78</v>
      </c>
      <c r="B154" s="30" t="s">
        <v>15</v>
      </c>
      <c r="C154" s="31" t="s">
        <v>94</v>
      </c>
      <c r="D154" s="32" t="s">
        <v>47</v>
      </c>
      <c r="E154" s="53" t="s">
        <v>104</v>
      </c>
      <c r="F154" s="53" t="s">
        <v>105</v>
      </c>
      <c r="G154" s="53" t="s">
        <v>106</v>
      </c>
      <c r="H154" s="28" t="s">
        <v>12</v>
      </c>
      <c r="I154" s="54" t="s">
        <v>107</v>
      </c>
      <c r="J154" s="53" t="s">
        <v>108</v>
      </c>
      <c r="K154" s="53" t="s">
        <v>109</v>
      </c>
      <c r="L154" s="53" t="s">
        <v>110</v>
      </c>
      <c r="M154" s="53" t="s">
        <v>111</v>
      </c>
      <c r="N154" s="53" t="s">
        <v>115</v>
      </c>
      <c r="O154" s="53" t="s">
        <v>120</v>
      </c>
      <c r="P154" s="53" t="s">
        <v>121</v>
      </c>
      <c r="Q154" s="53" t="s">
        <v>164</v>
      </c>
      <c r="R154" s="53" t="s">
        <v>173</v>
      </c>
      <c r="S154" s="53" t="s">
        <v>177</v>
      </c>
      <c r="T154" s="55" t="s">
        <v>182</v>
      </c>
      <c r="U154" s="14">
        <v>1.175</v>
      </c>
      <c r="V154" s="14" t="s">
        <v>183</v>
      </c>
      <c r="W154" s="35"/>
      <c r="X154" s="14" t="s">
        <v>37</v>
      </c>
      <c r="Y154" s="14" t="s">
        <v>38</v>
      </c>
      <c r="AB154" s="48"/>
      <c r="AC154" s="48"/>
    </row>
    <row r="155" spans="1:29" x14ac:dyDescent="0.25">
      <c r="A155" s="7" t="s">
        <v>78</v>
      </c>
      <c r="B155" s="8" t="s">
        <v>17</v>
      </c>
      <c r="C155" s="9" t="s">
        <v>18</v>
      </c>
      <c r="D155" s="10">
        <v>0</v>
      </c>
      <c r="E155" s="10">
        <v>0</v>
      </c>
      <c r="F155" s="10">
        <v>1</v>
      </c>
      <c r="G155" s="10">
        <v>3</v>
      </c>
      <c r="H155" s="11">
        <v>99</v>
      </c>
      <c r="I155" s="12">
        <v>95</v>
      </c>
      <c r="J155" s="10">
        <v>0</v>
      </c>
      <c r="K155" s="10">
        <v>0</v>
      </c>
      <c r="L155" s="10">
        <v>0</v>
      </c>
      <c r="M155" s="10">
        <v>0</v>
      </c>
      <c r="N155" s="10">
        <v>0</v>
      </c>
      <c r="O155" s="10">
        <v>0</v>
      </c>
      <c r="P155" s="10">
        <v>0</v>
      </c>
      <c r="Q155" s="10">
        <v>0</v>
      </c>
      <c r="R155" s="10">
        <v>0</v>
      </c>
      <c r="S155" s="10">
        <v>0</v>
      </c>
      <c r="T155" s="13">
        <v>0</v>
      </c>
      <c r="U155" s="14">
        <v>1.175</v>
      </c>
      <c r="V155" s="42">
        <f>SUM(I155:T155)/H155</f>
        <v>0.95959595959595956</v>
      </c>
      <c r="W155" s="39">
        <f>SUM(I155:T155)*U155</f>
        <v>111.625</v>
      </c>
    </row>
    <row r="156" spans="1:29" x14ac:dyDescent="0.25">
      <c r="A156" s="7" t="s">
        <v>78</v>
      </c>
      <c r="B156" s="15" t="s">
        <v>66</v>
      </c>
      <c r="C156" s="7" t="s">
        <v>18</v>
      </c>
      <c r="D156" s="14">
        <v>0</v>
      </c>
      <c r="E156" s="14">
        <v>0</v>
      </c>
      <c r="F156" s="14">
        <v>0</v>
      </c>
      <c r="G156" s="14">
        <v>0</v>
      </c>
      <c r="H156" s="16">
        <v>136</v>
      </c>
      <c r="I156" s="17">
        <v>0</v>
      </c>
      <c r="J156" s="14">
        <v>0</v>
      </c>
      <c r="K156" s="14">
        <v>22</v>
      </c>
      <c r="L156" s="14">
        <v>37</v>
      </c>
      <c r="M156" s="14">
        <v>77</v>
      </c>
      <c r="N156" s="14">
        <v>0</v>
      </c>
      <c r="O156" s="14">
        <v>0</v>
      </c>
      <c r="P156" s="14">
        <v>0</v>
      </c>
      <c r="Q156" s="14">
        <v>0</v>
      </c>
      <c r="R156" s="14">
        <v>0</v>
      </c>
      <c r="S156" s="14">
        <v>0</v>
      </c>
      <c r="T156" s="18">
        <v>0</v>
      </c>
      <c r="U156" s="14">
        <v>1.175</v>
      </c>
      <c r="V156" s="44"/>
      <c r="W156" s="39">
        <f t="shared" ref="W156:W162" si="34">SUM(I156:T156)*U156</f>
        <v>159.80000000000001</v>
      </c>
    </row>
    <row r="157" spans="1:29" x14ac:dyDescent="0.25">
      <c r="A157" s="7" t="s">
        <v>78</v>
      </c>
      <c r="B157" s="15" t="s">
        <v>13</v>
      </c>
      <c r="C157" s="7" t="s">
        <v>18</v>
      </c>
      <c r="D157" s="14">
        <v>0</v>
      </c>
      <c r="E157" s="14">
        <v>0</v>
      </c>
      <c r="F157" s="14">
        <v>0</v>
      </c>
      <c r="G157" s="14">
        <v>0</v>
      </c>
      <c r="H157" s="16">
        <v>110</v>
      </c>
      <c r="I157" s="17">
        <v>2</v>
      </c>
      <c r="J157" s="14">
        <v>48</v>
      </c>
      <c r="K157" s="14">
        <v>43</v>
      </c>
      <c r="L157" s="14">
        <v>9</v>
      </c>
      <c r="M157" s="14">
        <v>8</v>
      </c>
      <c r="N157" s="14">
        <v>0</v>
      </c>
      <c r="O157" s="14">
        <v>0</v>
      </c>
      <c r="P157" s="14">
        <v>0</v>
      </c>
      <c r="Q157" s="14">
        <v>0</v>
      </c>
      <c r="R157" s="14">
        <v>0</v>
      </c>
      <c r="S157" s="14">
        <v>0</v>
      </c>
      <c r="T157" s="18">
        <v>0</v>
      </c>
      <c r="U157" s="14">
        <v>1.175</v>
      </c>
      <c r="V157" s="41"/>
      <c r="W157" s="39">
        <f t="shared" si="34"/>
        <v>129.25</v>
      </c>
    </row>
    <row r="158" spans="1:29" x14ac:dyDescent="0.25">
      <c r="A158" s="7" t="s">
        <v>78</v>
      </c>
      <c r="B158" s="15" t="s">
        <v>67</v>
      </c>
      <c r="C158" s="7" t="s">
        <v>18</v>
      </c>
      <c r="D158" s="14">
        <v>0</v>
      </c>
      <c r="E158" s="14">
        <v>0</v>
      </c>
      <c r="F158" s="14">
        <v>0</v>
      </c>
      <c r="G158" s="14">
        <v>0</v>
      </c>
      <c r="H158" s="16">
        <v>107</v>
      </c>
      <c r="I158" s="17">
        <v>6</v>
      </c>
      <c r="J158" s="14">
        <v>27</v>
      </c>
      <c r="K158" s="14">
        <v>62</v>
      </c>
      <c r="L158" s="14">
        <v>0</v>
      </c>
      <c r="M158" s="14">
        <v>12</v>
      </c>
      <c r="N158" s="14">
        <v>0</v>
      </c>
      <c r="O158" s="14">
        <v>0</v>
      </c>
      <c r="P158" s="14">
        <v>0</v>
      </c>
      <c r="Q158" s="14">
        <v>0</v>
      </c>
      <c r="R158" s="14">
        <v>0</v>
      </c>
      <c r="S158" s="14">
        <v>0</v>
      </c>
      <c r="T158" s="18">
        <v>0</v>
      </c>
      <c r="U158" s="14">
        <v>1.175</v>
      </c>
      <c r="V158" s="41"/>
      <c r="W158" s="39">
        <f t="shared" si="34"/>
        <v>125.72500000000001</v>
      </c>
    </row>
    <row r="159" spans="1:29" x14ac:dyDescent="0.25">
      <c r="A159" s="7" t="s">
        <v>78</v>
      </c>
      <c r="B159" s="15" t="s">
        <v>73</v>
      </c>
      <c r="C159" s="7" t="s">
        <v>18</v>
      </c>
      <c r="D159" s="14">
        <v>0</v>
      </c>
      <c r="E159" s="14">
        <v>0</v>
      </c>
      <c r="F159" s="14">
        <v>0</v>
      </c>
      <c r="G159" s="14">
        <v>0</v>
      </c>
      <c r="H159" s="16">
        <v>259</v>
      </c>
      <c r="I159" s="17">
        <v>0</v>
      </c>
      <c r="J159" s="14">
        <v>112</v>
      </c>
      <c r="K159" s="14">
        <v>63</v>
      </c>
      <c r="L159" s="14">
        <v>26</v>
      </c>
      <c r="M159" s="14">
        <v>58</v>
      </c>
      <c r="N159" s="14">
        <v>0</v>
      </c>
      <c r="O159" s="14">
        <v>0</v>
      </c>
      <c r="P159" s="14">
        <v>0</v>
      </c>
      <c r="Q159" s="14">
        <v>0</v>
      </c>
      <c r="R159" s="14">
        <v>0</v>
      </c>
      <c r="S159" s="14">
        <v>0</v>
      </c>
      <c r="T159" s="18">
        <v>0</v>
      </c>
      <c r="U159" s="14">
        <v>1.175</v>
      </c>
      <c r="V159" s="41"/>
      <c r="W159" s="39">
        <f t="shared" si="34"/>
        <v>304.32499999999999</v>
      </c>
    </row>
    <row r="160" spans="1:29" x14ac:dyDescent="0.25">
      <c r="A160" s="7" t="s">
        <v>78</v>
      </c>
      <c r="B160" s="15" t="s">
        <v>19</v>
      </c>
      <c r="C160" s="7" t="s">
        <v>18</v>
      </c>
      <c r="D160" s="14">
        <v>0</v>
      </c>
      <c r="E160" s="14">
        <v>0</v>
      </c>
      <c r="F160" s="14">
        <v>0</v>
      </c>
      <c r="G160" s="14">
        <v>9</v>
      </c>
      <c r="H160" s="16">
        <v>22</v>
      </c>
      <c r="I160" s="17">
        <v>7</v>
      </c>
      <c r="J160" s="14">
        <v>6</v>
      </c>
      <c r="K160" s="14">
        <v>0</v>
      </c>
      <c r="L160" s="14">
        <v>0</v>
      </c>
      <c r="M160" s="14">
        <v>0</v>
      </c>
      <c r="N160" s="14">
        <v>0</v>
      </c>
      <c r="O160" s="14">
        <v>0</v>
      </c>
      <c r="P160" s="14">
        <v>0</v>
      </c>
      <c r="Q160" s="14">
        <v>0</v>
      </c>
      <c r="R160" s="14">
        <v>0</v>
      </c>
      <c r="S160" s="14">
        <v>0</v>
      </c>
      <c r="T160" s="18">
        <v>0</v>
      </c>
      <c r="U160" s="14">
        <v>1.175</v>
      </c>
      <c r="V160" s="41"/>
      <c r="W160" s="39">
        <f t="shared" si="34"/>
        <v>15.275</v>
      </c>
    </row>
    <row r="161" spans="1:29" ht="13" thickBot="1" x14ac:dyDescent="0.3">
      <c r="A161" s="7" t="s">
        <v>78</v>
      </c>
      <c r="B161" s="19" t="s">
        <v>20</v>
      </c>
      <c r="C161" s="20" t="s">
        <v>18</v>
      </c>
      <c r="D161" s="21">
        <v>0</v>
      </c>
      <c r="E161" s="21">
        <v>0</v>
      </c>
      <c r="F161" s="21">
        <v>0</v>
      </c>
      <c r="G161" s="21">
        <v>0</v>
      </c>
      <c r="H161" s="22">
        <v>3</v>
      </c>
      <c r="I161" s="23">
        <v>3</v>
      </c>
      <c r="J161" s="21">
        <v>0</v>
      </c>
      <c r="K161" s="21">
        <v>0</v>
      </c>
      <c r="L161" s="21">
        <v>0</v>
      </c>
      <c r="M161" s="21">
        <v>0</v>
      </c>
      <c r="N161" s="21">
        <v>0</v>
      </c>
      <c r="O161" s="21">
        <v>0</v>
      </c>
      <c r="P161" s="21">
        <v>0</v>
      </c>
      <c r="Q161" s="21">
        <v>0</v>
      </c>
      <c r="R161" s="21">
        <v>0</v>
      </c>
      <c r="S161" s="21">
        <v>0</v>
      </c>
      <c r="T161" s="24">
        <v>0</v>
      </c>
      <c r="U161" s="14">
        <v>1.175</v>
      </c>
      <c r="V161" s="44"/>
      <c r="W161" s="39">
        <f t="shared" si="34"/>
        <v>3.5250000000000004</v>
      </c>
    </row>
    <row r="162" spans="1:29" ht="13" thickBot="1" x14ac:dyDescent="0.3">
      <c r="A162" s="7" t="s">
        <v>78</v>
      </c>
      <c r="B162" s="25" t="s">
        <v>12</v>
      </c>
      <c r="C162" s="26" t="s">
        <v>18</v>
      </c>
      <c r="D162" s="27">
        <v>0</v>
      </c>
      <c r="E162" s="27">
        <v>0</v>
      </c>
      <c r="F162" s="27">
        <v>1</v>
      </c>
      <c r="G162" s="27">
        <v>12</v>
      </c>
      <c r="H162" s="28">
        <v>736</v>
      </c>
      <c r="I162" s="29">
        <v>113</v>
      </c>
      <c r="J162" s="27">
        <v>193</v>
      </c>
      <c r="K162" s="27">
        <v>190</v>
      </c>
      <c r="L162" s="27">
        <v>72</v>
      </c>
      <c r="M162" s="27">
        <v>155</v>
      </c>
      <c r="N162" s="27">
        <v>0</v>
      </c>
      <c r="O162" s="27">
        <v>0</v>
      </c>
      <c r="P162" s="27">
        <v>0</v>
      </c>
      <c r="Q162" s="27">
        <v>0</v>
      </c>
      <c r="R162" s="27">
        <v>0</v>
      </c>
      <c r="S162" s="27">
        <v>0</v>
      </c>
      <c r="T162" s="29">
        <v>0</v>
      </c>
      <c r="U162" s="14">
        <v>1.175</v>
      </c>
      <c r="V162" s="43">
        <f>SUM(I157:T160)/SUM(H157:H160)</f>
        <v>0.98192771084337349</v>
      </c>
      <c r="W162" s="39">
        <f t="shared" si="34"/>
        <v>849.52499999999998</v>
      </c>
      <c r="X162" s="35">
        <f>W160+W157</f>
        <v>144.52500000000001</v>
      </c>
      <c r="Y162" s="35">
        <f>W155</f>
        <v>111.625</v>
      </c>
    </row>
    <row r="163" spans="1:29" x14ac:dyDescent="0.25">
      <c r="A163" s="7" t="s">
        <v>78</v>
      </c>
      <c r="B163" s="8" t="s">
        <v>17</v>
      </c>
      <c r="C163" s="9" t="s">
        <v>21</v>
      </c>
      <c r="D163" s="10">
        <v>0</v>
      </c>
      <c r="E163" s="10">
        <v>0</v>
      </c>
      <c r="F163" s="10">
        <v>0</v>
      </c>
      <c r="G163" s="10">
        <v>0</v>
      </c>
      <c r="H163" s="11">
        <v>4</v>
      </c>
      <c r="I163" s="12">
        <v>4</v>
      </c>
      <c r="J163" s="10">
        <v>0</v>
      </c>
      <c r="K163" s="10">
        <v>0</v>
      </c>
      <c r="L163" s="10">
        <v>0</v>
      </c>
      <c r="M163" s="10">
        <v>0</v>
      </c>
      <c r="N163" s="10">
        <v>0</v>
      </c>
      <c r="O163" s="10">
        <v>0</v>
      </c>
      <c r="P163" s="10">
        <v>0</v>
      </c>
      <c r="Q163" s="10">
        <v>0</v>
      </c>
      <c r="R163" s="10">
        <v>0</v>
      </c>
      <c r="S163" s="10">
        <v>0</v>
      </c>
      <c r="T163" s="13">
        <v>0</v>
      </c>
      <c r="U163" s="14">
        <v>1.175</v>
      </c>
      <c r="W163" s="38">
        <f t="shared" ref="W163:W203" si="35">H163*U163</f>
        <v>4.7</v>
      </c>
      <c r="AB163" s="37" t="str">
        <f t="shared" ref="AB163:AB169" si="36">B163</f>
        <v>Parts-OTC</v>
      </c>
      <c r="AC163" s="36">
        <f t="shared" ref="AC163:AC169" si="37">I163*U163</f>
        <v>4.7</v>
      </c>
    </row>
    <row r="164" spans="1:29" x14ac:dyDescent="0.25">
      <c r="A164" s="7" t="s">
        <v>78</v>
      </c>
      <c r="B164" s="15" t="s">
        <v>66</v>
      </c>
      <c r="C164" s="7" t="s">
        <v>21</v>
      </c>
      <c r="D164" s="14">
        <v>0</v>
      </c>
      <c r="E164" s="14">
        <v>0</v>
      </c>
      <c r="F164" s="14">
        <v>0</v>
      </c>
      <c r="G164" s="14">
        <v>0</v>
      </c>
      <c r="H164" s="16">
        <v>0</v>
      </c>
      <c r="I164" s="17">
        <v>0</v>
      </c>
      <c r="J164" s="14">
        <v>0</v>
      </c>
      <c r="K164" s="14">
        <v>0</v>
      </c>
      <c r="L164" s="14">
        <v>0</v>
      </c>
      <c r="M164" s="14">
        <v>0</v>
      </c>
      <c r="N164" s="14">
        <v>0</v>
      </c>
      <c r="O164" s="14">
        <v>0</v>
      </c>
      <c r="P164" s="14">
        <v>0</v>
      </c>
      <c r="Q164" s="14">
        <v>0</v>
      </c>
      <c r="R164" s="14">
        <v>0</v>
      </c>
      <c r="S164" s="14">
        <v>0</v>
      </c>
      <c r="T164" s="18">
        <v>0</v>
      </c>
      <c r="U164" s="14">
        <v>1.175</v>
      </c>
      <c r="W164" s="38">
        <f t="shared" si="35"/>
        <v>0</v>
      </c>
      <c r="AB164" s="37" t="str">
        <f t="shared" si="36"/>
        <v>CTKS</v>
      </c>
      <c r="AC164" s="36">
        <f t="shared" si="37"/>
        <v>0</v>
      </c>
    </row>
    <row r="165" spans="1:29" x14ac:dyDescent="0.25">
      <c r="A165" s="7" t="s">
        <v>78</v>
      </c>
      <c r="B165" s="15" t="s">
        <v>13</v>
      </c>
      <c r="C165" s="7" t="s">
        <v>21</v>
      </c>
      <c r="D165" s="14">
        <v>0</v>
      </c>
      <c r="E165" s="14">
        <v>0</v>
      </c>
      <c r="F165" s="14">
        <v>0</v>
      </c>
      <c r="G165" s="14">
        <v>0</v>
      </c>
      <c r="H165" s="16">
        <v>66</v>
      </c>
      <c r="I165" s="17">
        <v>59</v>
      </c>
      <c r="J165" s="14">
        <v>5</v>
      </c>
      <c r="K165" s="14">
        <v>1</v>
      </c>
      <c r="L165" s="14">
        <v>0</v>
      </c>
      <c r="M165" s="14">
        <v>0</v>
      </c>
      <c r="N165" s="14">
        <v>0</v>
      </c>
      <c r="O165" s="14">
        <v>1</v>
      </c>
      <c r="P165" s="14">
        <v>0</v>
      </c>
      <c r="Q165" s="14">
        <v>0</v>
      </c>
      <c r="R165" s="14">
        <v>0</v>
      </c>
      <c r="S165" s="14">
        <v>0</v>
      </c>
      <c r="T165" s="18">
        <v>0</v>
      </c>
      <c r="U165" s="14">
        <v>1.175</v>
      </c>
      <c r="W165" s="38">
        <f t="shared" si="35"/>
        <v>77.55</v>
      </c>
      <c r="AB165" s="37" t="str">
        <f t="shared" si="36"/>
        <v>Repair</v>
      </c>
      <c r="AC165" s="36">
        <f t="shared" si="37"/>
        <v>69.325000000000003</v>
      </c>
    </row>
    <row r="166" spans="1:29" x14ac:dyDescent="0.25">
      <c r="A166" s="7" t="s">
        <v>78</v>
      </c>
      <c r="B166" s="15" t="s">
        <v>67</v>
      </c>
      <c r="C166" s="7" t="s">
        <v>21</v>
      </c>
      <c r="D166" s="14">
        <v>0</v>
      </c>
      <c r="E166" s="14">
        <v>0</v>
      </c>
      <c r="F166" s="14">
        <v>0</v>
      </c>
      <c r="G166" s="14">
        <v>0</v>
      </c>
      <c r="H166" s="16">
        <v>0</v>
      </c>
      <c r="I166" s="17">
        <v>0</v>
      </c>
      <c r="J166" s="14">
        <v>0</v>
      </c>
      <c r="K166" s="14">
        <v>0</v>
      </c>
      <c r="L166" s="14">
        <v>0</v>
      </c>
      <c r="M166" s="14">
        <v>0</v>
      </c>
      <c r="N166" s="14">
        <v>0</v>
      </c>
      <c r="O166" s="14">
        <v>0</v>
      </c>
      <c r="P166" s="14">
        <v>0</v>
      </c>
      <c r="Q166" s="14">
        <v>0</v>
      </c>
      <c r="R166" s="14">
        <v>0</v>
      </c>
      <c r="S166" s="14">
        <v>0</v>
      </c>
      <c r="T166" s="18">
        <v>0</v>
      </c>
      <c r="U166" s="14">
        <v>1.175</v>
      </c>
      <c r="W166" s="38">
        <f t="shared" si="35"/>
        <v>0</v>
      </c>
      <c r="AB166" s="37" t="str">
        <f t="shared" si="36"/>
        <v>Rental</v>
      </c>
      <c r="AC166" s="36">
        <f t="shared" si="37"/>
        <v>0</v>
      </c>
    </row>
    <row r="167" spans="1:29" x14ac:dyDescent="0.25">
      <c r="A167" s="7" t="s">
        <v>78</v>
      </c>
      <c r="B167" s="15" t="s">
        <v>73</v>
      </c>
      <c r="C167" s="7" t="s">
        <v>21</v>
      </c>
      <c r="D167" s="14">
        <v>0</v>
      </c>
      <c r="E167" s="14">
        <v>0</v>
      </c>
      <c r="F167" s="14">
        <v>0</v>
      </c>
      <c r="G167" s="14">
        <v>0</v>
      </c>
      <c r="H167" s="16">
        <v>10</v>
      </c>
      <c r="I167" s="17">
        <v>10</v>
      </c>
      <c r="J167" s="14">
        <v>0</v>
      </c>
      <c r="K167" s="14">
        <v>0</v>
      </c>
      <c r="L167" s="14">
        <v>0</v>
      </c>
      <c r="M167" s="14">
        <v>0</v>
      </c>
      <c r="N167" s="14">
        <v>0</v>
      </c>
      <c r="O167" s="14">
        <v>0</v>
      </c>
      <c r="P167" s="14">
        <v>0</v>
      </c>
      <c r="Q167" s="14">
        <v>0</v>
      </c>
      <c r="R167" s="14">
        <v>0</v>
      </c>
      <c r="S167" s="14">
        <v>0</v>
      </c>
      <c r="T167" s="18">
        <v>0</v>
      </c>
      <c r="U167" s="14">
        <v>1.175</v>
      </c>
      <c r="W167" s="38">
        <f t="shared" si="35"/>
        <v>11.75</v>
      </c>
      <c r="AB167" s="37"/>
    </row>
    <row r="168" spans="1:29" x14ac:dyDescent="0.25">
      <c r="A168" s="7" t="s">
        <v>78</v>
      </c>
      <c r="B168" s="15" t="s">
        <v>19</v>
      </c>
      <c r="C168" s="7" t="s">
        <v>21</v>
      </c>
      <c r="D168" s="14">
        <v>0</v>
      </c>
      <c r="E168" s="14">
        <v>0</v>
      </c>
      <c r="F168" s="14">
        <v>0</v>
      </c>
      <c r="G168" s="14">
        <v>0</v>
      </c>
      <c r="H168" s="16">
        <v>24</v>
      </c>
      <c r="I168" s="17">
        <v>8</v>
      </c>
      <c r="J168" s="14">
        <v>6</v>
      </c>
      <c r="K168" s="14">
        <v>0</v>
      </c>
      <c r="L168" s="14">
        <v>1</v>
      </c>
      <c r="M168" s="14">
        <v>0</v>
      </c>
      <c r="N168" s="14">
        <v>2</v>
      </c>
      <c r="O168" s="14">
        <v>5</v>
      </c>
      <c r="P168" s="14">
        <v>1</v>
      </c>
      <c r="Q168" s="14">
        <v>0</v>
      </c>
      <c r="R168" s="14">
        <v>0</v>
      </c>
      <c r="S168" s="14">
        <v>0</v>
      </c>
      <c r="T168" s="18">
        <v>1</v>
      </c>
      <c r="U168" s="14">
        <v>1.175</v>
      </c>
      <c r="W168" s="38">
        <f t="shared" si="35"/>
        <v>28.200000000000003</v>
      </c>
      <c r="AB168" s="37" t="str">
        <f t="shared" si="36"/>
        <v>Maintenance</v>
      </c>
      <c r="AC168" s="36">
        <f t="shared" si="37"/>
        <v>9.4</v>
      </c>
    </row>
    <row r="169" spans="1:29" ht="13" thickBot="1" x14ac:dyDescent="0.3">
      <c r="A169" s="7" t="s">
        <v>78</v>
      </c>
      <c r="B169" s="19" t="s">
        <v>20</v>
      </c>
      <c r="C169" s="20" t="s">
        <v>21</v>
      </c>
      <c r="D169" s="21">
        <v>0</v>
      </c>
      <c r="E169" s="21">
        <v>0</v>
      </c>
      <c r="F169" s="21">
        <v>0</v>
      </c>
      <c r="G169" s="21">
        <v>0</v>
      </c>
      <c r="H169" s="22">
        <v>1</v>
      </c>
      <c r="I169" s="23">
        <v>1</v>
      </c>
      <c r="J169" s="21">
        <v>0</v>
      </c>
      <c r="K169" s="21">
        <v>0</v>
      </c>
      <c r="L169" s="21">
        <v>0</v>
      </c>
      <c r="M169" s="21">
        <v>0</v>
      </c>
      <c r="N169" s="21">
        <v>0</v>
      </c>
      <c r="O169" s="21">
        <v>0</v>
      </c>
      <c r="P169" s="21">
        <v>0</v>
      </c>
      <c r="Q169" s="21">
        <v>0</v>
      </c>
      <c r="R169" s="21">
        <v>0</v>
      </c>
      <c r="S169" s="21">
        <v>0</v>
      </c>
      <c r="T169" s="24">
        <v>0</v>
      </c>
      <c r="U169" s="14">
        <v>1.175</v>
      </c>
      <c r="W169" s="38">
        <f t="shared" si="35"/>
        <v>1.175</v>
      </c>
      <c r="AB169" s="37" t="str">
        <f t="shared" si="36"/>
        <v>Startup</v>
      </c>
      <c r="AC169" s="36">
        <f t="shared" si="37"/>
        <v>1.175</v>
      </c>
    </row>
    <row r="170" spans="1:29" ht="13" thickBot="1" x14ac:dyDescent="0.3">
      <c r="A170" s="20" t="s">
        <v>78</v>
      </c>
      <c r="B170" s="25" t="s">
        <v>12</v>
      </c>
      <c r="C170" s="26" t="s">
        <v>21</v>
      </c>
      <c r="D170" s="27">
        <v>0</v>
      </c>
      <c r="E170" s="27">
        <v>0</v>
      </c>
      <c r="F170" s="27">
        <v>0</v>
      </c>
      <c r="G170" s="27">
        <v>0</v>
      </c>
      <c r="H170" s="28">
        <v>105</v>
      </c>
      <c r="I170" s="29">
        <v>82</v>
      </c>
      <c r="J170" s="27">
        <v>11</v>
      </c>
      <c r="K170" s="27">
        <v>1</v>
      </c>
      <c r="L170" s="27">
        <v>1</v>
      </c>
      <c r="M170" s="27">
        <v>0</v>
      </c>
      <c r="N170" s="27">
        <v>2</v>
      </c>
      <c r="O170" s="27">
        <v>6</v>
      </c>
      <c r="P170" s="27">
        <v>1</v>
      </c>
      <c r="Q170" s="27">
        <v>0</v>
      </c>
      <c r="R170" s="27">
        <v>0</v>
      </c>
      <c r="S170" s="27">
        <v>0</v>
      </c>
      <c r="T170" s="29">
        <v>1</v>
      </c>
      <c r="U170" s="14">
        <v>1.175</v>
      </c>
      <c r="W170" s="38">
        <f t="shared" si="35"/>
        <v>123.375</v>
      </c>
      <c r="X170" s="35">
        <f>W169+W168+W165</f>
        <v>106.925</v>
      </c>
      <c r="Y170" s="35">
        <f>W163</f>
        <v>4.7</v>
      </c>
      <c r="Z170" s="40">
        <f>V161/X170</f>
        <v>0</v>
      </c>
      <c r="AA170" s="40">
        <f>IF((Y170=0),0,Y162/Y170)</f>
        <v>23.75</v>
      </c>
      <c r="AB170" s="48"/>
      <c r="AC170" s="48"/>
    </row>
    <row r="171" spans="1:29" ht="13" thickBot="1" x14ac:dyDescent="0.3">
      <c r="A171" s="7" t="s">
        <v>14</v>
      </c>
      <c r="B171" s="30" t="s">
        <v>15</v>
      </c>
      <c r="C171" s="31" t="s">
        <v>94</v>
      </c>
      <c r="D171" s="32" t="s">
        <v>47</v>
      </c>
      <c r="E171" s="53" t="s">
        <v>104</v>
      </c>
      <c r="F171" s="53" t="s">
        <v>105</v>
      </c>
      <c r="G171" s="53" t="s">
        <v>106</v>
      </c>
      <c r="H171" s="28" t="s">
        <v>12</v>
      </c>
      <c r="I171" s="54" t="s">
        <v>107</v>
      </c>
      <c r="J171" s="53" t="s">
        <v>108</v>
      </c>
      <c r="K171" s="53" t="s">
        <v>109</v>
      </c>
      <c r="L171" s="53" t="s">
        <v>110</v>
      </c>
      <c r="M171" s="53" t="s">
        <v>111</v>
      </c>
      <c r="N171" s="53" t="s">
        <v>115</v>
      </c>
      <c r="O171" s="53" t="s">
        <v>120</v>
      </c>
      <c r="P171" s="53" t="s">
        <v>121</v>
      </c>
      <c r="Q171" s="53" t="s">
        <v>164</v>
      </c>
      <c r="R171" s="53" t="s">
        <v>173</v>
      </c>
      <c r="S171" s="53" t="s">
        <v>177</v>
      </c>
      <c r="T171" s="55" t="s">
        <v>182</v>
      </c>
      <c r="U171" s="14">
        <v>4.8000000000000001E-2</v>
      </c>
      <c r="V171" s="14" t="s">
        <v>183</v>
      </c>
      <c r="W171" s="35"/>
      <c r="X171" s="14" t="s">
        <v>37</v>
      </c>
      <c r="Y171" s="14" t="s">
        <v>38</v>
      </c>
      <c r="AB171" s="48"/>
      <c r="AC171" s="48"/>
    </row>
    <row r="172" spans="1:29" x14ac:dyDescent="0.25">
      <c r="A172" s="7" t="s">
        <v>14</v>
      </c>
      <c r="B172" s="8" t="s">
        <v>17</v>
      </c>
      <c r="C172" s="9" t="s">
        <v>18</v>
      </c>
      <c r="D172" s="10">
        <v>0</v>
      </c>
      <c r="E172" s="10">
        <v>0</v>
      </c>
      <c r="F172" s="10">
        <v>0</v>
      </c>
      <c r="G172" s="10">
        <v>0</v>
      </c>
      <c r="H172" s="11">
        <v>0</v>
      </c>
      <c r="I172" s="12">
        <v>0</v>
      </c>
      <c r="J172" s="10">
        <v>0</v>
      </c>
      <c r="K172" s="10">
        <v>0</v>
      </c>
      <c r="L172" s="10">
        <v>0</v>
      </c>
      <c r="M172" s="10">
        <v>0</v>
      </c>
      <c r="N172" s="10">
        <v>0</v>
      </c>
      <c r="O172" s="10">
        <v>0</v>
      </c>
      <c r="P172" s="10">
        <v>0</v>
      </c>
      <c r="Q172" s="10">
        <v>0</v>
      </c>
      <c r="R172" s="10">
        <v>0</v>
      </c>
      <c r="S172" s="10">
        <v>0</v>
      </c>
      <c r="T172" s="13">
        <v>0</v>
      </c>
      <c r="U172" s="14">
        <v>4.8000000000000001E-2</v>
      </c>
      <c r="V172" s="42" t="e">
        <f>SUM(I172:T172)/H172</f>
        <v>#DIV/0!</v>
      </c>
      <c r="W172" s="39">
        <f>SUM(I172:T172)*U172</f>
        <v>0</v>
      </c>
    </row>
    <row r="173" spans="1:29" x14ac:dyDescent="0.25">
      <c r="A173" s="7" t="s">
        <v>14</v>
      </c>
      <c r="B173" s="15" t="s">
        <v>66</v>
      </c>
      <c r="C173" s="7" t="s">
        <v>18</v>
      </c>
      <c r="D173" s="14">
        <v>0</v>
      </c>
      <c r="E173" s="14">
        <v>0</v>
      </c>
      <c r="F173" s="14">
        <v>0</v>
      </c>
      <c r="G173" s="14">
        <v>0</v>
      </c>
      <c r="H173" s="16">
        <v>0</v>
      </c>
      <c r="I173" s="17">
        <v>0</v>
      </c>
      <c r="J173" s="14">
        <v>0</v>
      </c>
      <c r="K173" s="14">
        <v>0</v>
      </c>
      <c r="L173" s="14">
        <v>0</v>
      </c>
      <c r="M173" s="14">
        <v>0</v>
      </c>
      <c r="N173" s="14">
        <v>0</v>
      </c>
      <c r="O173" s="14">
        <v>0</v>
      </c>
      <c r="P173" s="14">
        <v>0</v>
      </c>
      <c r="Q173" s="14">
        <v>0</v>
      </c>
      <c r="R173" s="14">
        <v>0</v>
      </c>
      <c r="S173" s="14">
        <v>0</v>
      </c>
      <c r="T173" s="18">
        <v>0</v>
      </c>
      <c r="U173" s="14">
        <v>4.8000000000000001E-2</v>
      </c>
      <c r="V173" s="44"/>
      <c r="W173" s="39">
        <f t="shared" ref="W173:W179" si="38">SUM(I173:T173)*U173</f>
        <v>0</v>
      </c>
    </row>
    <row r="174" spans="1:29" x14ac:dyDescent="0.25">
      <c r="A174" s="7" t="s">
        <v>14</v>
      </c>
      <c r="B174" s="15" t="s">
        <v>13</v>
      </c>
      <c r="C174" s="7" t="s">
        <v>18</v>
      </c>
      <c r="D174" s="14">
        <v>9</v>
      </c>
      <c r="E174" s="14">
        <v>0</v>
      </c>
      <c r="F174" s="14">
        <v>120</v>
      </c>
      <c r="G174" s="14">
        <v>0</v>
      </c>
      <c r="H174" s="16">
        <v>19509</v>
      </c>
      <c r="I174" s="17">
        <v>3383</v>
      </c>
      <c r="J174" s="14">
        <v>15935</v>
      </c>
      <c r="K174" s="14">
        <v>0</v>
      </c>
      <c r="L174" s="14">
        <v>0</v>
      </c>
      <c r="M174" s="14">
        <v>0</v>
      </c>
      <c r="N174" s="14">
        <v>0</v>
      </c>
      <c r="O174" s="14">
        <v>0</v>
      </c>
      <c r="P174" s="14">
        <v>0</v>
      </c>
      <c r="Q174" s="14">
        <v>62</v>
      </c>
      <c r="R174" s="14">
        <v>0</v>
      </c>
      <c r="S174" s="14">
        <v>0</v>
      </c>
      <c r="T174" s="18">
        <v>0</v>
      </c>
      <c r="U174" s="14">
        <v>4.8000000000000001E-2</v>
      </c>
      <c r="V174" s="41"/>
      <c r="W174" s="39">
        <f t="shared" si="38"/>
        <v>930.24</v>
      </c>
    </row>
    <row r="175" spans="1:29" x14ac:dyDescent="0.25">
      <c r="A175" s="7" t="s">
        <v>14</v>
      </c>
      <c r="B175" s="15" t="s">
        <v>67</v>
      </c>
      <c r="C175" s="7" t="s">
        <v>18</v>
      </c>
      <c r="D175" s="14">
        <v>260</v>
      </c>
      <c r="E175" s="14">
        <v>208</v>
      </c>
      <c r="F175" s="14">
        <v>3283</v>
      </c>
      <c r="G175" s="14">
        <v>3156</v>
      </c>
      <c r="H175" s="16">
        <v>53086</v>
      </c>
      <c r="I175" s="17">
        <v>9630</v>
      </c>
      <c r="J175" s="14">
        <v>28734</v>
      </c>
      <c r="K175" s="14">
        <v>3073</v>
      </c>
      <c r="L175" s="14">
        <v>680</v>
      </c>
      <c r="M175" s="14">
        <v>955</v>
      </c>
      <c r="N175" s="14">
        <v>692</v>
      </c>
      <c r="O175" s="14">
        <v>896</v>
      </c>
      <c r="P175" s="14">
        <v>506</v>
      </c>
      <c r="Q175" s="14">
        <v>1013</v>
      </c>
      <c r="R175" s="14">
        <v>0</v>
      </c>
      <c r="S175" s="14">
        <v>0</v>
      </c>
      <c r="T175" s="18">
        <v>0</v>
      </c>
      <c r="U175" s="14">
        <v>4.8000000000000001E-2</v>
      </c>
      <c r="V175" s="41"/>
      <c r="W175" s="39">
        <f t="shared" si="38"/>
        <v>2216.5920000000001</v>
      </c>
    </row>
    <row r="176" spans="1:29" x14ac:dyDescent="0.25">
      <c r="A176" s="7" t="s">
        <v>14</v>
      </c>
      <c r="B176" s="15" t="s">
        <v>73</v>
      </c>
      <c r="C176" s="7" t="s">
        <v>18</v>
      </c>
      <c r="D176" s="14">
        <v>0</v>
      </c>
      <c r="E176" s="14">
        <v>0</v>
      </c>
      <c r="F176" s="14">
        <v>0</v>
      </c>
      <c r="G176" s="14">
        <v>0</v>
      </c>
      <c r="H176" s="16">
        <v>126736</v>
      </c>
      <c r="I176" s="17">
        <v>47157</v>
      </c>
      <c r="J176" s="14">
        <v>55108</v>
      </c>
      <c r="K176" s="14">
        <v>2610</v>
      </c>
      <c r="L176" s="14">
        <v>870</v>
      </c>
      <c r="M176" s="14">
        <v>0</v>
      </c>
      <c r="N176" s="14">
        <v>26</v>
      </c>
      <c r="O176" s="14">
        <v>0</v>
      </c>
      <c r="P176" s="14">
        <v>3630</v>
      </c>
      <c r="Q176" s="14">
        <v>12840</v>
      </c>
      <c r="R176" s="14">
        <v>4495</v>
      </c>
      <c r="S176" s="14">
        <v>0</v>
      </c>
      <c r="T176" s="18">
        <v>0</v>
      </c>
      <c r="U176" s="14">
        <v>4.8000000000000001E-2</v>
      </c>
      <c r="V176" s="41"/>
      <c r="W176" s="39">
        <f t="shared" si="38"/>
        <v>6083.3280000000004</v>
      </c>
    </row>
    <row r="177" spans="1:29" x14ac:dyDescent="0.25">
      <c r="A177" s="7" t="s">
        <v>14</v>
      </c>
      <c r="B177" s="15" t="s">
        <v>19</v>
      </c>
      <c r="C177" s="7" t="s">
        <v>18</v>
      </c>
      <c r="D177" s="14">
        <v>0</v>
      </c>
      <c r="E177" s="14">
        <v>0</v>
      </c>
      <c r="F177" s="14">
        <v>0</v>
      </c>
      <c r="G177" s="14">
        <v>0</v>
      </c>
      <c r="H177" s="16">
        <v>8419</v>
      </c>
      <c r="I177" s="17">
        <v>4235</v>
      </c>
      <c r="J177" s="14">
        <v>4184</v>
      </c>
      <c r="K177" s="14">
        <v>0</v>
      </c>
      <c r="L177" s="14">
        <v>0</v>
      </c>
      <c r="M177" s="14">
        <v>0</v>
      </c>
      <c r="N177" s="14">
        <v>0</v>
      </c>
      <c r="O177" s="14">
        <v>0</v>
      </c>
      <c r="P177" s="14">
        <v>0</v>
      </c>
      <c r="Q177" s="14">
        <v>0</v>
      </c>
      <c r="R177" s="14">
        <v>0</v>
      </c>
      <c r="S177" s="14">
        <v>0</v>
      </c>
      <c r="T177" s="18">
        <v>0</v>
      </c>
      <c r="U177" s="14">
        <v>4.8000000000000001E-2</v>
      </c>
      <c r="V177" s="41"/>
      <c r="W177" s="39">
        <f t="shared" si="38"/>
        <v>404.11200000000002</v>
      </c>
    </row>
    <row r="178" spans="1:29" ht="13" thickBot="1" x14ac:dyDescent="0.3">
      <c r="A178" s="7" t="s">
        <v>14</v>
      </c>
      <c r="B178" s="19" t="s">
        <v>20</v>
      </c>
      <c r="C178" s="20" t="s">
        <v>18</v>
      </c>
      <c r="D178" s="21">
        <v>0</v>
      </c>
      <c r="E178" s="21">
        <v>0</v>
      </c>
      <c r="F178" s="21">
        <v>0</v>
      </c>
      <c r="G178" s="21">
        <v>0</v>
      </c>
      <c r="H178" s="22">
        <v>76</v>
      </c>
      <c r="I178" s="23">
        <v>0</v>
      </c>
      <c r="J178" s="21">
        <v>0</v>
      </c>
      <c r="K178" s="21">
        <v>44</v>
      </c>
      <c r="L178" s="21">
        <v>0</v>
      </c>
      <c r="M178" s="21">
        <v>32</v>
      </c>
      <c r="N178" s="21">
        <v>0</v>
      </c>
      <c r="O178" s="21">
        <v>0</v>
      </c>
      <c r="P178" s="21">
        <v>0</v>
      </c>
      <c r="Q178" s="21">
        <v>0</v>
      </c>
      <c r="R178" s="21">
        <v>0</v>
      </c>
      <c r="S178" s="21">
        <v>0</v>
      </c>
      <c r="T178" s="24">
        <v>0</v>
      </c>
      <c r="U178" s="14">
        <v>4.8000000000000001E-2</v>
      </c>
      <c r="V178" s="44"/>
      <c r="W178" s="39">
        <f t="shared" si="38"/>
        <v>3.6480000000000001</v>
      </c>
    </row>
    <row r="179" spans="1:29" ht="13" thickBot="1" x14ac:dyDescent="0.3">
      <c r="A179" s="7" t="s">
        <v>14</v>
      </c>
      <c r="B179" s="25" t="s">
        <v>12</v>
      </c>
      <c r="C179" s="26" t="s">
        <v>18</v>
      </c>
      <c r="D179" s="27">
        <v>269</v>
      </c>
      <c r="E179" s="27">
        <v>208</v>
      </c>
      <c r="F179" s="27">
        <v>3403</v>
      </c>
      <c r="G179" s="27">
        <v>3156</v>
      </c>
      <c r="H179" s="28">
        <v>207826</v>
      </c>
      <c r="I179" s="29">
        <v>64405</v>
      </c>
      <c r="J179" s="27">
        <v>103961</v>
      </c>
      <c r="K179" s="27">
        <v>5727</v>
      </c>
      <c r="L179" s="27">
        <v>1550</v>
      </c>
      <c r="M179" s="27">
        <v>987</v>
      </c>
      <c r="N179" s="27">
        <v>718</v>
      </c>
      <c r="O179" s="27">
        <v>896</v>
      </c>
      <c r="P179" s="27">
        <v>4136</v>
      </c>
      <c r="Q179" s="27">
        <v>13915</v>
      </c>
      <c r="R179" s="27">
        <v>4495</v>
      </c>
      <c r="S179" s="27">
        <v>0</v>
      </c>
      <c r="T179" s="29">
        <v>0</v>
      </c>
      <c r="U179" s="14">
        <v>4.8000000000000001E-2</v>
      </c>
      <c r="V179" s="43">
        <f>SUM(I174:T177)/SUM(H174:H177)</f>
        <v>0.96613237063778579</v>
      </c>
      <c r="W179" s="39">
        <f t="shared" si="38"/>
        <v>9637.92</v>
      </c>
      <c r="X179" s="35">
        <f>W177+W174</f>
        <v>1334.3520000000001</v>
      </c>
      <c r="Y179" s="35">
        <f>W172</f>
        <v>0</v>
      </c>
    </row>
    <row r="180" spans="1:29" x14ac:dyDescent="0.25">
      <c r="A180" s="7" t="s">
        <v>14</v>
      </c>
      <c r="B180" s="8" t="s">
        <v>17</v>
      </c>
      <c r="C180" s="9" t="s">
        <v>21</v>
      </c>
      <c r="D180" s="10">
        <v>0</v>
      </c>
      <c r="E180" s="10">
        <v>0</v>
      </c>
      <c r="F180" s="10">
        <v>0</v>
      </c>
      <c r="G180" s="10">
        <v>0</v>
      </c>
      <c r="H180" s="11">
        <v>0</v>
      </c>
      <c r="I180" s="12">
        <v>0</v>
      </c>
      <c r="J180" s="10">
        <v>0</v>
      </c>
      <c r="K180" s="10">
        <v>0</v>
      </c>
      <c r="L180" s="10">
        <v>0</v>
      </c>
      <c r="M180" s="10">
        <v>0</v>
      </c>
      <c r="N180" s="10">
        <v>0</v>
      </c>
      <c r="O180" s="10">
        <v>0</v>
      </c>
      <c r="P180" s="10">
        <v>0</v>
      </c>
      <c r="Q180" s="10">
        <v>0</v>
      </c>
      <c r="R180" s="10">
        <v>0</v>
      </c>
      <c r="S180" s="10">
        <v>0</v>
      </c>
      <c r="T180" s="13">
        <v>0</v>
      </c>
      <c r="U180" s="14">
        <v>4.8000000000000001E-2</v>
      </c>
      <c r="W180" s="38">
        <f>H180*U180</f>
        <v>0</v>
      </c>
      <c r="AB180" s="37" t="str">
        <f t="shared" ref="AB180:AB183" si="39">B180</f>
        <v>Parts-OTC</v>
      </c>
      <c r="AC180" s="36">
        <f t="shared" ref="AC180:AC183" si="40">I180*U180</f>
        <v>0</v>
      </c>
    </row>
    <row r="181" spans="1:29" x14ac:dyDescent="0.25">
      <c r="A181" s="7" t="s">
        <v>14</v>
      </c>
      <c r="B181" s="15" t="s">
        <v>66</v>
      </c>
      <c r="C181" s="7" t="s">
        <v>21</v>
      </c>
      <c r="D181" s="14">
        <v>0</v>
      </c>
      <c r="E181" s="14">
        <v>0</v>
      </c>
      <c r="F181" s="14">
        <v>0</v>
      </c>
      <c r="G181" s="14">
        <v>0</v>
      </c>
      <c r="H181" s="16">
        <v>4148</v>
      </c>
      <c r="I181" s="17">
        <v>1254</v>
      </c>
      <c r="J181" s="14">
        <v>450</v>
      </c>
      <c r="K181" s="14">
        <v>0</v>
      </c>
      <c r="L181" s="14">
        <v>1248</v>
      </c>
      <c r="M181" s="14">
        <v>1196</v>
      </c>
      <c r="N181" s="14">
        <v>0</v>
      </c>
      <c r="O181" s="14">
        <v>0</v>
      </c>
      <c r="P181" s="14">
        <v>0</v>
      </c>
      <c r="Q181" s="14">
        <v>0</v>
      </c>
      <c r="R181" s="14">
        <v>0</v>
      </c>
      <c r="S181" s="14">
        <v>0</v>
      </c>
      <c r="T181" s="18">
        <v>0</v>
      </c>
      <c r="U181" s="14">
        <v>4.8000000000000001E-2</v>
      </c>
      <c r="W181" s="38">
        <f t="shared" ref="W181:W186" si="41">H181*U181</f>
        <v>199.10400000000001</v>
      </c>
      <c r="AB181" s="37" t="str">
        <f t="shared" si="39"/>
        <v>CTKS</v>
      </c>
      <c r="AC181" s="36">
        <f t="shared" si="40"/>
        <v>60.192</v>
      </c>
    </row>
    <row r="182" spans="1:29" x14ac:dyDescent="0.25">
      <c r="A182" s="7" t="s">
        <v>14</v>
      </c>
      <c r="B182" s="15" t="s">
        <v>13</v>
      </c>
      <c r="C182" s="7" t="s">
        <v>21</v>
      </c>
      <c r="D182" s="14">
        <v>0</v>
      </c>
      <c r="E182" s="14">
        <v>0</v>
      </c>
      <c r="F182" s="14">
        <v>0</v>
      </c>
      <c r="G182" s="14">
        <v>0</v>
      </c>
      <c r="H182" s="16">
        <v>8556</v>
      </c>
      <c r="I182" s="17">
        <v>1782</v>
      </c>
      <c r="J182" s="14">
        <v>4611</v>
      </c>
      <c r="K182" s="14">
        <v>1463</v>
      </c>
      <c r="L182" s="14">
        <v>649</v>
      </c>
      <c r="M182" s="14">
        <v>0</v>
      </c>
      <c r="N182" s="14">
        <v>0</v>
      </c>
      <c r="O182" s="14">
        <v>0</v>
      </c>
      <c r="P182" s="14">
        <v>51</v>
      </c>
      <c r="Q182" s="14">
        <v>0</v>
      </c>
      <c r="R182" s="14">
        <v>0</v>
      </c>
      <c r="S182" s="14">
        <v>0</v>
      </c>
      <c r="T182" s="18">
        <v>0</v>
      </c>
      <c r="U182" s="14">
        <v>4.8000000000000001E-2</v>
      </c>
      <c r="W182" s="38">
        <f t="shared" si="41"/>
        <v>410.68799999999999</v>
      </c>
      <c r="AB182" s="37" t="str">
        <f t="shared" si="39"/>
        <v>Repair</v>
      </c>
      <c r="AC182" s="36">
        <f t="shared" si="40"/>
        <v>85.536000000000001</v>
      </c>
    </row>
    <row r="183" spans="1:29" x14ac:dyDescent="0.25">
      <c r="A183" s="7" t="s">
        <v>14</v>
      </c>
      <c r="B183" s="15" t="s">
        <v>67</v>
      </c>
      <c r="C183" s="7" t="s">
        <v>21</v>
      </c>
      <c r="D183" s="14">
        <v>0</v>
      </c>
      <c r="E183" s="14">
        <v>0</v>
      </c>
      <c r="F183" s="14">
        <v>0</v>
      </c>
      <c r="G183" s="14">
        <v>0</v>
      </c>
      <c r="H183" s="16">
        <v>38030</v>
      </c>
      <c r="I183" s="17">
        <v>4872</v>
      </c>
      <c r="J183" s="14">
        <v>11492</v>
      </c>
      <c r="K183" s="14">
        <v>3242</v>
      </c>
      <c r="L183" s="14">
        <v>3242</v>
      </c>
      <c r="M183" s="14">
        <v>3054</v>
      </c>
      <c r="N183" s="14">
        <v>2869</v>
      </c>
      <c r="O183" s="14">
        <v>2059</v>
      </c>
      <c r="P183" s="14">
        <v>1883</v>
      </c>
      <c r="Q183" s="14">
        <v>1883</v>
      </c>
      <c r="R183" s="14">
        <v>945</v>
      </c>
      <c r="S183" s="14">
        <v>1556</v>
      </c>
      <c r="T183" s="18">
        <v>933</v>
      </c>
      <c r="U183" s="14">
        <v>4.8000000000000001E-2</v>
      </c>
      <c r="W183" s="38">
        <f t="shared" si="41"/>
        <v>1825.44</v>
      </c>
      <c r="AB183" s="37" t="str">
        <f t="shared" si="39"/>
        <v>Rental</v>
      </c>
      <c r="AC183" s="36">
        <f t="shared" si="40"/>
        <v>233.85599999999999</v>
      </c>
    </row>
    <row r="184" spans="1:29" x14ac:dyDescent="0.25">
      <c r="A184" s="7" t="s">
        <v>14</v>
      </c>
      <c r="B184" s="15" t="s">
        <v>73</v>
      </c>
      <c r="C184" s="7" t="s">
        <v>21</v>
      </c>
      <c r="D184" s="14">
        <v>0</v>
      </c>
      <c r="E184" s="14">
        <v>0</v>
      </c>
      <c r="F184" s="14">
        <v>0</v>
      </c>
      <c r="G184" s="14">
        <v>0</v>
      </c>
      <c r="H184" s="16">
        <v>20955</v>
      </c>
      <c r="I184" s="17">
        <v>7141</v>
      </c>
      <c r="J184" s="14">
        <v>5256</v>
      </c>
      <c r="K184" s="14">
        <v>3149</v>
      </c>
      <c r="L184" s="14">
        <v>450</v>
      </c>
      <c r="M184" s="14">
        <v>0</v>
      </c>
      <c r="N184" s="14">
        <v>20</v>
      </c>
      <c r="O184" s="14">
        <v>4092</v>
      </c>
      <c r="P184" s="14">
        <v>847</v>
      </c>
      <c r="Q184" s="14">
        <v>0</v>
      </c>
      <c r="R184" s="14">
        <v>0</v>
      </c>
      <c r="S184" s="14">
        <v>0</v>
      </c>
      <c r="T184" s="18">
        <v>0</v>
      </c>
      <c r="U184" s="14">
        <v>4.8000000000000001E-2</v>
      </c>
      <c r="W184" s="38">
        <f t="shared" si="41"/>
        <v>1005.84</v>
      </c>
      <c r="AB184" s="37"/>
    </row>
    <row r="185" spans="1:29" x14ac:dyDescent="0.25">
      <c r="A185" s="7" t="s">
        <v>14</v>
      </c>
      <c r="B185" s="15" t="s">
        <v>19</v>
      </c>
      <c r="C185" s="7" t="s">
        <v>21</v>
      </c>
      <c r="D185" s="14">
        <v>0</v>
      </c>
      <c r="E185" s="14">
        <v>0</v>
      </c>
      <c r="F185" s="14">
        <v>0</v>
      </c>
      <c r="G185" s="14">
        <v>0</v>
      </c>
      <c r="H185" s="16">
        <v>36650</v>
      </c>
      <c r="I185" s="17">
        <v>8325</v>
      </c>
      <c r="J185" s="14">
        <v>4582</v>
      </c>
      <c r="K185" s="14">
        <v>3426</v>
      </c>
      <c r="L185" s="14">
        <v>3203</v>
      </c>
      <c r="M185" s="14">
        <v>2822</v>
      </c>
      <c r="N185" s="14">
        <v>3185</v>
      </c>
      <c r="O185" s="14">
        <v>4503</v>
      </c>
      <c r="P185" s="14">
        <v>2498</v>
      </c>
      <c r="Q185" s="14">
        <v>2108</v>
      </c>
      <c r="R185" s="14">
        <v>945</v>
      </c>
      <c r="S185" s="14">
        <v>622</v>
      </c>
      <c r="T185" s="18">
        <v>431</v>
      </c>
      <c r="U185" s="14">
        <v>4.8000000000000001E-2</v>
      </c>
      <c r="W185" s="38">
        <f t="shared" si="41"/>
        <v>1759.2</v>
      </c>
      <c r="AB185" s="37" t="str">
        <f t="shared" ref="AB185:AB186" si="42">B185</f>
        <v>Maintenance</v>
      </c>
      <c r="AC185" s="36">
        <f t="shared" ref="AC185:AC186" si="43">I185*U185</f>
        <v>399.6</v>
      </c>
    </row>
    <row r="186" spans="1:29" ht="13" thickBot="1" x14ac:dyDescent="0.3">
      <c r="A186" s="7" t="s">
        <v>14</v>
      </c>
      <c r="B186" s="19" t="s">
        <v>20</v>
      </c>
      <c r="C186" s="20" t="s">
        <v>21</v>
      </c>
      <c r="D186" s="21">
        <v>0</v>
      </c>
      <c r="E186" s="21">
        <v>0</v>
      </c>
      <c r="F186" s="21">
        <v>0</v>
      </c>
      <c r="G186" s="21">
        <v>0</v>
      </c>
      <c r="H186" s="22">
        <v>1388</v>
      </c>
      <c r="I186" s="23">
        <v>361</v>
      </c>
      <c r="J186" s="21">
        <v>478</v>
      </c>
      <c r="K186" s="21">
        <v>183</v>
      </c>
      <c r="L186" s="21">
        <v>122</v>
      </c>
      <c r="M186" s="21">
        <v>0</v>
      </c>
      <c r="N186" s="21">
        <v>0</v>
      </c>
      <c r="O186" s="21">
        <v>0</v>
      </c>
      <c r="P186" s="21">
        <v>0</v>
      </c>
      <c r="Q186" s="21">
        <v>244</v>
      </c>
      <c r="R186" s="21">
        <v>0</v>
      </c>
      <c r="S186" s="21">
        <v>0</v>
      </c>
      <c r="T186" s="24">
        <v>0</v>
      </c>
      <c r="U186" s="14">
        <v>4.8000000000000001E-2</v>
      </c>
      <c r="W186" s="38">
        <f t="shared" si="41"/>
        <v>66.623999999999995</v>
      </c>
      <c r="AB186" s="37" t="str">
        <f t="shared" si="42"/>
        <v>Startup</v>
      </c>
      <c r="AC186" s="36">
        <f t="shared" si="43"/>
        <v>17.327999999999999</v>
      </c>
    </row>
    <row r="187" spans="1:29" ht="13" thickBot="1" x14ac:dyDescent="0.3">
      <c r="A187" s="7" t="s">
        <v>14</v>
      </c>
      <c r="B187" s="25" t="s">
        <v>12</v>
      </c>
      <c r="C187" s="26" t="s">
        <v>21</v>
      </c>
      <c r="D187" s="27">
        <v>0</v>
      </c>
      <c r="E187" s="27">
        <v>0</v>
      </c>
      <c r="F187" s="27">
        <v>0</v>
      </c>
      <c r="G187" s="27">
        <v>0</v>
      </c>
      <c r="H187" s="28">
        <v>109727</v>
      </c>
      <c r="I187" s="29">
        <v>23735</v>
      </c>
      <c r="J187" s="27">
        <v>26869</v>
      </c>
      <c r="K187" s="27">
        <v>11463</v>
      </c>
      <c r="L187" s="27">
        <v>8914</v>
      </c>
      <c r="M187" s="27">
        <v>7072</v>
      </c>
      <c r="N187" s="27">
        <v>6074</v>
      </c>
      <c r="O187" s="27">
        <v>10654</v>
      </c>
      <c r="P187" s="27">
        <v>5279</v>
      </c>
      <c r="Q187" s="27">
        <v>4235</v>
      </c>
      <c r="R187" s="27">
        <v>1890</v>
      </c>
      <c r="S187" s="27">
        <v>2178</v>
      </c>
      <c r="T187" s="29">
        <v>1364</v>
      </c>
      <c r="U187" s="14">
        <v>4.8000000000000001E-2</v>
      </c>
      <c r="W187" s="38">
        <f>H187*U187</f>
        <v>5266.8959999999997</v>
      </c>
      <c r="X187" s="35">
        <f>W186+W185+W182</f>
        <v>2236.5120000000002</v>
      </c>
      <c r="Y187" s="35">
        <f>W180</f>
        <v>0</v>
      </c>
      <c r="Z187" s="40">
        <f>V178/X187</f>
        <v>0</v>
      </c>
      <c r="AA187" s="40">
        <f>IF((Y187=0),0,Y179/Y187)</f>
        <v>0</v>
      </c>
      <c r="AB187" s="48"/>
      <c r="AC187" s="48"/>
    </row>
    <row r="188" spans="1:29" ht="13" thickBot="1" x14ac:dyDescent="0.3">
      <c r="A188" s="9" t="s">
        <v>31</v>
      </c>
      <c r="B188" s="30" t="s">
        <v>15</v>
      </c>
      <c r="C188" s="31" t="s">
        <v>94</v>
      </c>
      <c r="D188" s="32" t="s">
        <v>47</v>
      </c>
      <c r="E188" s="53" t="s">
        <v>104</v>
      </c>
      <c r="F188" s="53" t="s">
        <v>105</v>
      </c>
      <c r="G188" s="53" t="s">
        <v>106</v>
      </c>
      <c r="H188" s="28" t="s">
        <v>12</v>
      </c>
      <c r="I188" s="54" t="s">
        <v>107</v>
      </c>
      <c r="J188" s="53" t="s">
        <v>108</v>
      </c>
      <c r="K188" s="53" t="s">
        <v>109</v>
      </c>
      <c r="L188" s="53" t="s">
        <v>110</v>
      </c>
      <c r="M188" s="53" t="s">
        <v>111</v>
      </c>
      <c r="N188" s="53" t="s">
        <v>115</v>
      </c>
      <c r="O188" s="53" t="s">
        <v>120</v>
      </c>
      <c r="P188" s="53" t="s">
        <v>121</v>
      </c>
      <c r="Q188" s="53" t="s">
        <v>164</v>
      </c>
      <c r="R188" s="53" t="s">
        <v>173</v>
      </c>
      <c r="S188" s="53" t="s">
        <v>177</v>
      </c>
      <c r="T188" s="55" t="s">
        <v>182</v>
      </c>
      <c r="U188" s="14">
        <v>0.31081308699999999</v>
      </c>
      <c r="V188" s="14" t="s">
        <v>183</v>
      </c>
      <c r="W188" s="35"/>
      <c r="X188" s="14" t="s">
        <v>37</v>
      </c>
      <c r="Y188" s="14" t="s">
        <v>38</v>
      </c>
      <c r="AB188" s="48"/>
      <c r="AC188" s="48"/>
    </row>
    <row r="189" spans="1:29" x14ac:dyDescent="0.25">
      <c r="A189" s="7" t="s">
        <v>31</v>
      </c>
      <c r="B189" s="8" t="s">
        <v>17</v>
      </c>
      <c r="C189" s="9" t="s">
        <v>18</v>
      </c>
      <c r="D189" s="10">
        <v>0</v>
      </c>
      <c r="E189" s="10">
        <v>241</v>
      </c>
      <c r="F189" s="10">
        <v>498</v>
      </c>
      <c r="G189" s="10">
        <v>948</v>
      </c>
      <c r="H189" s="11">
        <v>3209</v>
      </c>
      <c r="I189" s="12">
        <v>1314</v>
      </c>
      <c r="J189" s="10">
        <v>43</v>
      </c>
      <c r="K189" s="10">
        <v>0</v>
      </c>
      <c r="L189" s="10">
        <v>0</v>
      </c>
      <c r="M189" s="10">
        <v>0</v>
      </c>
      <c r="N189" s="10">
        <v>0</v>
      </c>
      <c r="O189" s="10">
        <v>48</v>
      </c>
      <c r="P189" s="10">
        <v>44</v>
      </c>
      <c r="Q189" s="10">
        <v>73</v>
      </c>
      <c r="R189" s="10">
        <v>0</v>
      </c>
      <c r="S189" s="10">
        <v>0</v>
      </c>
      <c r="T189" s="13">
        <v>0</v>
      </c>
      <c r="U189" s="14">
        <v>0.31081308699999999</v>
      </c>
      <c r="V189" s="42">
        <f>SUM(I189:T189)/H189</f>
        <v>0.47429105640386415</v>
      </c>
      <c r="W189" s="39">
        <f>SUM(I189:T189)*U189</f>
        <v>473.05751841399996</v>
      </c>
    </row>
    <row r="190" spans="1:29" x14ac:dyDescent="0.25">
      <c r="A190" s="7" t="s">
        <v>31</v>
      </c>
      <c r="B190" s="15" t="s">
        <v>66</v>
      </c>
      <c r="C190" s="7" t="s">
        <v>18</v>
      </c>
      <c r="D190" s="14">
        <v>0</v>
      </c>
      <c r="E190" s="14">
        <v>0</v>
      </c>
      <c r="F190" s="14">
        <v>0</v>
      </c>
      <c r="G190" s="14">
        <v>0</v>
      </c>
      <c r="H190" s="16">
        <v>567</v>
      </c>
      <c r="I190" s="17">
        <v>0</v>
      </c>
      <c r="J190" s="14">
        <v>279</v>
      </c>
      <c r="K190" s="14">
        <v>288</v>
      </c>
      <c r="L190" s="14">
        <v>0</v>
      </c>
      <c r="M190" s="14">
        <v>0</v>
      </c>
      <c r="N190" s="14">
        <v>0</v>
      </c>
      <c r="O190" s="14">
        <v>0</v>
      </c>
      <c r="P190" s="14">
        <v>0</v>
      </c>
      <c r="Q190" s="14">
        <v>0</v>
      </c>
      <c r="R190" s="14">
        <v>0</v>
      </c>
      <c r="S190" s="14">
        <v>0</v>
      </c>
      <c r="T190" s="18">
        <v>0</v>
      </c>
      <c r="U190" s="14">
        <v>0.31081308699999999</v>
      </c>
      <c r="V190" s="44"/>
      <c r="W190" s="39">
        <f t="shared" ref="W190:W196" si="44">SUM(I190:T190)*U190</f>
        <v>176.23102032899999</v>
      </c>
    </row>
    <row r="191" spans="1:29" x14ac:dyDescent="0.25">
      <c r="A191" s="7" t="s">
        <v>31</v>
      </c>
      <c r="B191" s="15" t="s">
        <v>13</v>
      </c>
      <c r="C191" s="7" t="s">
        <v>18</v>
      </c>
      <c r="D191" s="14">
        <v>0</v>
      </c>
      <c r="E191" s="14">
        <v>0</v>
      </c>
      <c r="F191" s="14">
        <v>62</v>
      </c>
      <c r="G191" s="14">
        <v>273</v>
      </c>
      <c r="H191" s="16">
        <v>6397</v>
      </c>
      <c r="I191" s="17">
        <v>1538</v>
      </c>
      <c r="J191" s="14">
        <v>951</v>
      </c>
      <c r="K191" s="14">
        <v>3544</v>
      </c>
      <c r="L191" s="14">
        <v>0</v>
      </c>
      <c r="M191" s="14">
        <v>0</v>
      </c>
      <c r="N191" s="14">
        <v>0</v>
      </c>
      <c r="O191" s="14">
        <v>0</v>
      </c>
      <c r="P191" s="14">
        <v>0</v>
      </c>
      <c r="Q191" s="14">
        <v>0</v>
      </c>
      <c r="R191" s="14">
        <v>0</v>
      </c>
      <c r="S191" s="14">
        <v>0</v>
      </c>
      <c r="T191" s="18">
        <v>29</v>
      </c>
      <c r="U191" s="14">
        <v>0.31081308699999999</v>
      </c>
      <c r="V191" s="41"/>
      <c r="W191" s="39">
        <f t="shared" si="44"/>
        <v>1884.1489333939999</v>
      </c>
    </row>
    <row r="192" spans="1:29" x14ac:dyDescent="0.25">
      <c r="A192" s="7" t="s">
        <v>31</v>
      </c>
      <c r="B192" s="15" t="s">
        <v>67</v>
      </c>
      <c r="C192" s="7" t="s">
        <v>18</v>
      </c>
      <c r="D192" s="14">
        <v>0</v>
      </c>
      <c r="E192" s="14">
        <v>0</v>
      </c>
      <c r="F192" s="14">
        <v>0</v>
      </c>
      <c r="G192" s="14">
        <v>0</v>
      </c>
      <c r="H192" s="16">
        <v>0</v>
      </c>
      <c r="I192" s="17">
        <v>0</v>
      </c>
      <c r="J192" s="14">
        <v>0</v>
      </c>
      <c r="K192" s="14">
        <v>0</v>
      </c>
      <c r="L192" s="14">
        <v>0</v>
      </c>
      <c r="M192" s="14">
        <v>0</v>
      </c>
      <c r="N192" s="14">
        <v>0</v>
      </c>
      <c r="O192" s="14">
        <v>0</v>
      </c>
      <c r="P192" s="14">
        <v>0</v>
      </c>
      <c r="Q192" s="14">
        <v>0</v>
      </c>
      <c r="R192" s="14">
        <v>0</v>
      </c>
      <c r="S192" s="14">
        <v>0</v>
      </c>
      <c r="T192" s="18">
        <v>0</v>
      </c>
      <c r="U192" s="14">
        <v>0.31081308699999999</v>
      </c>
      <c r="V192" s="41"/>
      <c r="W192" s="39">
        <f t="shared" si="44"/>
        <v>0</v>
      </c>
    </row>
    <row r="193" spans="1:29" x14ac:dyDescent="0.25">
      <c r="A193" s="7" t="s">
        <v>31</v>
      </c>
      <c r="B193" s="15" t="s">
        <v>73</v>
      </c>
      <c r="C193" s="7" t="s">
        <v>18</v>
      </c>
      <c r="D193" s="14">
        <v>0</v>
      </c>
      <c r="E193" s="14">
        <v>0</v>
      </c>
      <c r="F193" s="14">
        <v>0</v>
      </c>
      <c r="G193" s="14">
        <v>63</v>
      </c>
      <c r="H193" s="16">
        <v>270</v>
      </c>
      <c r="I193" s="17">
        <v>48</v>
      </c>
      <c r="J193" s="14">
        <v>150</v>
      </c>
      <c r="K193" s="14">
        <v>9</v>
      </c>
      <c r="L193" s="14">
        <v>0</v>
      </c>
      <c r="M193" s="14">
        <v>0</v>
      </c>
      <c r="N193" s="14">
        <v>0</v>
      </c>
      <c r="O193" s="14">
        <v>0</v>
      </c>
      <c r="P193" s="14">
        <v>0</v>
      </c>
      <c r="Q193" s="14">
        <v>0</v>
      </c>
      <c r="R193" s="14">
        <v>0</v>
      </c>
      <c r="S193" s="14">
        <v>0</v>
      </c>
      <c r="T193" s="18">
        <v>0</v>
      </c>
      <c r="U193" s="14">
        <v>0.31081308699999999</v>
      </c>
      <c r="V193" s="41"/>
      <c r="W193" s="39">
        <f t="shared" si="44"/>
        <v>64.338309009</v>
      </c>
    </row>
    <row r="194" spans="1:29" x14ac:dyDescent="0.25">
      <c r="A194" s="7" t="s">
        <v>31</v>
      </c>
      <c r="B194" s="15" t="s">
        <v>19</v>
      </c>
      <c r="C194" s="7" t="s">
        <v>18</v>
      </c>
      <c r="D194" s="14">
        <v>124</v>
      </c>
      <c r="E194" s="14">
        <v>0</v>
      </c>
      <c r="F194" s="14">
        <v>182</v>
      </c>
      <c r="G194" s="14">
        <v>1243</v>
      </c>
      <c r="H194" s="16">
        <v>2574</v>
      </c>
      <c r="I194" s="17">
        <v>73</v>
      </c>
      <c r="J194" s="14">
        <v>56</v>
      </c>
      <c r="K194" s="14">
        <v>861</v>
      </c>
      <c r="L194" s="14">
        <v>0</v>
      </c>
      <c r="M194" s="14">
        <v>0</v>
      </c>
      <c r="N194" s="14">
        <v>0</v>
      </c>
      <c r="O194" s="14">
        <v>0</v>
      </c>
      <c r="P194" s="14">
        <v>0</v>
      </c>
      <c r="Q194" s="14">
        <v>0</v>
      </c>
      <c r="R194" s="14">
        <v>0</v>
      </c>
      <c r="S194" s="14">
        <v>0</v>
      </c>
      <c r="T194" s="18">
        <v>35</v>
      </c>
      <c r="U194" s="14">
        <v>0.31081308699999999</v>
      </c>
      <c r="V194" s="41"/>
      <c r="W194" s="39">
        <f t="shared" si="44"/>
        <v>318.58341417499997</v>
      </c>
    </row>
    <row r="195" spans="1:29" ht="13" thickBot="1" x14ac:dyDescent="0.3">
      <c r="A195" s="7" t="s">
        <v>31</v>
      </c>
      <c r="B195" s="19" t="s">
        <v>20</v>
      </c>
      <c r="C195" s="20" t="s">
        <v>18</v>
      </c>
      <c r="D195" s="21">
        <v>0</v>
      </c>
      <c r="E195" s="21">
        <v>0</v>
      </c>
      <c r="F195" s="21">
        <v>0</v>
      </c>
      <c r="G195" s="21">
        <v>0</v>
      </c>
      <c r="H195" s="22">
        <v>48</v>
      </c>
      <c r="I195" s="23">
        <v>0</v>
      </c>
      <c r="J195" s="21">
        <v>0</v>
      </c>
      <c r="K195" s="21">
        <v>48</v>
      </c>
      <c r="L195" s="21">
        <v>0</v>
      </c>
      <c r="M195" s="21">
        <v>0</v>
      </c>
      <c r="N195" s="21">
        <v>0</v>
      </c>
      <c r="O195" s="21">
        <v>0</v>
      </c>
      <c r="P195" s="21">
        <v>0</v>
      </c>
      <c r="Q195" s="21">
        <v>0</v>
      </c>
      <c r="R195" s="21">
        <v>0</v>
      </c>
      <c r="S195" s="21">
        <v>0</v>
      </c>
      <c r="T195" s="24">
        <v>0</v>
      </c>
      <c r="U195" s="14">
        <v>0.31081308699999999</v>
      </c>
      <c r="V195" s="44"/>
      <c r="W195" s="39">
        <f t="shared" si="44"/>
        <v>14.919028175999999</v>
      </c>
    </row>
    <row r="196" spans="1:29" ht="13" thickBot="1" x14ac:dyDescent="0.3">
      <c r="A196" s="7" t="s">
        <v>31</v>
      </c>
      <c r="B196" s="25" t="s">
        <v>12</v>
      </c>
      <c r="C196" s="26" t="s">
        <v>18</v>
      </c>
      <c r="D196" s="27">
        <v>124</v>
      </c>
      <c r="E196" s="27">
        <v>241</v>
      </c>
      <c r="F196" s="27">
        <v>742</v>
      </c>
      <c r="G196" s="27">
        <v>2527</v>
      </c>
      <c r="H196" s="28">
        <v>13065</v>
      </c>
      <c r="I196" s="29">
        <v>2973</v>
      </c>
      <c r="J196" s="27">
        <v>1479</v>
      </c>
      <c r="K196" s="27">
        <v>4750</v>
      </c>
      <c r="L196" s="27">
        <v>0</v>
      </c>
      <c r="M196" s="27">
        <v>0</v>
      </c>
      <c r="N196" s="27">
        <v>0</v>
      </c>
      <c r="O196" s="27">
        <v>48</v>
      </c>
      <c r="P196" s="27">
        <v>44</v>
      </c>
      <c r="Q196" s="27">
        <v>73</v>
      </c>
      <c r="R196" s="27">
        <v>0</v>
      </c>
      <c r="S196" s="27">
        <v>0</v>
      </c>
      <c r="T196" s="29">
        <v>64</v>
      </c>
      <c r="U196" s="14">
        <v>0.31081308699999999</v>
      </c>
      <c r="V196" s="43">
        <f>SUM(I191:T194)/SUM(H191:H194)</f>
        <v>0.78930851639432964</v>
      </c>
      <c r="W196" s="39">
        <f t="shared" si="44"/>
        <v>2931.278223497</v>
      </c>
      <c r="X196" s="35">
        <f>W194+W191</f>
        <v>2202.732347569</v>
      </c>
      <c r="Y196" s="35">
        <f>W189</f>
        <v>473.05751841399996</v>
      </c>
    </row>
    <row r="197" spans="1:29" x14ac:dyDescent="0.25">
      <c r="A197" s="7" t="s">
        <v>31</v>
      </c>
      <c r="B197" s="8" t="s">
        <v>17</v>
      </c>
      <c r="C197" s="9" t="s">
        <v>21</v>
      </c>
      <c r="D197" s="10">
        <v>0</v>
      </c>
      <c r="E197" s="10">
        <v>0</v>
      </c>
      <c r="F197" s="10">
        <v>0</v>
      </c>
      <c r="G197" s="10">
        <v>0</v>
      </c>
      <c r="H197" s="11">
        <v>122</v>
      </c>
      <c r="I197" s="12">
        <v>122</v>
      </c>
      <c r="J197" s="10">
        <v>0</v>
      </c>
      <c r="K197" s="10">
        <v>0</v>
      </c>
      <c r="L197" s="10">
        <v>0</v>
      </c>
      <c r="M197" s="10">
        <v>0</v>
      </c>
      <c r="N197" s="10">
        <v>0</v>
      </c>
      <c r="O197" s="10">
        <v>0</v>
      </c>
      <c r="P197" s="10">
        <v>0</v>
      </c>
      <c r="Q197" s="10">
        <v>0</v>
      </c>
      <c r="R197" s="10">
        <v>0</v>
      </c>
      <c r="S197" s="10">
        <v>0</v>
      </c>
      <c r="T197" s="13">
        <v>0</v>
      </c>
      <c r="U197" s="14">
        <v>0.31081308699999999</v>
      </c>
      <c r="W197" s="38">
        <f>H197*U197</f>
        <v>37.919196614000001</v>
      </c>
      <c r="AB197" s="37" t="str">
        <f t="shared" ref="AB197:AB203" si="45">B197</f>
        <v>Parts-OTC</v>
      </c>
      <c r="AC197" s="36">
        <f t="shared" ref="AC197:AC203" si="46">I197*U197</f>
        <v>37.919196614000001</v>
      </c>
    </row>
    <row r="198" spans="1:29" x14ac:dyDescent="0.25">
      <c r="A198" s="7" t="s">
        <v>31</v>
      </c>
      <c r="B198" s="15" t="s">
        <v>66</v>
      </c>
      <c r="C198" s="7" t="s">
        <v>21</v>
      </c>
      <c r="D198" s="14">
        <v>0</v>
      </c>
      <c r="E198" s="14">
        <v>0</v>
      </c>
      <c r="F198" s="14">
        <v>0</v>
      </c>
      <c r="G198" s="14">
        <v>0</v>
      </c>
      <c r="H198" s="16">
        <v>551</v>
      </c>
      <c r="I198" s="17">
        <v>365</v>
      </c>
      <c r="J198" s="14">
        <v>51</v>
      </c>
      <c r="K198" s="14">
        <v>0</v>
      </c>
      <c r="L198" s="14">
        <v>0</v>
      </c>
      <c r="M198" s="14">
        <v>135</v>
      </c>
      <c r="N198" s="14">
        <v>0</v>
      </c>
      <c r="O198" s="14">
        <v>0</v>
      </c>
      <c r="P198" s="14">
        <v>0</v>
      </c>
      <c r="Q198" s="14">
        <v>0</v>
      </c>
      <c r="R198" s="14">
        <v>0</v>
      </c>
      <c r="S198" s="14">
        <v>0</v>
      </c>
      <c r="T198" s="18">
        <v>0</v>
      </c>
      <c r="U198" s="14">
        <v>0.31081308699999999</v>
      </c>
      <c r="W198" s="38">
        <f t="shared" si="35"/>
        <v>171.25801093699999</v>
      </c>
      <c r="AB198" s="37" t="str">
        <f t="shared" si="45"/>
        <v>CTKS</v>
      </c>
      <c r="AC198" s="36">
        <f t="shared" si="46"/>
        <v>113.446776755</v>
      </c>
    </row>
    <row r="199" spans="1:29" x14ac:dyDescent="0.25">
      <c r="A199" s="7" t="s">
        <v>31</v>
      </c>
      <c r="B199" s="15" t="s">
        <v>13</v>
      </c>
      <c r="C199" s="7" t="s">
        <v>21</v>
      </c>
      <c r="D199" s="14">
        <v>0</v>
      </c>
      <c r="E199" s="14">
        <v>0</v>
      </c>
      <c r="F199" s="14">
        <v>0</v>
      </c>
      <c r="G199" s="14">
        <v>0</v>
      </c>
      <c r="H199" s="16">
        <v>3253</v>
      </c>
      <c r="I199" s="17">
        <v>2269</v>
      </c>
      <c r="J199" s="14">
        <v>948</v>
      </c>
      <c r="K199" s="14">
        <v>28</v>
      </c>
      <c r="L199" s="14">
        <v>0</v>
      </c>
      <c r="M199" s="14">
        <v>0</v>
      </c>
      <c r="N199" s="14">
        <v>4</v>
      </c>
      <c r="O199" s="14">
        <v>0</v>
      </c>
      <c r="P199" s="14">
        <v>0</v>
      </c>
      <c r="Q199" s="14">
        <v>0</v>
      </c>
      <c r="R199" s="14">
        <v>4</v>
      </c>
      <c r="S199" s="14">
        <v>0</v>
      </c>
      <c r="T199" s="18">
        <v>0</v>
      </c>
      <c r="U199" s="14">
        <v>0.31081308699999999</v>
      </c>
      <c r="W199" s="38">
        <f t="shared" si="35"/>
        <v>1011.074972011</v>
      </c>
      <c r="AB199" s="37" t="str">
        <f t="shared" si="45"/>
        <v>Repair</v>
      </c>
      <c r="AC199" s="36">
        <f t="shared" si="46"/>
        <v>705.234894403</v>
      </c>
    </row>
    <row r="200" spans="1:29" x14ac:dyDescent="0.25">
      <c r="A200" s="7" t="s">
        <v>31</v>
      </c>
      <c r="B200" s="15" t="s">
        <v>67</v>
      </c>
      <c r="C200" s="7" t="s">
        <v>21</v>
      </c>
      <c r="D200" s="14">
        <v>0</v>
      </c>
      <c r="E200" s="14">
        <v>0</v>
      </c>
      <c r="F200" s="14">
        <v>0</v>
      </c>
      <c r="G200" s="14">
        <v>0</v>
      </c>
      <c r="H200" s="16">
        <v>1499</v>
      </c>
      <c r="I200" s="17">
        <v>1404</v>
      </c>
      <c r="J200" s="14">
        <v>10</v>
      </c>
      <c r="K200" s="14">
        <v>10</v>
      </c>
      <c r="L200" s="14">
        <v>10</v>
      </c>
      <c r="M200" s="14">
        <v>10</v>
      </c>
      <c r="N200" s="14">
        <v>10</v>
      </c>
      <c r="O200" s="14">
        <v>10</v>
      </c>
      <c r="P200" s="14">
        <v>10</v>
      </c>
      <c r="Q200" s="14">
        <v>10</v>
      </c>
      <c r="R200" s="14">
        <v>5</v>
      </c>
      <c r="S200" s="14">
        <v>5</v>
      </c>
      <c r="T200" s="18">
        <v>5</v>
      </c>
      <c r="U200" s="14">
        <v>0.31081308699999999</v>
      </c>
      <c r="W200" s="38">
        <f t="shared" si="35"/>
        <v>465.90881741300001</v>
      </c>
      <c r="AB200" s="37" t="str">
        <f t="shared" si="45"/>
        <v>Rental</v>
      </c>
      <c r="AC200" s="36">
        <f t="shared" si="46"/>
        <v>436.38157414799997</v>
      </c>
    </row>
    <row r="201" spans="1:29" x14ac:dyDescent="0.25">
      <c r="A201" s="7" t="s">
        <v>31</v>
      </c>
      <c r="B201" s="15" t="s">
        <v>73</v>
      </c>
      <c r="C201" s="7" t="s">
        <v>21</v>
      </c>
      <c r="D201" s="14">
        <v>0</v>
      </c>
      <c r="E201" s="14">
        <v>0</v>
      </c>
      <c r="F201" s="14">
        <v>0</v>
      </c>
      <c r="G201" s="14">
        <v>0</v>
      </c>
      <c r="H201" s="16">
        <v>29</v>
      </c>
      <c r="I201" s="17">
        <v>29</v>
      </c>
      <c r="J201" s="14">
        <v>0</v>
      </c>
      <c r="K201" s="14">
        <v>0</v>
      </c>
      <c r="L201" s="14">
        <v>0</v>
      </c>
      <c r="M201" s="14">
        <v>0</v>
      </c>
      <c r="N201" s="14">
        <v>0</v>
      </c>
      <c r="O201" s="14">
        <v>0</v>
      </c>
      <c r="P201" s="14">
        <v>0</v>
      </c>
      <c r="Q201" s="14">
        <v>0</v>
      </c>
      <c r="R201" s="14">
        <v>0</v>
      </c>
      <c r="S201" s="14">
        <v>0</v>
      </c>
      <c r="T201" s="18">
        <v>0</v>
      </c>
      <c r="U201" s="14">
        <v>0.31081308699999999</v>
      </c>
      <c r="W201" s="38">
        <f t="shared" si="35"/>
        <v>9.0135795229999989</v>
      </c>
      <c r="AB201" s="37"/>
    </row>
    <row r="202" spans="1:29" x14ac:dyDescent="0.25">
      <c r="A202" s="7" t="s">
        <v>31</v>
      </c>
      <c r="B202" s="15" t="s">
        <v>19</v>
      </c>
      <c r="C202" s="7" t="s">
        <v>21</v>
      </c>
      <c r="D202" s="14">
        <v>0</v>
      </c>
      <c r="E202" s="14">
        <v>0</v>
      </c>
      <c r="F202" s="14">
        <v>0</v>
      </c>
      <c r="G202" s="14">
        <v>0</v>
      </c>
      <c r="H202" s="16">
        <v>2739</v>
      </c>
      <c r="I202" s="17">
        <v>447</v>
      </c>
      <c r="J202" s="14">
        <v>475</v>
      </c>
      <c r="K202" s="14">
        <v>220</v>
      </c>
      <c r="L202" s="14">
        <v>429</v>
      </c>
      <c r="M202" s="14">
        <v>171</v>
      </c>
      <c r="N202" s="14">
        <v>311</v>
      </c>
      <c r="O202" s="14">
        <v>304</v>
      </c>
      <c r="P202" s="14">
        <v>146</v>
      </c>
      <c r="Q202" s="14">
        <v>207</v>
      </c>
      <c r="R202" s="14">
        <v>29</v>
      </c>
      <c r="S202" s="14">
        <v>0</v>
      </c>
      <c r="T202" s="18">
        <v>0</v>
      </c>
      <c r="U202" s="14">
        <v>0.31081308699999999</v>
      </c>
      <c r="W202" s="38">
        <f t="shared" si="35"/>
        <v>851.31704529299998</v>
      </c>
      <c r="AB202" s="37" t="str">
        <f t="shared" si="45"/>
        <v>Maintenance</v>
      </c>
      <c r="AC202" s="36">
        <f t="shared" si="46"/>
        <v>138.933449889</v>
      </c>
    </row>
    <row r="203" spans="1:29" ht="13" thickBot="1" x14ac:dyDescent="0.3">
      <c r="A203" s="7" t="s">
        <v>31</v>
      </c>
      <c r="B203" s="19" t="s">
        <v>20</v>
      </c>
      <c r="C203" s="20" t="s">
        <v>21</v>
      </c>
      <c r="D203" s="21">
        <v>0</v>
      </c>
      <c r="E203" s="21">
        <v>0</v>
      </c>
      <c r="F203" s="21">
        <v>0</v>
      </c>
      <c r="G203" s="21">
        <v>0</v>
      </c>
      <c r="H203" s="22">
        <v>2116</v>
      </c>
      <c r="I203" s="23">
        <v>1659</v>
      </c>
      <c r="J203" s="21">
        <v>250</v>
      </c>
      <c r="K203" s="21">
        <v>0</v>
      </c>
      <c r="L203" s="21">
        <v>115</v>
      </c>
      <c r="M203" s="21">
        <v>20</v>
      </c>
      <c r="N203" s="21">
        <v>0</v>
      </c>
      <c r="O203" s="21">
        <v>0</v>
      </c>
      <c r="P203" s="21">
        <v>0</v>
      </c>
      <c r="Q203" s="21">
        <v>2</v>
      </c>
      <c r="R203" s="21">
        <v>60</v>
      </c>
      <c r="S203" s="21">
        <v>10</v>
      </c>
      <c r="T203" s="24">
        <v>0</v>
      </c>
      <c r="U203" s="14">
        <v>0.31081308699999999</v>
      </c>
      <c r="W203" s="38">
        <f t="shared" si="35"/>
        <v>657.68049209200001</v>
      </c>
      <c r="AB203" s="37" t="str">
        <f t="shared" si="45"/>
        <v>Startup</v>
      </c>
      <c r="AC203" s="36">
        <f t="shared" si="46"/>
        <v>515.63891133300001</v>
      </c>
    </row>
    <row r="204" spans="1:29" ht="13" thickBot="1" x14ac:dyDescent="0.3">
      <c r="A204" s="20" t="s">
        <v>31</v>
      </c>
      <c r="B204" s="25" t="s">
        <v>12</v>
      </c>
      <c r="C204" s="26" t="s">
        <v>21</v>
      </c>
      <c r="D204" s="27">
        <v>0</v>
      </c>
      <c r="E204" s="27">
        <v>0</v>
      </c>
      <c r="F204" s="27">
        <v>0</v>
      </c>
      <c r="G204" s="27">
        <v>0</v>
      </c>
      <c r="H204" s="28">
        <v>10309</v>
      </c>
      <c r="I204" s="29">
        <v>6295</v>
      </c>
      <c r="J204" s="27">
        <v>1734</v>
      </c>
      <c r="K204" s="27">
        <v>258</v>
      </c>
      <c r="L204" s="27">
        <v>554</v>
      </c>
      <c r="M204" s="27">
        <v>336</v>
      </c>
      <c r="N204" s="27">
        <v>325</v>
      </c>
      <c r="O204" s="27">
        <v>314</v>
      </c>
      <c r="P204" s="27">
        <v>156</v>
      </c>
      <c r="Q204" s="27">
        <v>219</v>
      </c>
      <c r="R204" s="27">
        <v>98</v>
      </c>
      <c r="S204" s="27">
        <v>15</v>
      </c>
      <c r="T204" s="29">
        <v>5</v>
      </c>
      <c r="U204" s="14">
        <v>0.31081308699999999</v>
      </c>
      <c r="W204" s="38">
        <f>H204*U204</f>
        <v>3204.1721138829998</v>
      </c>
      <c r="X204" s="35">
        <f>W203+W202+W199</f>
        <v>2520.072509396</v>
      </c>
      <c r="Y204" s="35">
        <f>W197</f>
        <v>37.919196614000001</v>
      </c>
      <c r="Z204" s="40">
        <f>V195/X204</f>
        <v>0</v>
      </c>
      <c r="AA204" s="40">
        <f>IF((Y204=0),0,Y196/Y204)</f>
        <v>12.475409836065573</v>
      </c>
      <c r="AB204" s="48"/>
      <c r="AC204" s="48"/>
    </row>
    <row r="205" spans="1:29" ht="13" thickBot="1" x14ac:dyDescent="0.3">
      <c r="A205" s="9" t="s">
        <v>10</v>
      </c>
      <c r="B205" s="30" t="s">
        <v>15</v>
      </c>
      <c r="C205" s="31" t="s">
        <v>94</v>
      </c>
      <c r="D205" s="32" t="s">
        <v>47</v>
      </c>
      <c r="E205" s="53" t="s">
        <v>104</v>
      </c>
      <c r="F205" s="53" t="s">
        <v>105</v>
      </c>
      <c r="G205" s="53" t="s">
        <v>106</v>
      </c>
      <c r="H205" s="28" t="s">
        <v>12</v>
      </c>
      <c r="I205" s="54" t="s">
        <v>107</v>
      </c>
      <c r="J205" s="53" t="s">
        <v>108</v>
      </c>
      <c r="K205" s="53" t="s">
        <v>109</v>
      </c>
      <c r="L205" s="53" t="s">
        <v>110</v>
      </c>
      <c r="M205" s="53" t="s">
        <v>111</v>
      </c>
      <c r="N205" s="53" t="s">
        <v>115</v>
      </c>
      <c r="O205" s="53" t="s">
        <v>120</v>
      </c>
      <c r="P205" s="53" t="s">
        <v>121</v>
      </c>
      <c r="Q205" s="53" t="s">
        <v>164</v>
      </c>
      <c r="R205" s="53" t="s">
        <v>173</v>
      </c>
      <c r="S205" s="53" t="s">
        <v>177</v>
      </c>
      <c r="T205" s="55" t="s">
        <v>182</v>
      </c>
      <c r="U205" s="14">
        <v>0.22994439799999999</v>
      </c>
      <c r="V205" s="14" t="s">
        <v>183</v>
      </c>
      <c r="W205" s="35"/>
      <c r="X205" s="14" t="s">
        <v>37</v>
      </c>
      <c r="Y205" s="14" t="s">
        <v>38</v>
      </c>
      <c r="AB205" s="48"/>
      <c r="AC205" s="48"/>
    </row>
    <row r="206" spans="1:29" x14ac:dyDescent="0.25">
      <c r="A206" s="7" t="s">
        <v>10</v>
      </c>
      <c r="B206" s="8" t="s">
        <v>17</v>
      </c>
      <c r="C206" s="9" t="s">
        <v>18</v>
      </c>
      <c r="D206" s="10">
        <v>0</v>
      </c>
      <c r="E206" s="10">
        <v>0</v>
      </c>
      <c r="F206" s="10">
        <v>0</v>
      </c>
      <c r="G206" s="10">
        <v>0</v>
      </c>
      <c r="H206" s="11">
        <v>1491</v>
      </c>
      <c r="I206" s="12">
        <v>1222</v>
      </c>
      <c r="J206" s="10">
        <v>269</v>
      </c>
      <c r="K206" s="10">
        <v>0</v>
      </c>
      <c r="L206" s="10">
        <v>0</v>
      </c>
      <c r="M206" s="10">
        <v>0</v>
      </c>
      <c r="N206" s="10">
        <v>0</v>
      </c>
      <c r="O206" s="10">
        <v>0</v>
      </c>
      <c r="P206" s="10">
        <v>0</v>
      </c>
      <c r="Q206" s="10">
        <v>0</v>
      </c>
      <c r="R206" s="10">
        <v>0</v>
      </c>
      <c r="S206" s="10">
        <v>0</v>
      </c>
      <c r="T206" s="13">
        <v>0</v>
      </c>
      <c r="U206" s="14">
        <v>0.22994439799999999</v>
      </c>
      <c r="V206" s="42">
        <f>SUM(I206:T206)/H206</f>
        <v>1</v>
      </c>
      <c r="W206" s="39">
        <f>SUM(I206:T206)*U206</f>
        <v>342.84709741799998</v>
      </c>
    </row>
    <row r="207" spans="1:29" x14ac:dyDescent="0.25">
      <c r="A207" s="7" t="s">
        <v>10</v>
      </c>
      <c r="B207" s="15" t="s">
        <v>66</v>
      </c>
      <c r="C207" s="7" t="s">
        <v>18</v>
      </c>
      <c r="D207" s="14">
        <v>0</v>
      </c>
      <c r="E207" s="14">
        <v>0</v>
      </c>
      <c r="F207" s="14">
        <v>0</v>
      </c>
      <c r="G207" s="14">
        <v>0</v>
      </c>
      <c r="H207" s="16">
        <v>0</v>
      </c>
      <c r="I207" s="17">
        <v>0</v>
      </c>
      <c r="J207" s="14">
        <v>0</v>
      </c>
      <c r="K207" s="14">
        <v>0</v>
      </c>
      <c r="L207" s="14">
        <v>0</v>
      </c>
      <c r="M207" s="14">
        <v>0</v>
      </c>
      <c r="N207" s="14">
        <v>0</v>
      </c>
      <c r="O207" s="14">
        <v>0</v>
      </c>
      <c r="P207" s="14">
        <v>0</v>
      </c>
      <c r="Q207" s="14">
        <v>0</v>
      </c>
      <c r="R207" s="14">
        <v>0</v>
      </c>
      <c r="S207" s="14">
        <v>0</v>
      </c>
      <c r="T207" s="18">
        <v>0</v>
      </c>
      <c r="U207" s="14">
        <v>0.22994439799999999</v>
      </c>
      <c r="V207" s="44"/>
      <c r="W207" s="39">
        <f t="shared" ref="W207:W213" si="47">SUM(I207:T207)*U207</f>
        <v>0</v>
      </c>
    </row>
    <row r="208" spans="1:29" x14ac:dyDescent="0.25">
      <c r="A208" s="7" t="s">
        <v>10</v>
      </c>
      <c r="B208" s="15" t="s">
        <v>13</v>
      </c>
      <c r="C208" s="7" t="s">
        <v>18</v>
      </c>
      <c r="D208" s="14">
        <v>0</v>
      </c>
      <c r="E208" s="14">
        <v>0</v>
      </c>
      <c r="F208" s="14">
        <v>0</v>
      </c>
      <c r="G208" s="14">
        <v>238</v>
      </c>
      <c r="H208" s="16">
        <v>10978</v>
      </c>
      <c r="I208" s="17">
        <v>4014</v>
      </c>
      <c r="J208" s="14">
        <v>6593</v>
      </c>
      <c r="K208" s="14">
        <v>133</v>
      </c>
      <c r="L208" s="14">
        <v>0</v>
      </c>
      <c r="M208" s="14">
        <v>0</v>
      </c>
      <c r="N208" s="14">
        <v>0</v>
      </c>
      <c r="O208" s="14">
        <v>0</v>
      </c>
      <c r="P208" s="14">
        <v>0</v>
      </c>
      <c r="Q208" s="14">
        <v>0</v>
      </c>
      <c r="R208" s="14">
        <v>0</v>
      </c>
      <c r="S208" s="14">
        <v>0</v>
      </c>
      <c r="T208" s="18">
        <v>0</v>
      </c>
      <c r="U208" s="14">
        <v>0.22994439799999999</v>
      </c>
      <c r="V208" s="41"/>
      <c r="W208" s="39">
        <f t="shared" si="47"/>
        <v>2469.6028345199998</v>
      </c>
    </row>
    <row r="209" spans="1:29" x14ac:dyDescent="0.25">
      <c r="A209" s="7" t="s">
        <v>10</v>
      </c>
      <c r="B209" s="15" t="s">
        <v>67</v>
      </c>
      <c r="C209" s="7" t="s">
        <v>18</v>
      </c>
      <c r="D209" s="14">
        <v>0</v>
      </c>
      <c r="E209" s="14">
        <v>0</v>
      </c>
      <c r="F209" s="14">
        <v>1849</v>
      </c>
      <c r="G209" s="14">
        <v>1495</v>
      </c>
      <c r="H209" s="16">
        <v>18177</v>
      </c>
      <c r="I209" s="17">
        <v>1028</v>
      </c>
      <c r="J209" s="14">
        <v>1885</v>
      </c>
      <c r="K209" s="14">
        <v>3262</v>
      </c>
      <c r="L209" s="14">
        <v>1489</v>
      </c>
      <c r="M209" s="14">
        <v>3773</v>
      </c>
      <c r="N209" s="14">
        <v>91</v>
      </c>
      <c r="O209" s="14">
        <v>88</v>
      </c>
      <c r="P209" s="14">
        <v>44</v>
      </c>
      <c r="Q209" s="14">
        <v>725</v>
      </c>
      <c r="R209" s="14">
        <v>0</v>
      </c>
      <c r="S209" s="14">
        <v>2448</v>
      </c>
      <c r="T209" s="18">
        <v>0</v>
      </c>
      <c r="U209" s="14">
        <v>0.22994439799999999</v>
      </c>
      <c r="V209" s="41"/>
      <c r="W209" s="39">
        <f t="shared" si="47"/>
        <v>3410.7652555340001</v>
      </c>
    </row>
    <row r="210" spans="1:29" x14ac:dyDescent="0.25">
      <c r="A210" s="7" t="s">
        <v>10</v>
      </c>
      <c r="B210" s="15" t="s">
        <v>73</v>
      </c>
      <c r="C210" s="7" t="s">
        <v>18</v>
      </c>
      <c r="D210" s="14">
        <v>0</v>
      </c>
      <c r="E210" s="14">
        <v>0</v>
      </c>
      <c r="F210" s="14">
        <v>6</v>
      </c>
      <c r="G210" s="14">
        <v>44</v>
      </c>
      <c r="H210" s="16">
        <v>24671</v>
      </c>
      <c r="I210" s="17">
        <v>12860</v>
      </c>
      <c r="J210" s="14">
        <v>11436</v>
      </c>
      <c r="K210" s="14">
        <v>264</v>
      </c>
      <c r="L210" s="14">
        <v>0</v>
      </c>
      <c r="M210" s="14">
        <v>13</v>
      </c>
      <c r="N210" s="14">
        <v>47</v>
      </c>
      <c r="O210" s="14">
        <v>0</v>
      </c>
      <c r="P210" s="14">
        <v>0</v>
      </c>
      <c r="Q210" s="14">
        <v>1</v>
      </c>
      <c r="R210" s="14">
        <v>0</v>
      </c>
      <c r="S210" s="14">
        <v>0</v>
      </c>
      <c r="T210" s="18">
        <v>0</v>
      </c>
      <c r="U210" s="14">
        <v>0.22994439799999999</v>
      </c>
      <c r="V210" s="41"/>
      <c r="W210" s="39">
        <f t="shared" si="47"/>
        <v>5661.461023158</v>
      </c>
    </row>
    <row r="211" spans="1:29" x14ac:dyDescent="0.25">
      <c r="A211" s="7" t="s">
        <v>10</v>
      </c>
      <c r="B211" s="15" t="s">
        <v>19</v>
      </c>
      <c r="C211" s="7" t="s">
        <v>18</v>
      </c>
      <c r="D211" s="14">
        <v>0</v>
      </c>
      <c r="E211" s="14">
        <v>0</v>
      </c>
      <c r="F211" s="14">
        <v>0</v>
      </c>
      <c r="G211" s="14">
        <v>446</v>
      </c>
      <c r="H211" s="16">
        <v>1181</v>
      </c>
      <c r="I211" s="17">
        <v>237</v>
      </c>
      <c r="J211" s="14">
        <v>498</v>
      </c>
      <c r="K211" s="14">
        <v>0</v>
      </c>
      <c r="L211" s="14">
        <v>0</v>
      </c>
      <c r="M211" s="14">
        <v>0</v>
      </c>
      <c r="N211" s="14">
        <v>0</v>
      </c>
      <c r="O211" s="14">
        <v>0</v>
      </c>
      <c r="P211" s="14">
        <v>0</v>
      </c>
      <c r="Q211" s="14">
        <v>0</v>
      </c>
      <c r="R211" s="14">
        <v>0</v>
      </c>
      <c r="S211" s="14">
        <v>0</v>
      </c>
      <c r="T211" s="18">
        <v>0</v>
      </c>
      <c r="U211" s="14">
        <v>0.22994439799999999</v>
      </c>
      <c r="V211" s="41"/>
      <c r="W211" s="39">
        <f t="shared" si="47"/>
        <v>169.00913252999999</v>
      </c>
    </row>
    <row r="212" spans="1:29" ht="13" thickBot="1" x14ac:dyDescent="0.3">
      <c r="A212" s="7" t="s">
        <v>10</v>
      </c>
      <c r="B212" s="19" t="s">
        <v>20</v>
      </c>
      <c r="C212" s="20" t="s">
        <v>18</v>
      </c>
      <c r="D212" s="21">
        <v>0</v>
      </c>
      <c r="E212" s="21">
        <v>0</v>
      </c>
      <c r="F212" s="21">
        <v>0</v>
      </c>
      <c r="G212" s="21">
        <v>0</v>
      </c>
      <c r="H212" s="22">
        <v>0</v>
      </c>
      <c r="I212" s="23">
        <v>0</v>
      </c>
      <c r="J212" s="21">
        <v>0</v>
      </c>
      <c r="K212" s="21">
        <v>0</v>
      </c>
      <c r="L212" s="21">
        <v>0</v>
      </c>
      <c r="M212" s="21">
        <v>0</v>
      </c>
      <c r="N212" s="21">
        <v>0</v>
      </c>
      <c r="O212" s="21">
        <v>0</v>
      </c>
      <c r="P212" s="21">
        <v>0</v>
      </c>
      <c r="Q212" s="21">
        <v>0</v>
      </c>
      <c r="R212" s="21">
        <v>0</v>
      </c>
      <c r="S212" s="21">
        <v>0</v>
      </c>
      <c r="T212" s="24">
        <v>0</v>
      </c>
      <c r="U212" s="14">
        <v>0.22994439799999999</v>
      </c>
      <c r="V212" s="44"/>
      <c r="W212" s="39">
        <f t="shared" si="47"/>
        <v>0</v>
      </c>
    </row>
    <row r="213" spans="1:29" ht="13" thickBot="1" x14ac:dyDescent="0.3">
      <c r="A213" s="7" t="s">
        <v>10</v>
      </c>
      <c r="B213" s="25" t="s">
        <v>12</v>
      </c>
      <c r="C213" s="26" t="s">
        <v>18</v>
      </c>
      <c r="D213" s="27">
        <v>0</v>
      </c>
      <c r="E213" s="27">
        <v>0</v>
      </c>
      <c r="F213" s="27">
        <v>1855</v>
      </c>
      <c r="G213" s="27">
        <v>2223</v>
      </c>
      <c r="H213" s="28">
        <v>56498</v>
      </c>
      <c r="I213" s="29">
        <v>19361</v>
      </c>
      <c r="J213" s="27">
        <v>20681</v>
      </c>
      <c r="K213" s="27">
        <v>3659</v>
      </c>
      <c r="L213" s="27">
        <v>1489</v>
      </c>
      <c r="M213" s="27">
        <v>3786</v>
      </c>
      <c r="N213" s="27">
        <v>138</v>
      </c>
      <c r="O213" s="27">
        <v>88</v>
      </c>
      <c r="P213" s="27">
        <v>44</v>
      </c>
      <c r="Q213" s="27">
        <v>726</v>
      </c>
      <c r="R213" s="27">
        <v>0</v>
      </c>
      <c r="S213" s="27">
        <v>2448</v>
      </c>
      <c r="T213" s="29">
        <v>0</v>
      </c>
      <c r="U213" s="14">
        <v>0.22994439799999999</v>
      </c>
      <c r="V213" s="43">
        <f>SUM(I208:T211)/SUM(H208:H211)</f>
        <v>0.92586398094787936</v>
      </c>
      <c r="W213" s="39">
        <f t="shared" si="47"/>
        <v>12053.685343159999</v>
      </c>
      <c r="X213" s="35">
        <f>W211+W208</f>
        <v>2638.6119670499997</v>
      </c>
      <c r="Y213" s="35">
        <f>W206</f>
        <v>342.84709741799998</v>
      </c>
    </row>
    <row r="214" spans="1:29" x14ac:dyDescent="0.25">
      <c r="A214" s="7" t="s">
        <v>10</v>
      </c>
      <c r="B214" s="8" t="s">
        <v>17</v>
      </c>
      <c r="C214" s="9" t="s">
        <v>21</v>
      </c>
      <c r="D214" s="10">
        <v>0</v>
      </c>
      <c r="E214" s="10">
        <v>0</v>
      </c>
      <c r="F214" s="10">
        <v>0</v>
      </c>
      <c r="G214" s="10">
        <v>0</v>
      </c>
      <c r="H214" s="11">
        <v>185</v>
      </c>
      <c r="I214" s="12">
        <v>104</v>
      </c>
      <c r="J214" s="10">
        <v>81</v>
      </c>
      <c r="K214" s="10">
        <v>0</v>
      </c>
      <c r="L214" s="10">
        <v>0</v>
      </c>
      <c r="M214" s="10">
        <v>0</v>
      </c>
      <c r="N214" s="10">
        <v>0</v>
      </c>
      <c r="O214" s="10">
        <v>0</v>
      </c>
      <c r="P214" s="10">
        <v>0</v>
      </c>
      <c r="Q214" s="10">
        <v>0</v>
      </c>
      <c r="R214" s="10">
        <v>0</v>
      </c>
      <c r="S214" s="10">
        <v>0</v>
      </c>
      <c r="T214" s="13">
        <v>0</v>
      </c>
      <c r="U214" s="14">
        <v>0.22994439799999999</v>
      </c>
      <c r="W214" s="38">
        <f t="shared" ref="W214:W238" si="48">H214*U214</f>
        <v>42.539713630000001</v>
      </c>
      <c r="AB214" s="37" t="str">
        <f t="shared" ref="AB214:AB220" si="49">B214</f>
        <v>Parts-OTC</v>
      </c>
      <c r="AC214" s="36">
        <f t="shared" ref="AC214:AC220" si="50">I214*U214</f>
        <v>23.914217391999998</v>
      </c>
    </row>
    <row r="215" spans="1:29" x14ac:dyDescent="0.25">
      <c r="A215" s="7" t="s">
        <v>10</v>
      </c>
      <c r="B215" s="15" t="s">
        <v>66</v>
      </c>
      <c r="C215" s="7" t="s">
        <v>21</v>
      </c>
      <c r="D215" s="14">
        <v>0</v>
      </c>
      <c r="E215" s="14">
        <v>0</v>
      </c>
      <c r="F215" s="14">
        <v>0</v>
      </c>
      <c r="G215" s="14">
        <v>0</v>
      </c>
      <c r="H215" s="16">
        <v>0</v>
      </c>
      <c r="I215" s="17">
        <v>0</v>
      </c>
      <c r="J215" s="14">
        <v>0</v>
      </c>
      <c r="K215" s="14">
        <v>0</v>
      </c>
      <c r="L215" s="14">
        <v>0</v>
      </c>
      <c r="M215" s="14">
        <v>0</v>
      </c>
      <c r="N215" s="14">
        <v>0</v>
      </c>
      <c r="O215" s="14">
        <v>0</v>
      </c>
      <c r="P215" s="14">
        <v>0</v>
      </c>
      <c r="Q215" s="14">
        <v>0</v>
      </c>
      <c r="R215" s="14">
        <v>0</v>
      </c>
      <c r="S215" s="14">
        <v>0</v>
      </c>
      <c r="T215" s="18">
        <v>0</v>
      </c>
      <c r="U215" s="14">
        <v>0.22994439799999999</v>
      </c>
      <c r="W215" s="38">
        <f t="shared" si="48"/>
        <v>0</v>
      </c>
      <c r="AB215" s="37" t="str">
        <f t="shared" si="49"/>
        <v>CTKS</v>
      </c>
      <c r="AC215" s="36">
        <f t="shared" si="50"/>
        <v>0</v>
      </c>
    </row>
    <row r="216" spans="1:29" x14ac:dyDescent="0.25">
      <c r="A216" s="7" t="s">
        <v>10</v>
      </c>
      <c r="B216" s="15" t="s">
        <v>13</v>
      </c>
      <c r="C216" s="7" t="s">
        <v>21</v>
      </c>
      <c r="D216" s="14">
        <v>0</v>
      </c>
      <c r="E216" s="14">
        <v>0</v>
      </c>
      <c r="F216" s="14">
        <v>0</v>
      </c>
      <c r="G216" s="14">
        <v>0</v>
      </c>
      <c r="H216" s="16">
        <v>2227</v>
      </c>
      <c r="I216" s="33">
        <v>883</v>
      </c>
      <c r="J216" s="34">
        <v>919</v>
      </c>
      <c r="K216" s="34">
        <v>422</v>
      </c>
      <c r="L216" s="14">
        <v>0</v>
      </c>
      <c r="M216" s="14">
        <v>3</v>
      </c>
      <c r="N216" s="14">
        <v>0</v>
      </c>
      <c r="O216" s="14">
        <v>0</v>
      </c>
      <c r="P216" s="14">
        <v>0</v>
      </c>
      <c r="Q216" s="14">
        <v>0</v>
      </c>
      <c r="R216" s="14">
        <v>0</v>
      </c>
      <c r="S216" s="14">
        <v>0</v>
      </c>
      <c r="T216" s="18">
        <v>0</v>
      </c>
      <c r="U216" s="14">
        <v>0.22994439799999999</v>
      </c>
      <c r="W216" s="38">
        <f t="shared" si="48"/>
        <v>512.08617434600001</v>
      </c>
      <c r="AB216" s="37" t="str">
        <f t="shared" si="49"/>
        <v>Repair</v>
      </c>
      <c r="AC216" s="36">
        <f t="shared" si="50"/>
        <v>203.040903434</v>
      </c>
    </row>
    <row r="217" spans="1:29" x14ac:dyDescent="0.25">
      <c r="A217" s="7" t="s">
        <v>10</v>
      </c>
      <c r="B217" s="15" t="s">
        <v>67</v>
      </c>
      <c r="C217" s="7" t="s">
        <v>21</v>
      </c>
      <c r="D217" s="14">
        <v>0</v>
      </c>
      <c r="E217" s="14">
        <v>0</v>
      </c>
      <c r="F217" s="14">
        <v>0</v>
      </c>
      <c r="G217" s="14">
        <v>0</v>
      </c>
      <c r="H217" s="16">
        <v>543</v>
      </c>
      <c r="I217" s="17">
        <v>104</v>
      </c>
      <c r="J217" s="14">
        <v>104</v>
      </c>
      <c r="K217" s="14">
        <v>60</v>
      </c>
      <c r="L217" s="14">
        <v>60</v>
      </c>
      <c r="M217" s="14">
        <v>56</v>
      </c>
      <c r="N217" s="14">
        <v>43</v>
      </c>
      <c r="O217" s="14">
        <v>31</v>
      </c>
      <c r="P217" s="14">
        <v>17</v>
      </c>
      <c r="Q217" s="14">
        <v>17</v>
      </c>
      <c r="R217" s="14">
        <v>17</v>
      </c>
      <c r="S217" s="14">
        <v>17</v>
      </c>
      <c r="T217" s="18">
        <v>17</v>
      </c>
      <c r="U217" s="14">
        <v>0.22994439799999999</v>
      </c>
      <c r="W217" s="38">
        <f t="shared" si="48"/>
        <v>124.859808114</v>
      </c>
      <c r="AB217" s="37" t="str">
        <f t="shared" si="49"/>
        <v>Rental</v>
      </c>
      <c r="AC217" s="36">
        <f t="shared" si="50"/>
        <v>23.914217391999998</v>
      </c>
    </row>
    <row r="218" spans="1:29" x14ac:dyDescent="0.25">
      <c r="A218" s="7" t="s">
        <v>10</v>
      </c>
      <c r="B218" s="15" t="s">
        <v>73</v>
      </c>
      <c r="C218" s="7" t="s">
        <v>21</v>
      </c>
      <c r="D218" s="14">
        <v>0</v>
      </c>
      <c r="E218" s="14">
        <v>0</v>
      </c>
      <c r="F218" s="14">
        <v>0</v>
      </c>
      <c r="G218" s="14">
        <v>0</v>
      </c>
      <c r="H218" s="16">
        <v>4157</v>
      </c>
      <c r="I218" s="17">
        <v>544</v>
      </c>
      <c r="J218" s="14">
        <v>2020</v>
      </c>
      <c r="K218" s="14">
        <v>1363</v>
      </c>
      <c r="L218" s="14">
        <v>69</v>
      </c>
      <c r="M218" s="14">
        <v>40</v>
      </c>
      <c r="N218" s="14">
        <v>24</v>
      </c>
      <c r="O218" s="14">
        <v>89</v>
      </c>
      <c r="P218" s="14">
        <v>8</v>
      </c>
      <c r="Q218" s="14">
        <v>0</v>
      </c>
      <c r="R218" s="14">
        <v>0</v>
      </c>
      <c r="S218" s="14">
        <v>0</v>
      </c>
      <c r="T218" s="18">
        <v>0</v>
      </c>
      <c r="U218" s="14">
        <v>0.22994439799999999</v>
      </c>
      <c r="W218" s="38">
        <f t="shared" si="48"/>
        <v>955.878862486</v>
      </c>
      <c r="AB218" s="37"/>
    </row>
    <row r="219" spans="1:29" x14ac:dyDescent="0.25">
      <c r="A219" s="7" t="s">
        <v>10</v>
      </c>
      <c r="B219" s="15" t="s">
        <v>19</v>
      </c>
      <c r="C219" s="7" t="s">
        <v>21</v>
      </c>
      <c r="D219" s="14">
        <v>0</v>
      </c>
      <c r="E219" s="14">
        <v>0</v>
      </c>
      <c r="F219" s="14">
        <v>0</v>
      </c>
      <c r="G219" s="14">
        <v>0</v>
      </c>
      <c r="H219" s="16">
        <v>3666</v>
      </c>
      <c r="I219" s="17">
        <v>885</v>
      </c>
      <c r="J219" s="14">
        <v>1042</v>
      </c>
      <c r="K219" s="14">
        <v>127</v>
      </c>
      <c r="L219" s="14">
        <v>133</v>
      </c>
      <c r="M219" s="14">
        <v>133</v>
      </c>
      <c r="N219" s="14">
        <v>534</v>
      </c>
      <c r="O219" s="14">
        <v>546</v>
      </c>
      <c r="P219" s="14">
        <v>132</v>
      </c>
      <c r="Q219" s="14">
        <v>57</v>
      </c>
      <c r="R219" s="14">
        <v>20</v>
      </c>
      <c r="S219" s="14">
        <v>18</v>
      </c>
      <c r="T219" s="18">
        <v>39</v>
      </c>
      <c r="U219" s="14">
        <v>0.22994439799999999</v>
      </c>
      <c r="W219" s="38">
        <f t="shared" si="48"/>
        <v>842.97616306800001</v>
      </c>
      <c r="AB219" s="37" t="str">
        <f t="shared" si="49"/>
        <v>Maintenance</v>
      </c>
      <c r="AC219" s="36">
        <f t="shared" si="50"/>
        <v>203.50079223</v>
      </c>
    </row>
    <row r="220" spans="1:29" ht="13" thickBot="1" x14ac:dyDescent="0.3">
      <c r="A220" s="7" t="s">
        <v>10</v>
      </c>
      <c r="B220" s="19" t="s">
        <v>20</v>
      </c>
      <c r="C220" s="20" t="s">
        <v>21</v>
      </c>
      <c r="D220" s="21">
        <v>0</v>
      </c>
      <c r="E220" s="21">
        <v>0</v>
      </c>
      <c r="F220" s="21">
        <v>0</v>
      </c>
      <c r="G220" s="21">
        <v>0</v>
      </c>
      <c r="H220" s="22">
        <v>445</v>
      </c>
      <c r="I220" s="23">
        <v>103</v>
      </c>
      <c r="J220" s="21">
        <v>215</v>
      </c>
      <c r="K220" s="21">
        <v>113</v>
      </c>
      <c r="L220" s="21">
        <v>9</v>
      </c>
      <c r="M220" s="21">
        <v>0</v>
      </c>
      <c r="N220" s="21">
        <v>5</v>
      </c>
      <c r="O220" s="21">
        <v>0</v>
      </c>
      <c r="P220" s="21">
        <v>0</v>
      </c>
      <c r="Q220" s="21">
        <v>0</v>
      </c>
      <c r="R220" s="21">
        <v>0</v>
      </c>
      <c r="S220" s="21">
        <v>0</v>
      </c>
      <c r="T220" s="24">
        <v>0</v>
      </c>
      <c r="U220" s="14">
        <v>0.22994439799999999</v>
      </c>
      <c r="W220" s="38">
        <f t="shared" si="48"/>
        <v>102.32525711</v>
      </c>
      <c r="AB220" s="37" t="str">
        <f t="shared" si="49"/>
        <v>Startup</v>
      </c>
      <c r="AC220" s="36">
        <f t="shared" si="50"/>
        <v>23.684272994000001</v>
      </c>
    </row>
    <row r="221" spans="1:29" ht="13" thickBot="1" x14ac:dyDescent="0.3">
      <c r="A221" s="20" t="s">
        <v>10</v>
      </c>
      <c r="B221" s="25" t="s">
        <v>12</v>
      </c>
      <c r="C221" s="26" t="s">
        <v>21</v>
      </c>
      <c r="D221" s="27">
        <v>0</v>
      </c>
      <c r="E221" s="27">
        <v>0</v>
      </c>
      <c r="F221" s="27">
        <v>0</v>
      </c>
      <c r="G221" s="27">
        <v>0</v>
      </c>
      <c r="H221" s="28">
        <v>11223</v>
      </c>
      <c r="I221" s="29">
        <v>2623</v>
      </c>
      <c r="J221" s="27">
        <v>4381</v>
      </c>
      <c r="K221" s="27">
        <v>2085</v>
      </c>
      <c r="L221" s="27">
        <v>271</v>
      </c>
      <c r="M221" s="27">
        <v>232</v>
      </c>
      <c r="N221" s="27">
        <v>606</v>
      </c>
      <c r="O221" s="27">
        <v>666</v>
      </c>
      <c r="P221" s="27">
        <v>157</v>
      </c>
      <c r="Q221" s="27">
        <v>74</v>
      </c>
      <c r="R221" s="27">
        <v>37</v>
      </c>
      <c r="S221" s="27">
        <v>35</v>
      </c>
      <c r="T221" s="29">
        <v>56</v>
      </c>
      <c r="U221" s="14">
        <v>0.22994439799999999</v>
      </c>
      <c r="W221" s="38">
        <f t="shared" si="48"/>
        <v>2580.6659787539998</v>
      </c>
      <c r="X221" s="35">
        <f>W220+W219+W216</f>
        <v>1457.387594524</v>
      </c>
      <c r="Y221" s="35">
        <f>W214</f>
        <v>42.539713630000001</v>
      </c>
      <c r="Z221" s="40">
        <f>V212/X221</f>
        <v>0</v>
      </c>
      <c r="AA221" s="40">
        <f>IF((Y221=0),0,Y213/Y221)</f>
        <v>8.0594594594594593</v>
      </c>
      <c r="AB221" s="48"/>
      <c r="AC221" s="48"/>
    </row>
    <row r="222" spans="1:29" ht="13" thickBot="1" x14ac:dyDescent="0.3">
      <c r="A222" s="9" t="s">
        <v>9</v>
      </c>
      <c r="B222" s="30" t="s">
        <v>15</v>
      </c>
      <c r="C222" s="31" t="s">
        <v>94</v>
      </c>
      <c r="D222" s="32" t="s">
        <v>47</v>
      </c>
      <c r="E222" s="53" t="s">
        <v>104</v>
      </c>
      <c r="F222" s="53" t="s">
        <v>105</v>
      </c>
      <c r="G222" s="53" t="s">
        <v>106</v>
      </c>
      <c r="H222" s="28" t="s">
        <v>12</v>
      </c>
      <c r="I222" s="54" t="s">
        <v>107</v>
      </c>
      <c r="J222" s="53" t="s">
        <v>108</v>
      </c>
      <c r="K222" s="53" t="s">
        <v>109</v>
      </c>
      <c r="L222" s="53" t="s">
        <v>110</v>
      </c>
      <c r="M222" s="53" t="s">
        <v>111</v>
      </c>
      <c r="N222" s="53" t="s">
        <v>115</v>
      </c>
      <c r="O222" s="53" t="s">
        <v>120</v>
      </c>
      <c r="P222" s="53" t="s">
        <v>121</v>
      </c>
      <c r="Q222" s="53" t="s">
        <v>164</v>
      </c>
      <c r="R222" s="53" t="s">
        <v>173</v>
      </c>
      <c r="S222" s="53" t="s">
        <v>177</v>
      </c>
      <c r="T222" s="55" t="s">
        <v>182</v>
      </c>
      <c r="U222" s="14">
        <v>1.175</v>
      </c>
      <c r="V222" s="14" t="s">
        <v>183</v>
      </c>
      <c r="W222" s="35"/>
      <c r="X222" s="14" t="s">
        <v>37</v>
      </c>
      <c r="Y222" s="14" t="s">
        <v>38</v>
      </c>
      <c r="AB222" s="48"/>
      <c r="AC222" s="48"/>
    </row>
    <row r="223" spans="1:29" x14ac:dyDescent="0.25">
      <c r="A223" s="7" t="s">
        <v>9</v>
      </c>
      <c r="B223" s="8" t="s">
        <v>17</v>
      </c>
      <c r="C223" s="9" t="s">
        <v>18</v>
      </c>
      <c r="D223" s="10"/>
      <c r="E223" s="10"/>
      <c r="F223" s="10"/>
      <c r="G223" s="10"/>
      <c r="H223" s="11"/>
      <c r="I223" s="12"/>
      <c r="J223" s="10"/>
      <c r="K223" s="10"/>
      <c r="L223" s="10"/>
      <c r="M223" s="10"/>
      <c r="N223" s="10"/>
      <c r="O223" s="10"/>
      <c r="P223" s="10"/>
      <c r="Q223" s="10"/>
      <c r="R223" s="10"/>
      <c r="S223" s="10"/>
      <c r="T223" s="13"/>
      <c r="U223" s="14">
        <v>1.175</v>
      </c>
      <c r="V223" s="42" t="e">
        <f>SUM(I223:T223)/H223</f>
        <v>#DIV/0!</v>
      </c>
      <c r="W223" s="39">
        <f>SUM(I223:T223)*U223</f>
        <v>0</v>
      </c>
    </row>
    <row r="224" spans="1:29" x14ac:dyDescent="0.25">
      <c r="A224" s="7" t="s">
        <v>9</v>
      </c>
      <c r="B224" s="15" t="s">
        <v>66</v>
      </c>
      <c r="C224" s="7" t="s">
        <v>18</v>
      </c>
      <c r="D224" s="14"/>
      <c r="E224" s="14"/>
      <c r="F224" s="14"/>
      <c r="G224" s="14"/>
      <c r="H224" s="16"/>
      <c r="I224" s="17"/>
      <c r="J224" s="14"/>
      <c r="K224" s="14"/>
      <c r="L224" s="14"/>
      <c r="M224" s="14"/>
      <c r="N224" s="14"/>
      <c r="O224" s="14"/>
      <c r="P224" s="14"/>
      <c r="Q224" s="14"/>
      <c r="R224" s="14"/>
      <c r="S224" s="14"/>
      <c r="T224" s="18"/>
      <c r="U224" s="14">
        <v>1.175</v>
      </c>
      <c r="V224" s="44"/>
      <c r="W224" s="39">
        <f t="shared" ref="W224:W230" si="51">SUM(I224:T224)*U224</f>
        <v>0</v>
      </c>
    </row>
    <row r="225" spans="1:29" x14ac:dyDescent="0.25">
      <c r="A225" s="7" t="s">
        <v>9</v>
      </c>
      <c r="B225" s="15" t="s">
        <v>13</v>
      </c>
      <c r="C225" s="7" t="s">
        <v>18</v>
      </c>
      <c r="D225" s="14"/>
      <c r="E225" s="14"/>
      <c r="F225" s="14"/>
      <c r="G225" s="14"/>
      <c r="H225" s="16"/>
      <c r="I225" s="17"/>
      <c r="J225" s="14"/>
      <c r="K225" s="14"/>
      <c r="L225" s="14"/>
      <c r="M225" s="14"/>
      <c r="N225" s="14"/>
      <c r="O225" s="14"/>
      <c r="P225" s="14"/>
      <c r="Q225" s="14"/>
      <c r="R225" s="14"/>
      <c r="S225" s="14"/>
      <c r="T225" s="18"/>
      <c r="U225" s="14">
        <v>1.175</v>
      </c>
      <c r="V225" s="41"/>
      <c r="W225" s="39">
        <f t="shared" si="51"/>
        <v>0</v>
      </c>
    </row>
    <row r="226" spans="1:29" x14ac:dyDescent="0.25">
      <c r="A226" s="7" t="s">
        <v>9</v>
      </c>
      <c r="B226" s="15" t="s">
        <v>67</v>
      </c>
      <c r="C226" s="7" t="s">
        <v>18</v>
      </c>
      <c r="D226" s="14"/>
      <c r="E226" s="14"/>
      <c r="F226" s="14"/>
      <c r="G226" s="14"/>
      <c r="H226" s="16"/>
      <c r="I226" s="17"/>
      <c r="J226" s="14"/>
      <c r="K226" s="14"/>
      <c r="L226" s="14"/>
      <c r="M226" s="14"/>
      <c r="N226" s="14"/>
      <c r="O226" s="14"/>
      <c r="P226" s="14"/>
      <c r="Q226" s="14"/>
      <c r="R226" s="14"/>
      <c r="S226" s="14"/>
      <c r="T226" s="18"/>
      <c r="U226" s="14">
        <v>1.175</v>
      </c>
      <c r="V226" s="41"/>
      <c r="W226" s="39">
        <f t="shared" si="51"/>
        <v>0</v>
      </c>
    </row>
    <row r="227" spans="1:29" x14ac:dyDescent="0.25">
      <c r="A227" s="7" t="s">
        <v>9</v>
      </c>
      <c r="B227" s="15" t="s">
        <v>73</v>
      </c>
      <c r="C227" s="7" t="s">
        <v>18</v>
      </c>
      <c r="D227" s="14"/>
      <c r="E227" s="14"/>
      <c r="F227" s="14"/>
      <c r="G227" s="14"/>
      <c r="H227" s="16"/>
      <c r="I227" s="17"/>
      <c r="J227" s="14"/>
      <c r="K227" s="14"/>
      <c r="L227" s="14"/>
      <c r="M227" s="14"/>
      <c r="N227" s="14"/>
      <c r="O227" s="14"/>
      <c r="P227" s="14"/>
      <c r="Q227" s="14"/>
      <c r="R227" s="14"/>
      <c r="S227" s="14"/>
      <c r="T227" s="18"/>
      <c r="U227" s="14">
        <v>1.175</v>
      </c>
      <c r="V227" s="41"/>
      <c r="W227" s="39">
        <f t="shared" si="51"/>
        <v>0</v>
      </c>
    </row>
    <row r="228" spans="1:29" x14ac:dyDescent="0.25">
      <c r="A228" s="7" t="s">
        <v>9</v>
      </c>
      <c r="B228" s="15" t="s">
        <v>19</v>
      </c>
      <c r="C228" s="7" t="s">
        <v>18</v>
      </c>
      <c r="D228" s="14"/>
      <c r="E228" s="14"/>
      <c r="F228" s="14"/>
      <c r="G228" s="14"/>
      <c r="H228" s="16"/>
      <c r="I228" s="17"/>
      <c r="J228" s="14"/>
      <c r="K228" s="14"/>
      <c r="L228" s="14"/>
      <c r="M228" s="14"/>
      <c r="N228" s="14"/>
      <c r="O228" s="14"/>
      <c r="P228" s="14"/>
      <c r="Q228" s="14"/>
      <c r="R228" s="14"/>
      <c r="S228" s="14"/>
      <c r="T228" s="18"/>
      <c r="U228" s="14">
        <v>1.175</v>
      </c>
      <c r="V228" s="41"/>
      <c r="W228" s="39">
        <f t="shared" si="51"/>
        <v>0</v>
      </c>
    </row>
    <row r="229" spans="1:29" ht="13" thickBot="1" x14ac:dyDescent="0.3">
      <c r="A229" s="7" t="s">
        <v>9</v>
      </c>
      <c r="B229" s="19" t="s">
        <v>20</v>
      </c>
      <c r="C229" s="20" t="s">
        <v>18</v>
      </c>
      <c r="D229" s="21"/>
      <c r="E229" s="21"/>
      <c r="F229" s="21"/>
      <c r="G229" s="21"/>
      <c r="H229" s="22"/>
      <c r="I229" s="23"/>
      <c r="J229" s="21"/>
      <c r="K229" s="21"/>
      <c r="L229" s="21"/>
      <c r="M229" s="21"/>
      <c r="N229" s="21"/>
      <c r="O229" s="21"/>
      <c r="P229" s="21"/>
      <c r="Q229" s="21"/>
      <c r="R229" s="21"/>
      <c r="S229" s="21"/>
      <c r="T229" s="24"/>
      <c r="U229" s="14">
        <v>1.175</v>
      </c>
      <c r="V229" s="44"/>
      <c r="W229" s="39">
        <f t="shared" si="51"/>
        <v>0</v>
      </c>
    </row>
    <row r="230" spans="1:29" ht="13" thickBot="1" x14ac:dyDescent="0.3">
      <c r="A230" s="7" t="s">
        <v>9</v>
      </c>
      <c r="B230" s="25" t="s">
        <v>12</v>
      </c>
      <c r="C230" s="26" t="s">
        <v>18</v>
      </c>
      <c r="D230" s="27"/>
      <c r="E230" s="27"/>
      <c r="F230" s="27"/>
      <c r="G230" s="27"/>
      <c r="H230" s="28"/>
      <c r="I230" s="29"/>
      <c r="J230" s="27"/>
      <c r="K230" s="27"/>
      <c r="L230" s="27"/>
      <c r="M230" s="27"/>
      <c r="N230" s="27"/>
      <c r="O230" s="27"/>
      <c r="P230" s="27"/>
      <c r="Q230" s="27"/>
      <c r="R230" s="27"/>
      <c r="S230" s="27"/>
      <c r="T230" s="29"/>
      <c r="U230" s="14">
        <v>1.175</v>
      </c>
      <c r="V230" s="43" t="e">
        <f>SUM(I225:T228)/SUM(H225:H228)</f>
        <v>#DIV/0!</v>
      </c>
      <c r="W230" s="39">
        <f t="shared" si="51"/>
        <v>0</v>
      </c>
      <c r="X230" s="35">
        <f>W228+W225</f>
        <v>0</v>
      </c>
      <c r="Y230" s="35">
        <f>W223</f>
        <v>0</v>
      </c>
    </row>
    <row r="231" spans="1:29" x14ac:dyDescent="0.25">
      <c r="A231" s="7" t="s">
        <v>9</v>
      </c>
      <c r="B231" s="8" t="s">
        <v>17</v>
      </c>
      <c r="C231" s="9" t="s">
        <v>21</v>
      </c>
      <c r="D231" s="10"/>
      <c r="E231" s="10"/>
      <c r="F231" s="10"/>
      <c r="G231" s="10"/>
      <c r="H231" s="11"/>
      <c r="I231" s="12"/>
      <c r="J231" s="10"/>
      <c r="K231" s="10"/>
      <c r="L231" s="10"/>
      <c r="M231" s="10"/>
      <c r="N231" s="10"/>
      <c r="O231" s="10"/>
      <c r="P231" s="10"/>
      <c r="Q231" s="10"/>
      <c r="R231" s="10"/>
      <c r="S231" s="10"/>
      <c r="T231" s="13"/>
      <c r="U231" s="14">
        <v>1.175</v>
      </c>
      <c r="W231" s="38">
        <f t="shared" si="48"/>
        <v>0</v>
      </c>
      <c r="AB231" s="37" t="str">
        <f t="shared" ref="AB231:AB237" si="52">B231</f>
        <v>Parts-OTC</v>
      </c>
      <c r="AC231" s="36">
        <f t="shared" ref="AC231:AC237" si="53">I231*U231</f>
        <v>0</v>
      </c>
    </row>
    <row r="232" spans="1:29" x14ac:dyDescent="0.25">
      <c r="A232" s="7" t="s">
        <v>9</v>
      </c>
      <c r="B232" s="15" t="s">
        <v>66</v>
      </c>
      <c r="C232" s="7" t="s">
        <v>21</v>
      </c>
      <c r="D232" s="14"/>
      <c r="E232" s="14"/>
      <c r="F232" s="14"/>
      <c r="G232" s="14"/>
      <c r="H232" s="16"/>
      <c r="I232" s="17"/>
      <c r="J232" s="14"/>
      <c r="K232" s="14"/>
      <c r="L232" s="14"/>
      <c r="M232" s="14"/>
      <c r="N232" s="14"/>
      <c r="O232" s="14"/>
      <c r="P232" s="14"/>
      <c r="Q232" s="14"/>
      <c r="R232" s="14"/>
      <c r="S232" s="14"/>
      <c r="T232" s="18"/>
      <c r="U232" s="14">
        <v>1.175</v>
      </c>
      <c r="W232" s="38">
        <f t="shared" si="48"/>
        <v>0</v>
      </c>
      <c r="AB232" s="37" t="str">
        <f t="shared" si="52"/>
        <v>CTKS</v>
      </c>
      <c r="AC232" s="36">
        <f t="shared" si="53"/>
        <v>0</v>
      </c>
    </row>
    <row r="233" spans="1:29" x14ac:dyDescent="0.25">
      <c r="A233" s="7" t="s">
        <v>9</v>
      </c>
      <c r="B233" s="15" t="s">
        <v>13</v>
      </c>
      <c r="C233" s="7" t="s">
        <v>21</v>
      </c>
      <c r="D233" s="14"/>
      <c r="E233" s="14"/>
      <c r="F233" s="14"/>
      <c r="G233" s="14"/>
      <c r="H233" s="16"/>
      <c r="I233" s="17"/>
      <c r="J233" s="14"/>
      <c r="K233" s="14"/>
      <c r="L233" s="14"/>
      <c r="M233" s="14"/>
      <c r="N233" s="14"/>
      <c r="O233" s="14"/>
      <c r="P233" s="14"/>
      <c r="Q233" s="14"/>
      <c r="R233" s="14"/>
      <c r="S233" s="14"/>
      <c r="T233" s="18"/>
      <c r="U233" s="14">
        <v>1.175</v>
      </c>
      <c r="W233" s="38">
        <f t="shared" si="48"/>
        <v>0</v>
      </c>
      <c r="AB233" s="37" t="str">
        <f t="shared" si="52"/>
        <v>Repair</v>
      </c>
      <c r="AC233" s="36">
        <f t="shared" si="53"/>
        <v>0</v>
      </c>
    </row>
    <row r="234" spans="1:29" x14ac:dyDescent="0.25">
      <c r="A234" s="7" t="s">
        <v>9</v>
      </c>
      <c r="B234" s="15" t="s">
        <v>67</v>
      </c>
      <c r="C234" s="7" t="s">
        <v>21</v>
      </c>
      <c r="D234" s="14"/>
      <c r="E234" s="14"/>
      <c r="F234" s="14"/>
      <c r="G234" s="14"/>
      <c r="H234" s="16"/>
      <c r="I234" s="17"/>
      <c r="J234" s="14"/>
      <c r="K234" s="14"/>
      <c r="L234" s="14"/>
      <c r="M234" s="14"/>
      <c r="N234" s="14"/>
      <c r="O234" s="14"/>
      <c r="P234" s="14"/>
      <c r="Q234" s="14"/>
      <c r="R234" s="14"/>
      <c r="S234" s="14"/>
      <c r="T234" s="18"/>
      <c r="U234" s="14">
        <v>1.175</v>
      </c>
      <c r="W234" s="38">
        <f t="shared" si="48"/>
        <v>0</v>
      </c>
      <c r="AB234" s="37" t="str">
        <f t="shared" si="52"/>
        <v>Rental</v>
      </c>
      <c r="AC234" s="36">
        <f t="shared" si="53"/>
        <v>0</v>
      </c>
    </row>
    <row r="235" spans="1:29" x14ac:dyDescent="0.25">
      <c r="A235" s="7" t="s">
        <v>9</v>
      </c>
      <c r="B235" s="15" t="s">
        <v>73</v>
      </c>
      <c r="C235" s="7" t="s">
        <v>21</v>
      </c>
      <c r="D235" s="14"/>
      <c r="E235" s="14"/>
      <c r="F235" s="14"/>
      <c r="G235" s="14"/>
      <c r="H235" s="16"/>
      <c r="I235" s="17"/>
      <c r="J235" s="14"/>
      <c r="K235" s="14"/>
      <c r="L235" s="14"/>
      <c r="M235" s="14"/>
      <c r="N235" s="14"/>
      <c r="O235" s="14"/>
      <c r="P235" s="14"/>
      <c r="Q235" s="14"/>
      <c r="R235" s="14"/>
      <c r="S235" s="14"/>
      <c r="T235" s="18"/>
      <c r="U235" s="14">
        <v>1.175</v>
      </c>
      <c r="W235" s="38">
        <f t="shared" si="48"/>
        <v>0</v>
      </c>
      <c r="AB235" s="37"/>
    </row>
    <row r="236" spans="1:29" x14ac:dyDescent="0.25">
      <c r="A236" s="7" t="s">
        <v>9</v>
      </c>
      <c r="B236" s="15" t="s">
        <v>19</v>
      </c>
      <c r="C236" s="7" t="s">
        <v>21</v>
      </c>
      <c r="D236" s="14"/>
      <c r="E236" s="14"/>
      <c r="F236" s="14"/>
      <c r="G236" s="14"/>
      <c r="H236" s="16"/>
      <c r="I236" s="17"/>
      <c r="J236" s="14"/>
      <c r="K236" s="14"/>
      <c r="L236" s="14"/>
      <c r="M236" s="14"/>
      <c r="N236" s="14"/>
      <c r="O236" s="14"/>
      <c r="P236" s="14"/>
      <c r="Q236" s="14"/>
      <c r="R236" s="14"/>
      <c r="S236" s="14"/>
      <c r="T236" s="18"/>
      <c r="U236" s="14">
        <v>1.175</v>
      </c>
      <c r="W236" s="38">
        <f t="shared" si="48"/>
        <v>0</v>
      </c>
      <c r="AB236" s="37" t="str">
        <f t="shared" si="52"/>
        <v>Maintenance</v>
      </c>
      <c r="AC236" s="36">
        <f t="shared" si="53"/>
        <v>0</v>
      </c>
    </row>
    <row r="237" spans="1:29" ht="13" thickBot="1" x14ac:dyDescent="0.3">
      <c r="A237" s="7" t="s">
        <v>9</v>
      </c>
      <c r="B237" s="19" t="s">
        <v>20</v>
      </c>
      <c r="C237" s="20" t="s">
        <v>21</v>
      </c>
      <c r="D237" s="21"/>
      <c r="E237" s="21"/>
      <c r="F237" s="21"/>
      <c r="G237" s="21"/>
      <c r="H237" s="22"/>
      <c r="I237" s="23"/>
      <c r="J237" s="21"/>
      <c r="K237" s="21"/>
      <c r="L237" s="21"/>
      <c r="M237" s="21"/>
      <c r="N237" s="21"/>
      <c r="O237" s="21"/>
      <c r="P237" s="21"/>
      <c r="Q237" s="21"/>
      <c r="R237" s="21"/>
      <c r="S237" s="21"/>
      <c r="T237" s="24"/>
      <c r="U237" s="14">
        <v>1.175</v>
      </c>
      <c r="W237" s="38">
        <f t="shared" si="48"/>
        <v>0</v>
      </c>
      <c r="AB237" s="37" t="str">
        <f t="shared" si="52"/>
        <v>Startup</v>
      </c>
      <c r="AC237" s="36">
        <f t="shared" si="53"/>
        <v>0</v>
      </c>
    </row>
    <row r="238" spans="1:29" ht="13" thickBot="1" x14ac:dyDescent="0.3">
      <c r="A238" s="20" t="s">
        <v>9</v>
      </c>
      <c r="B238" s="25" t="s">
        <v>12</v>
      </c>
      <c r="C238" s="26" t="s">
        <v>21</v>
      </c>
      <c r="D238" s="27"/>
      <c r="E238" s="27"/>
      <c r="F238" s="27"/>
      <c r="G238" s="27"/>
      <c r="H238" s="28"/>
      <c r="I238" s="29"/>
      <c r="J238" s="27"/>
      <c r="K238" s="27"/>
      <c r="L238" s="27"/>
      <c r="M238" s="27"/>
      <c r="N238" s="27"/>
      <c r="O238" s="27"/>
      <c r="P238" s="27"/>
      <c r="Q238" s="27"/>
      <c r="R238" s="27"/>
      <c r="S238" s="27"/>
      <c r="T238" s="29"/>
      <c r="U238" s="14">
        <v>1.175</v>
      </c>
      <c r="W238" s="38">
        <f t="shared" si="48"/>
        <v>0</v>
      </c>
      <c r="X238" s="35">
        <f>W237+W236+W233</f>
        <v>0</v>
      </c>
      <c r="Y238" s="35">
        <f>W231</f>
        <v>0</v>
      </c>
      <c r="Z238" s="40" t="e">
        <f>V229/X238</f>
        <v>#DIV/0!</v>
      </c>
      <c r="AA238" s="40">
        <f>IF((Y238=0),0,Y230/Y238)</f>
        <v>0</v>
      </c>
      <c r="AB238" s="48"/>
      <c r="AC238" s="48"/>
    </row>
    <row r="239" spans="1:29" ht="13" thickBot="1" x14ac:dyDescent="0.3">
      <c r="A239" s="9" t="s">
        <v>79</v>
      </c>
      <c r="B239" s="30" t="s">
        <v>15</v>
      </c>
      <c r="C239" s="31" t="s">
        <v>94</v>
      </c>
      <c r="D239" s="32" t="s">
        <v>47</v>
      </c>
      <c r="E239" s="53" t="s">
        <v>104</v>
      </c>
      <c r="F239" s="53" t="s">
        <v>105</v>
      </c>
      <c r="G239" s="53" t="s">
        <v>106</v>
      </c>
      <c r="H239" s="28" t="s">
        <v>12</v>
      </c>
      <c r="I239" s="54" t="s">
        <v>107</v>
      </c>
      <c r="J239" s="53" t="s">
        <v>108</v>
      </c>
      <c r="K239" s="53" t="s">
        <v>109</v>
      </c>
      <c r="L239" s="53" t="s">
        <v>110</v>
      </c>
      <c r="M239" s="53" t="s">
        <v>111</v>
      </c>
      <c r="N239" s="53" t="s">
        <v>115</v>
      </c>
      <c r="O239" s="53" t="s">
        <v>120</v>
      </c>
      <c r="P239" s="53" t="s">
        <v>121</v>
      </c>
      <c r="Q239" s="53" t="s">
        <v>164</v>
      </c>
      <c r="R239" s="53" t="s">
        <v>173</v>
      </c>
      <c r="S239" s="53" t="s">
        <v>177</v>
      </c>
      <c r="T239" s="55" t="s">
        <v>182</v>
      </c>
      <c r="U239" s="14">
        <v>1.175</v>
      </c>
      <c r="V239" s="14" t="s">
        <v>183</v>
      </c>
      <c r="W239" s="35"/>
      <c r="X239" s="14" t="s">
        <v>37</v>
      </c>
      <c r="Y239" s="14" t="s">
        <v>38</v>
      </c>
      <c r="AB239" s="48"/>
      <c r="AC239" s="48"/>
    </row>
    <row r="240" spans="1:29" x14ac:dyDescent="0.25">
      <c r="A240" s="7" t="s">
        <v>79</v>
      </c>
      <c r="B240" s="8" t="s">
        <v>17</v>
      </c>
      <c r="C240" s="9" t="s">
        <v>18</v>
      </c>
      <c r="D240" s="10">
        <v>16</v>
      </c>
      <c r="E240" s="10">
        <v>0</v>
      </c>
      <c r="F240" s="10">
        <v>0</v>
      </c>
      <c r="G240" s="10">
        <v>0</v>
      </c>
      <c r="H240" s="11">
        <v>16</v>
      </c>
      <c r="I240" s="12">
        <v>0</v>
      </c>
      <c r="J240" s="10">
        <v>0</v>
      </c>
      <c r="K240" s="10">
        <v>0</v>
      </c>
      <c r="L240" s="10">
        <v>0</v>
      </c>
      <c r="M240" s="10">
        <v>0</v>
      </c>
      <c r="N240" s="10">
        <v>0</v>
      </c>
      <c r="O240" s="10">
        <v>0</v>
      </c>
      <c r="P240" s="10">
        <v>0</v>
      </c>
      <c r="Q240" s="10">
        <v>0</v>
      </c>
      <c r="R240" s="10">
        <v>0</v>
      </c>
      <c r="S240" s="10">
        <v>0</v>
      </c>
      <c r="T240" s="13">
        <v>0</v>
      </c>
      <c r="U240" s="14">
        <v>1.175</v>
      </c>
      <c r="V240" s="42">
        <f>SUM(I240:T240)/H240</f>
        <v>0</v>
      </c>
      <c r="W240" s="39">
        <f>SUM(I240:T240)*U240</f>
        <v>0</v>
      </c>
    </row>
    <row r="241" spans="1:29" x14ac:dyDescent="0.25">
      <c r="A241" s="7" t="s">
        <v>79</v>
      </c>
      <c r="B241" s="15" t="s">
        <v>66</v>
      </c>
      <c r="C241" s="7" t="s">
        <v>18</v>
      </c>
      <c r="D241" s="14">
        <v>0</v>
      </c>
      <c r="E241" s="14">
        <v>0</v>
      </c>
      <c r="F241" s="14">
        <v>0</v>
      </c>
      <c r="G241" s="14">
        <v>0</v>
      </c>
      <c r="H241" s="16">
        <v>0</v>
      </c>
      <c r="I241" s="17">
        <v>0</v>
      </c>
      <c r="J241" s="14">
        <v>0</v>
      </c>
      <c r="K241" s="14">
        <v>0</v>
      </c>
      <c r="L241" s="14">
        <v>0</v>
      </c>
      <c r="M241" s="14">
        <v>0</v>
      </c>
      <c r="N241" s="14">
        <v>0</v>
      </c>
      <c r="O241" s="14">
        <v>0</v>
      </c>
      <c r="P241" s="14">
        <v>0</v>
      </c>
      <c r="Q241" s="14">
        <v>0</v>
      </c>
      <c r="R241" s="14">
        <v>0</v>
      </c>
      <c r="S241" s="14">
        <v>0</v>
      </c>
      <c r="T241" s="18">
        <v>0</v>
      </c>
      <c r="U241" s="14">
        <v>1.175</v>
      </c>
      <c r="V241" s="44"/>
      <c r="W241" s="39">
        <f t="shared" ref="W241:W247" si="54">SUM(I241:T241)*U241</f>
        <v>0</v>
      </c>
    </row>
    <row r="242" spans="1:29" x14ac:dyDescent="0.25">
      <c r="A242" s="7" t="s">
        <v>79</v>
      </c>
      <c r="B242" s="15" t="s">
        <v>13</v>
      </c>
      <c r="C242" s="7" t="s">
        <v>18</v>
      </c>
      <c r="D242" s="14">
        <v>0</v>
      </c>
      <c r="E242" s="14">
        <v>0</v>
      </c>
      <c r="F242" s="14">
        <v>0</v>
      </c>
      <c r="G242" s="14">
        <v>135</v>
      </c>
      <c r="H242" s="16">
        <v>334</v>
      </c>
      <c r="I242" s="17">
        <v>198</v>
      </c>
      <c r="J242" s="14">
        <v>1</v>
      </c>
      <c r="K242" s="14">
        <v>0</v>
      </c>
      <c r="L242" s="14">
        <v>0</v>
      </c>
      <c r="M242" s="14">
        <v>0</v>
      </c>
      <c r="N242" s="14">
        <v>0</v>
      </c>
      <c r="O242" s="14">
        <v>0</v>
      </c>
      <c r="P242" s="14">
        <v>0</v>
      </c>
      <c r="Q242" s="14">
        <v>0</v>
      </c>
      <c r="R242" s="14">
        <v>0</v>
      </c>
      <c r="S242" s="14">
        <v>0</v>
      </c>
      <c r="T242" s="18">
        <v>0</v>
      </c>
      <c r="U242" s="14">
        <v>1.175</v>
      </c>
      <c r="V242" s="41"/>
      <c r="W242" s="39">
        <f t="shared" si="54"/>
        <v>233.82500000000002</v>
      </c>
    </row>
    <row r="243" spans="1:29" x14ac:dyDescent="0.25">
      <c r="A243" s="7" t="s">
        <v>79</v>
      </c>
      <c r="B243" s="15" t="s">
        <v>67</v>
      </c>
      <c r="C243" s="7" t="s">
        <v>18</v>
      </c>
      <c r="D243" s="14">
        <v>0</v>
      </c>
      <c r="E243" s="14">
        <v>0</v>
      </c>
      <c r="F243" s="14">
        <v>0</v>
      </c>
      <c r="G243" s="14">
        <v>25</v>
      </c>
      <c r="H243" s="16">
        <v>420</v>
      </c>
      <c r="I243" s="17">
        <v>96</v>
      </c>
      <c r="J243" s="14">
        <v>269</v>
      </c>
      <c r="K243" s="14">
        <v>30</v>
      </c>
      <c r="L243" s="14">
        <v>0</v>
      </c>
      <c r="M243" s="14">
        <v>0</v>
      </c>
      <c r="N243" s="14">
        <v>0</v>
      </c>
      <c r="O243" s="14">
        <v>0</v>
      </c>
      <c r="P243" s="14">
        <v>0</v>
      </c>
      <c r="Q243" s="14">
        <v>0</v>
      </c>
      <c r="R243" s="14">
        <v>0</v>
      </c>
      <c r="S243" s="14">
        <v>0</v>
      </c>
      <c r="T243" s="18">
        <v>0</v>
      </c>
      <c r="U243" s="14">
        <v>1.175</v>
      </c>
      <c r="V243" s="41"/>
      <c r="W243" s="39">
        <f t="shared" si="54"/>
        <v>464.125</v>
      </c>
    </row>
    <row r="244" spans="1:29" x14ac:dyDescent="0.25">
      <c r="A244" s="7" t="s">
        <v>79</v>
      </c>
      <c r="B244" s="15" t="s">
        <v>73</v>
      </c>
      <c r="C244" s="7" t="s">
        <v>18</v>
      </c>
      <c r="D244" s="14">
        <v>0</v>
      </c>
      <c r="E244" s="14">
        <v>30</v>
      </c>
      <c r="F244" s="14">
        <v>0</v>
      </c>
      <c r="G244" s="14">
        <v>0</v>
      </c>
      <c r="H244" s="16">
        <v>884</v>
      </c>
      <c r="I244" s="17">
        <v>832</v>
      </c>
      <c r="J244" s="14">
        <v>17</v>
      </c>
      <c r="K244" s="14">
        <v>5</v>
      </c>
      <c r="L244" s="14">
        <v>0</v>
      </c>
      <c r="M244" s="14">
        <v>0</v>
      </c>
      <c r="N244" s="14">
        <v>0</v>
      </c>
      <c r="O244" s="14">
        <v>0</v>
      </c>
      <c r="P244" s="14">
        <v>0</v>
      </c>
      <c r="Q244" s="14">
        <v>0</v>
      </c>
      <c r="R244" s="14">
        <v>0</v>
      </c>
      <c r="S244" s="14">
        <v>0</v>
      </c>
      <c r="T244" s="18">
        <v>0</v>
      </c>
      <c r="U244" s="14">
        <v>1.175</v>
      </c>
      <c r="V244" s="41"/>
      <c r="W244" s="39">
        <f t="shared" si="54"/>
        <v>1003.45</v>
      </c>
    </row>
    <row r="245" spans="1:29" x14ac:dyDescent="0.25">
      <c r="A245" s="7" t="s">
        <v>79</v>
      </c>
      <c r="B245" s="15" t="s">
        <v>19</v>
      </c>
      <c r="C245" s="7" t="s">
        <v>18</v>
      </c>
      <c r="D245" s="14">
        <v>0</v>
      </c>
      <c r="E245" s="14">
        <v>0</v>
      </c>
      <c r="F245" s="14">
        <v>11</v>
      </c>
      <c r="G245" s="14">
        <v>0</v>
      </c>
      <c r="H245" s="16">
        <v>112</v>
      </c>
      <c r="I245" s="17">
        <v>101</v>
      </c>
      <c r="J245" s="14">
        <v>0</v>
      </c>
      <c r="K245" s="14">
        <v>0</v>
      </c>
      <c r="L245" s="14">
        <v>0</v>
      </c>
      <c r="M245" s="14">
        <v>0</v>
      </c>
      <c r="N245" s="14">
        <v>0</v>
      </c>
      <c r="O245" s="14">
        <v>0</v>
      </c>
      <c r="P245" s="14">
        <v>0</v>
      </c>
      <c r="Q245" s="14">
        <v>0</v>
      </c>
      <c r="R245" s="14">
        <v>0</v>
      </c>
      <c r="S245" s="14">
        <v>0</v>
      </c>
      <c r="T245" s="18">
        <v>0</v>
      </c>
      <c r="U245" s="14">
        <v>1.175</v>
      </c>
      <c r="V245" s="41"/>
      <c r="W245" s="39">
        <f t="shared" si="54"/>
        <v>118.67500000000001</v>
      </c>
    </row>
    <row r="246" spans="1:29" ht="13" thickBot="1" x14ac:dyDescent="0.3">
      <c r="A246" s="7" t="s">
        <v>79</v>
      </c>
      <c r="B246" s="19" t="s">
        <v>20</v>
      </c>
      <c r="C246" s="20" t="s">
        <v>18</v>
      </c>
      <c r="D246" s="21">
        <v>0</v>
      </c>
      <c r="E246" s="21">
        <v>0</v>
      </c>
      <c r="F246" s="21">
        <v>0</v>
      </c>
      <c r="G246" s="21">
        <v>0</v>
      </c>
      <c r="H246" s="22">
        <v>0</v>
      </c>
      <c r="I246" s="23">
        <v>0</v>
      </c>
      <c r="J246" s="21">
        <v>0</v>
      </c>
      <c r="K246" s="21">
        <v>0</v>
      </c>
      <c r="L246" s="21">
        <v>0</v>
      </c>
      <c r="M246" s="21">
        <v>0</v>
      </c>
      <c r="N246" s="21">
        <v>0</v>
      </c>
      <c r="O246" s="21">
        <v>0</v>
      </c>
      <c r="P246" s="21">
        <v>0</v>
      </c>
      <c r="Q246" s="21">
        <v>0</v>
      </c>
      <c r="R246" s="21">
        <v>0</v>
      </c>
      <c r="S246" s="21">
        <v>0</v>
      </c>
      <c r="T246" s="24">
        <v>0</v>
      </c>
      <c r="U246" s="14">
        <v>1.175</v>
      </c>
      <c r="V246" s="44"/>
      <c r="W246" s="39">
        <f t="shared" si="54"/>
        <v>0</v>
      </c>
    </row>
    <row r="247" spans="1:29" ht="13" thickBot="1" x14ac:dyDescent="0.3">
      <c r="A247" s="7" t="s">
        <v>79</v>
      </c>
      <c r="B247" s="25" t="s">
        <v>12</v>
      </c>
      <c r="C247" s="26" t="s">
        <v>18</v>
      </c>
      <c r="D247" s="27">
        <v>16</v>
      </c>
      <c r="E247" s="27">
        <v>30</v>
      </c>
      <c r="F247" s="27">
        <v>11</v>
      </c>
      <c r="G247" s="27">
        <v>160</v>
      </c>
      <c r="H247" s="28">
        <v>1766</v>
      </c>
      <c r="I247" s="29">
        <v>1227</v>
      </c>
      <c r="J247" s="27">
        <v>287</v>
      </c>
      <c r="K247" s="27">
        <v>35</v>
      </c>
      <c r="L247" s="27">
        <v>0</v>
      </c>
      <c r="M247" s="27">
        <v>0</v>
      </c>
      <c r="N247" s="27">
        <v>0</v>
      </c>
      <c r="O247" s="27">
        <v>0</v>
      </c>
      <c r="P247" s="27">
        <v>0</v>
      </c>
      <c r="Q247" s="27">
        <v>0</v>
      </c>
      <c r="R247" s="27">
        <v>0</v>
      </c>
      <c r="S247" s="27">
        <v>0</v>
      </c>
      <c r="T247" s="29">
        <v>0</v>
      </c>
      <c r="U247" s="14">
        <v>1.175</v>
      </c>
      <c r="V247" s="43">
        <f>SUM(I242:T245)/SUM(H242:H245)</f>
        <v>0.88514285714285712</v>
      </c>
      <c r="W247" s="39">
        <f t="shared" si="54"/>
        <v>1820.075</v>
      </c>
      <c r="X247" s="35">
        <f>W245+W242</f>
        <v>352.5</v>
      </c>
      <c r="Y247" s="35">
        <f>W240</f>
        <v>0</v>
      </c>
    </row>
    <row r="248" spans="1:29" x14ac:dyDescent="0.25">
      <c r="A248" s="7" t="s">
        <v>79</v>
      </c>
      <c r="B248" s="8" t="s">
        <v>17</v>
      </c>
      <c r="C248" s="9" t="s">
        <v>21</v>
      </c>
      <c r="D248" s="10">
        <v>0</v>
      </c>
      <c r="E248" s="10">
        <v>0</v>
      </c>
      <c r="F248" s="10">
        <v>0</v>
      </c>
      <c r="G248" s="10">
        <v>0</v>
      </c>
      <c r="H248" s="11">
        <v>0</v>
      </c>
      <c r="I248" s="12">
        <v>0</v>
      </c>
      <c r="J248" s="10">
        <v>0</v>
      </c>
      <c r="K248" s="10">
        <v>0</v>
      </c>
      <c r="L248" s="10">
        <v>0</v>
      </c>
      <c r="M248" s="10">
        <v>0</v>
      </c>
      <c r="N248" s="10">
        <v>0</v>
      </c>
      <c r="O248" s="10">
        <v>0</v>
      </c>
      <c r="P248" s="10">
        <v>0</v>
      </c>
      <c r="Q248" s="10">
        <v>0</v>
      </c>
      <c r="R248" s="10">
        <v>0</v>
      </c>
      <c r="S248" s="10">
        <v>0</v>
      </c>
      <c r="T248" s="13">
        <v>0</v>
      </c>
      <c r="U248" s="14">
        <v>1.175</v>
      </c>
      <c r="W248" s="38">
        <f t="shared" ref="W248:W289" si="55">H248*U248</f>
        <v>0</v>
      </c>
      <c r="AB248" s="37" t="str">
        <f t="shared" ref="AB248:AB254" si="56">B248</f>
        <v>Parts-OTC</v>
      </c>
      <c r="AC248" s="36">
        <f t="shared" ref="AC248:AC254" si="57">I248*U248</f>
        <v>0</v>
      </c>
    </row>
    <row r="249" spans="1:29" x14ac:dyDescent="0.25">
      <c r="A249" s="7" t="s">
        <v>79</v>
      </c>
      <c r="B249" s="15" t="s">
        <v>66</v>
      </c>
      <c r="C249" s="7" t="s">
        <v>21</v>
      </c>
      <c r="D249" s="14">
        <v>0</v>
      </c>
      <c r="E249" s="14">
        <v>0</v>
      </c>
      <c r="F249" s="14">
        <v>0</v>
      </c>
      <c r="G249" s="14">
        <v>0</v>
      </c>
      <c r="H249" s="16">
        <v>0</v>
      </c>
      <c r="I249" s="17">
        <v>0</v>
      </c>
      <c r="J249" s="14">
        <v>0</v>
      </c>
      <c r="K249" s="14">
        <v>0</v>
      </c>
      <c r="L249" s="14">
        <v>0</v>
      </c>
      <c r="M249" s="14">
        <v>0</v>
      </c>
      <c r="N249" s="14">
        <v>0</v>
      </c>
      <c r="O249" s="14">
        <v>0</v>
      </c>
      <c r="P249" s="14">
        <v>0</v>
      </c>
      <c r="Q249" s="14">
        <v>0</v>
      </c>
      <c r="R249" s="14">
        <v>0</v>
      </c>
      <c r="S249" s="14">
        <v>0</v>
      </c>
      <c r="T249" s="18">
        <v>0</v>
      </c>
      <c r="U249" s="14">
        <v>1.175</v>
      </c>
      <c r="W249" s="38">
        <f t="shared" si="55"/>
        <v>0</v>
      </c>
      <c r="AB249" s="37" t="str">
        <f t="shared" si="56"/>
        <v>CTKS</v>
      </c>
      <c r="AC249" s="36">
        <f t="shared" si="57"/>
        <v>0</v>
      </c>
    </row>
    <row r="250" spans="1:29" x14ac:dyDescent="0.25">
      <c r="A250" s="7" t="s">
        <v>79</v>
      </c>
      <c r="B250" s="15" t="s">
        <v>13</v>
      </c>
      <c r="C250" s="7" t="s">
        <v>21</v>
      </c>
      <c r="D250" s="14">
        <v>0</v>
      </c>
      <c r="E250" s="14">
        <v>0</v>
      </c>
      <c r="F250" s="14">
        <v>0</v>
      </c>
      <c r="G250" s="14">
        <v>0</v>
      </c>
      <c r="H250" s="16">
        <v>80</v>
      </c>
      <c r="I250" s="17">
        <v>41</v>
      </c>
      <c r="J250" s="14">
        <v>20</v>
      </c>
      <c r="K250" s="14">
        <v>0</v>
      </c>
      <c r="L250" s="14">
        <v>0</v>
      </c>
      <c r="M250" s="14">
        <v>9</v>
      </c>
      <c r="N250" s="14">
        <v>0</v>
      </c>
      <c r="O250" s="14">
        <v>0</v>
      </c>
      <c r="P250" s="14">
        <v>0</v>
      </c>
      <c r="Q250" s="14">
        <v>10</v>
      </c>
      <c r="R250" s="14">
        <v>0</v>
      </c>
      <c r="S250" s="14">
        <v>0</v>
      </c>
      <c r="T250" s="18">
        <v>0</v>
      </c>
      <c r="U250" s="14">
        <v>1.175</v>
      </c>
      <c r="W250" s="38">
        <f t="shared" si="55"/>
        <v>94</v>
      </c>
      <c r="AB250" s="37" t="str">
        <f t="shared" si="56"/>
        <v>Repair</v>
      </c>
      <c r="AC250" s="36">
        <f t="shared" si="57"/>
        <v>48.175000000000004</v>
      </c>
    </row>
    <row r="251" spans="1:29" x14ac:dyDescent="0.25">
      <c r="A251" s="7" t="s">
        <v>79</v>
      </c>
      <c r="B251" s="15" t="s">
        <v>67</v>
      </c>
      <c r="C251" s="7" t="s">
        <v>21</v>
      </c>
      <c r="D251" s="14">
        <v>0</v>
      </c>
      <c r="E251" s="14">
        <v>0</v>
      </c>
      <c r="F251" s="14">
        <v>0</v>
      </c>
      <c r="G251" s="14">
        <v>0</v>
      </c>
      <c r="H251" s="16">
        <v>206</v>
      </c>
      <c r="I251" s="17">
        <v>74</v>
      </c>
      <c r="J251" s="14">
        <v>24</v>
      </c>
      <c r="K251" s="14">
        <v>34</v>
      </c>
      <c r="L251" s="14">
        <v>27</v>
      </c>
      <c r="M251" s="14">
        <v>27</v>
      </c>
      <c r="N251" s="14">
        <v>17</v>
      </c>
      <c r="O251" s="14">
        <v>3</v>
      </c>
      <c r="P251" s="14">
        <v>0</v>
      </c>
      <c r="Q251" s="14">
        <v>0</v>
      </c>
      <c r="R251" s="14">
        <v>0</v>
      </c>
      <c r="S251" s="14">
        <v>0</v>
      </c>
      <c r="T251" s="18">
        <v>0</v>
      </c>
      <c r="U251" s="14">
        <v>1.175</v>
      </c>
      <c r="W251" s="38">
        <f t="shared" si="55"/>
        <v>242.05</v>
      </c>
      <c r="AB251" s="37" t="str">
        <f t="shared" si="56"/>
        <v>Rental</v>
      </c>
      <c r="AC251" s="36">
        <f t="shared" si="57"/>
        <v>86.95</v>
      </c>
    </row>
    <row r="252" spans="1:29" x14ac:dyDescent="0.25">
      <c r="A252" s="7" t="s">
        <v>79</v>
      </c>
      <c r="B252" s="15" t="s">
        <v>73</v>
      </c>
      <c r="C252" s="7" t="s">
        <v>21</v>
      </c>
      <c r="D252" s="14">
        <v>0</v>
      </c>
      <c r="E252" s="14">
        <v>0</v>
      </c>
      <c r="F252" s="14">
        <v>0</v>
      </c>
      <c r="G252" s="14">
        <v>0</v>
      </c>
      <c r="H252" s="16">
        <v>137</v>
      </c>
      <c r="I252" s="17">
        <v>73</v>
      </c>
      <c r="J252" s="14">
        <v>64</v>
      </c>
      <c r="K252" s="14">
        <v>0</v>
      </c>
      <c r="L252" s="14">
        <v>0</v>
      </c>
      <c r="M252" s="14">
        <v>0</v>
      </c>
      <c r="N252" s="14">
        <v>0</v>
      </c>
      <c r="O252" s="14">
        <v>0</v>
      </c>
      <c r="P252" s="14">
        <v>0</v>
      </c>
      <c r="Q252" s="14">
        <v>0</v>
      </c>
      <c r="R252" s="14">
        <v>0</v>
      </c>
      <c r="S252" s="14">
        <v>0</v>
      </c>
      <c r="T252" s="18">
        <v>0</v>
      </c>
      <c r="U252" s="14">
        <v>1.175</v>
      </c>
      <c r="W252" s="38">
        <f t="shared" si="55"/>
        <v>160.97499999999999</v>
      </c>
      <c r="AB252" s="37"/>
    </row>
    <row r="253" spans="1:29" x14ac:dyDescent="0.25">
      <c r="A253" s="7" t="s">
        <v>79</v>
      </c>
      <c r="B253" s="15" t="s">
        <v>19</v>
      </c>
      <c r="C253" s="7" t="s">
        <v>21</v>
      </c>
      <c r="D253" s="14">
        <v>0</v>
      </c>
      <c r="E253" s="14">
        <v>0</v>
      </c>
      <c r="F253" s="14">
        <v>0</v>
      </c>
      <c r="G253" s="14">
        <v>0</v>
      </c>
      <c r="H253" s="16">
        <v>570</v>
      </c>
      <c r="I253" s="17">
        <v>88</v>
      </c>
      <c r="J253" s="14">
        <v>87</v>
      </c>
      <c r="K253" s="14">
        <v>74</v>
      </c>
      <c r="L253" s="14">
        <v>52</v>
      </c>
      <c r="M253" s="14">
        <v>36</v>
      </c>
      <c r="N253" s="14">
        <v>35</v>
      </c>
      <c r="O253" s="14">
        <v>45</v>
      </c>
      <c r="P253" s="14">
        <v>60</v>
      </c>
      <c r="Q253" s="14">
        <v>36</v>
      </c>
      <c r="R253" s="14">
        <v>23</v>
      </c>
      <c r="S253" s="14">
        <v>19</v>
      </c>
      <c r="T253" s="18">
        <v>15</v>
      </c>
      <c r="U253" s="14">
        <v>1.175</v>
      </c>
      <c r="W253" s="38">
        <f t="shared" si="55"/>
        <v>669.75</v>
      </c>
      <c r="AB253" s="37" t="str">
        <f t="shared" si="56"/>
        <v>Maintenance</v>
      </c>
      <c r="AC253" s="36">
        <f t="shared" si="57"/>
        <v>103.4</v>
      </c>
    </row>
    <row r="254" spans="1:29" ht="13" thickBot="1" x14ac:dyDescent="0.3">
      <c r="A254" s="7" t="s">
        <v>79</v>
      </c>
      <c r="B254" s="19" t="s">
        <v>20</v>
      </c>
      <c r="C254" s="20" t="s">
        <v>21</v>
      </c>
      <c r="D254" s="21">
        <v>0</v>
      </c>
      <c r="E254" s="21">
        <v>0</v>
      </c>
      <c r="F254" s="21">
        <v>0</v>
      </c>
      <c r="G254" s="21">
        <v>0</v>
      </c>
      <c r="H254" s="22">
        <v>0</v>
      </c>
      <c r="I254" s="23">
        <v>0</v>
      </c>
      <c r="J254" s="21">
        <v>0</v>
      </c>
      <c r="K254" s="21">
        <v>0</v>
      </c>
      <c r="L254" s="21">
        <v>0</v>
      </c>
      <c r="M254" s="21">
        <v>0</v>
      </c>
      <c r="N254" s="21">
        <v>0</v>
      </c>
      <c r="O254" s="21">
        <v>0</v>
      </c>
      <c r="P254" s="21">
        <v>0</v>
      </c>
      <c r="Q254" s="21">
        <v>0</v>
      </c>
      <c r="R254" s="21">
        <v>0</v>
      </c>
      <c r="S254" s="21">
        <v>0</v>
      </c>
      <c r="T254" s="24">
        <v>0</v>
      </c>
      <c r="U254" s="14">
        <v>1.175</v>
      </c>
      <c r="W254" s="38">
        <f t="shared" si="55"/>
        <v>0</v>
      </c>
      <c r="AB254" s="37" t="str">
        <f t="shared" si="56"/>
        <v>Startup</v>
      </c>
      <c r="AC254" s="36">
        <f t="shared" si="57"/>
        <v>0</v>
      </c>
    </row>
    <row r="255" spans="1:29" ht="13" thickBot="1" x14ac:dyDescent="0.3">
      <c r="A255" s="20" t="s">
        <v>79</v>
      </c>
      <c r="B255" s="25" t="s">
        <v>12</v>
      </c>
      <c r="C255" s="26" t="s">
        <v>21</v>
      </c>
      <c r="D255" s="27">
        <v>0</v>
      </c>
      <c r="E255" s="27">
        <v>0</v>
      </c>
      <c r="F255" s="27">
        <v>0</v>
      </c>
      <c r="G255" s="27">
        <v>0</v>
      </c>
      <c r="H255" s="28">
        <v>993</v>
      </c>
      <c r="I255" s="29">
        <v>276</v>
      </c>
      <c r="J255" s="27">
        <v>195</v>
      </c>
      <c r="K255" s="27">
        <v>108</v>
      </c>
      <c r="L255" s="27">
        <v>79</v>
      </c>
      <c r="M255" s="27">
        <v>72</v>
      </c>
      <c r="N255" s="27">
        <v>52</v>
      </c>
      <c r="O255" s="27">
        <v>48</v>
      </c>
      <c r="P255" s="27">
        <v>60</v>
      </c>
      <c r="Q255" s="27">
        <v>46</v>
      </c>
      <c r="R255" s="27">
        <v>23</v>
      </c>
      <c r="S255" s="27">
        <v>19</v>
      </c>
      <c r="T255" s="29">
        <v>15</v>
      </c>
      <c r="U255" s="14">
        <v>1.175</v>
      </c>
      <c r="W255" s="38">
        <f t="shared" si="55"/>
        <v>1166.7750000000001</v>
      </c>
      <c r="X255" s="35">
        <f>W254+W253+W250</f>
        <v>763.75</v>
      </c>
      <c r="Y255" s="35">
        <f>W248</f>
        <v>0</v>
      </c>
      <c r="Z255" s="40">
        <f>V246/X255</f>
        <v>0</v>
      </c>
      <c r="AA255" s="40">
        <f>IF((Y255=0),0,Y247/Y255)</f>
        <v>0</v>
      </c>
      <c r="AB255" s="48"/>
      <c r="AC255" s="48"/>
    </row>
    <row r="256" spans="1:29" ht="13" thickBot="1" x14ac:dyDescent="0.3">
      <c r="A256" s="9" t="s">
        <v>35</v>
      </c>
      <c r="B256" s="30" t="s">
        <v>15</v>
      </c>
      <c r="C256" s="31" t="s">
        <v>94</v>
      </c>
      <c r="D256" s="32" t="s">
        <v>47</v>
      </c>
      <c r="E256" s="53" t="s">
        <v>104</v>
      </c>
      <c r="F256" s="53" t="s">
        <v>105</v>
      </c>
      <c r="G256" s="53" t="s">
        <v>106</v>
      </c>
      <c r="H256" s="28" t="s">
        <v>12</v>
      </c>
      <c r="I256" s="54" t="s">
        <v>107</v>
      </c>
      <c r="J256" s="53" t="s">
        <v>108</v>
      </c>
      <c r="K256" s="53" t="s">
        <v>109</v>
      </c>
      <c r="L256" s="53" t="s">
        <v>110</v>
      </c>
      <c r="M256" s="53" t="s">
        <v>111</v>
      </c>
      <c r="N256" s="53" t="s">
        <v>115</v>
      </c>
      <c r="O256" s="53" t="s">
        <v>120</v>
      </c>
      <c r="P256" s="53" t="s">
        <v>121</v>
      </c>
      <c r="Q256" s="53" t="s">
        <v>164</v>
      </c>
      <c r="R256" s="53" t="s">
        <v>173</v>
      </c>
      <c r="S256" s="53" t="s">
        <v>177</v>
      </c>
      <c r="T256" s="55" t="s">
        <v>182</v>
      </c>
      <c r="U256" s="14">
        <v>1.175</v>
      </c>
      <c r="V256" s="14" t="s">
        <v>183</v>
      </c>
      <c r="W256" s="35"/>
      <c r="X256" s="14" t="s">
        <v>37</v>
      </c>
      <c r="Y256" s="14" t="s">
        <v>38</v>
      </c>
      <c r="AB256" s="48"/>
      <c r="AC256" s="48"/>
    </row>
    <row r="257" spans="1:29" x14ac:dyDescent="0.25">
      <c r="A257" s="7" t="s">
        <v>35</v>
      </c>
      <c r="B257" s="8" t="s">
        <v>17</v>
      </c>
      <c r="C257" s="9" t="s">
        <v>18</v>
      </c>
      <c r="D257" s="10">
        <v>0</v>
      </c>
      <c r="E257" s="10">
        <v>0</v>
      </c>
      <c r="F257" s="10">
        <v>0</v>
      </c>
      <c r="G257" s="10">
        <v>0</v>
      </c>
      <c r="H257" s="11">
        <v>1443</v>
      </c>
      <c r="I257" s="12">
        <v>6</v>
      </c>
      <c r="J257" s="10">
        <v>1437</v>
      </c>
      <c r="K257" s="10">
        <v>0</v>
      </c>
      <c r="L257" s="10">
        <v>0</v>
      </c>
      <c r="M257" s="10">
        <v>0</v>
      </c>
      <c r="N257" s="10">
        <v>0</v>
      </c>
      <c r="O257" s="10">
        <v>0</v>
      </c>
      <c r="P257" s="10">
        <v>0</v>
      </c>
      <c r="Q257" s="10">
        <v>0</v>
      </c>
      <c r="R257" s="10">
        <v>0</v>
      </c>
      <c r="S257" s="10">
        <v>0</v>
      </c>
      <c r="T257" s="13">
        <v>0</v>
      </c>
      <c r="U257" s="14">
        <v>1.175</v>
      </c>
      <c r="V257" s="42">
        <f>SUM(I257:T257)/H257</f>
        <v>1</v>
      </c>
      <c r="W257" s="39">
        <f>SUM(I257:T257)*U257</f>
        <v>1695.5250000000001</v>
      </c>
    </row>
    <row r="258" spans="1:29" x14ac:dyDescent="0.25">
      <c r="A258" s="7" t="s">
        <v>35</v>
      </c>
      <c r="B258" s="15" t="s">
        <v>66</v>
      </c>
      <c r="C258" s="7" t="s">
        <v>18</v>
      </c>
      <c r="D258" s="14">
        <v>0</v>
      </c>
      <c r="E258" s="14">
        <v>0</v>
      </c>
      <c r="F258" s="14">
        <v>0</v>
      </c>
      <c r="G258" s="14">
        <v>0</v>
      </c>
      <c r="H258" s="16">
        <v>360</v>
      </c>
      <c r="I258" s="17">
        <v>210</v>
      </c>
      <c r="J258" s="14">
        <v>150</v>
      </c>
      <c r="K258" s="14">
        <v>0</v>
      </c>
      <c r="L258" s="14">
        <v>0</v>
      </c>
      <c r="M258" s="14">
        <v>0</v>
      </c>
      <c r="N258" s="14">
        <v>0</v>
      </c>
      <c r="O258" s="14">
        <v>0</v>
      </c>
      <c r="P258" s="14">
        <v>0</v>
      </c>
      <c r="Q258" s="14">
        <v>0</v>
      </c>
      <c r="R258" s="14">
        <v>0</v>
      </c>
      <c r="S258" s="14">
        <v>0</v>
      </c>
      <c r="T258" s="18">
        <v>0</v>
      </c>
      <c r="U258" s="14">
        <v>1.175</v>
      </c>
      <c r="V258" s="44"/>
      <c r="W258" s="39">
        <f t="shared" ref="W258:W264" si="58">SUM(I258:T258)*U258</f>
        <v>423</v>
      </c>
    </row>
    <row r="259" spans="1:29" x14ac:dyDescent="0.25">
      <c r="A259" s="7" t="s">
        <v>35</v>
      </c>
      <c r="B259" s="15" t="s">
        <v>13</v>
      </c>
      <c r="C259" s="7" t="s">
        <v>18</v>
      </c>
      <c r="D259" s="14">
        <v>0</v>
      </c>
      <c r="E259" s="14">
        <v>0</v>
      </c>
      <c r="F259" s="14">
        <v>0</v>
      </c>
      <c r="G259" s="14">
        <v>0</v>
      </c>
      <c r="H259" s="16">
        <v>1803</v>
      </c>
      <c r="I259" s="17">
        <v>474</v>
      </c>
      <c r="J259" s="14">
        <v>1329</v>
      </c>
      <c r="K259" s="14">
        <v>0</v>
      </c>
      <c r="L259" s="14">
        <v>0</v>
      </c>
      <c r="M259" s="14">
        <v>0</v>
      </c>
      <c r="N259" s="14">
        <v>0</v>
      </c>
      <c r="O259" s="14">
        <v>0</v>
      </c>
      <c r="P259" s="14">
        <v>0</v>
      </c>
      <c r="Q259" s="14">
        <v>0</v>
      </c>
      <c r="R259" s="14">
        <v>0</v>
      </c>
      <c r="S259" s="14">
        <v>0</v>
      </c>
      <c r="T259" s="18">
        <v>0</v>
      </c>
      <c r="U259" s="14">
        <v>1.175</v>
      </c>
      <c r="V259" s="41"/>
      <c r="W259" s="39">
        <f t="shared" si="58"/>
        <v>2118.5250000000001</v>
      </c>
    </row>
    <row r="260" spans="1:29" x14ac:dyDescent="0.25">
      <c r="A260" s="7" t="s">
        <v>35</v>
      </c>
      <c r="B260" s="15" t="s">
        <v>67</v>
      </c>
      <c r="C260" s="7" t="s">
        <v>18</v>
      </c>
      <c r="D260" s="14">
        <v>0</v>
      </c>
      <c r="E260" s="14">
        <v>0</v>
      </c>
      <c r="F260" s="14">
        <v>0</v>
      </c>
      <c r="G260" s="14">
        <v>0</v>
      </c>
      <c r="H260" s="16">
        <v>1552</v>
      </c>
      <c r="I260" s="17">
        <v>129</v>
      </c>
      <c r="J260" s="14">
        <v>623</v>
      </c>
      <c r="K260" s="14">
        <v>800</v>
      </c>
      <c r="L260" s="14">
        <v>0</v>
      </c>
      <c r="M260" s="14">
        <v>0</v>
      </c>
      <c r="N260" s="14">
        <v>0</v>
      </c>
      <c r="O260" s="14">
        <v>0</v>
      </c>
      <c r="P260" s="14">
        <v>0</v>
      </c>
      <c r="Q260" s="14">
        <v>0</v>
      </c>
      <c r="R260" s="14">
        <v>0</v>
      </c>
      <c r="S260" s="14">
        <v>0</v>
      </c>
      <c r="T260" s="18">
        <v>0</v>
      </c>
      <c r="U260" s="14">
        <v>1.175</v>
      </c>
      <c r="V260" s="41"/>
      <c r="W260" s="39">
        <f t="shared" si="58"/>
        <v>1823.6000000000001</v>
      </c>
    </row>
    <row r="261" spans="1:29" x14ac:dyDescent="0.25">
      <c r="A261" s="7" t="s">
        <v>35</v>
      </c>
      <c r="B261" s="15" t="s">
        <v>73</v>
      </c>
      <c r="C261" s="7" t="s">
        <v>18</v>
      </c>
      <c r="D261" s="14">
        <v>0</v>
      </c>
      <c r="E261" s="14">
        <v>0</v>
      </c>
      <c r="F261" s="14">
        <v>0</v>
      </c>
      <c r="G261" s="14">
        <v>0</v>
      </c>
      <c r="H261" s="16">
        <v>1985</v>
      </c>
      <c r="I261" s="17">
        <v>366</v>
      </c>
      <c r="J261" s="14">
        <v>1619</v>
      </c>
      <c r="K261" s="14">
        <v>0</v>
      </c>
      <c r="L261" s="14">
        <v>0</v>
      </c>
      <c r="M261" s="14">
        <v>0</v>
      </c>
      <c r="N261" s="14">
        <v>0</v>
      </c>
      <c r="O261" s="14">
        <v>0</v>
      </c>
      <c r="P261" s="14">
        <v>0</v>
      </c>
      <c r="Q261" s="14">
        <v>0</v>
      </c>
      <c r="R261" s="14">
        <v>0</v>
      </c>
      <c r="S261" s="14">
        <v>0</v>
      </c>
      <c r="T261" s="18">
        <v>0</v>
      </c>
      <c r="U261" s="14">
        <v>1.175</v>
      </c>
      <c r="V261" s="41"/>
      <c r="W261" s="39">
        <f t="shared" si="58"/>
        <v>2332.375</v>
      </c>
    </row>
    <row r="262" spans="1:29" x14ac:dyDescent="0.25">
      <c r="A262" s="7" t="s">
        <v>35</v>
      </c>
      <c r="B262" s="15" t="s">
        <v>19</v>
      </c>
      <c r="C262" s="7" t="s">
        <v>18</v>
      </c>
      <c r="D262" s="14">
        <v>0</v>
      </c>
      <c r="E262" s="14">
        <v>0</v>
      </c>
      <c r="F262" s="14">
        <v>0</v>
      </c>
      <c r="G262" s="14">
        <v>0</v>
      </c>
      <c r="H262" s="16">
        <v>688</v>
      </c>
      <c r="I262" s="17">
        <v>394</v>
      </c>
      <c r="J262" s="14">
        <v>291</v>
      </c>
      <c r="K262" s="14">
        <v>0</v>
      </c>
      <c r="L262" s="14">
        <v>0</v>
      </c>
      <c r="M262" s="14">
        <v>3</v>
      </c>
      <c r="N262" s="14">
        <v>0</v>
      </c>
      <c r="O262" s="14">
        <v>0</v>
      </c>
      <c r="P262" s="14">
        <v>0</v>
      </c>
      <c r="Q262" s="14">
        <v>0</v>
      </c>
      <c r="R262" s="14">
        <v>0</v>
      </c>
      <c r="S262" s="14">
        <v>0</v>
      </c>
      <c r="T262" s="18">
        <v>0</v>
      </c>
      <c r="U262" s="14">
        <v>1.175</v>
      </c>
      <c r="V262" s="41"/>
      <c r="W262" s="39">
        <f t="shared" si="58"/>
        <v>808.4</v>
      </c>
    </row>
    <row r="263" spans="1:29" ht="13" thickBot="1" x14ac:dyDescent="0.3">
      <c r="A263" s="7" t="s">
        <v>35</v>
      </c>
      <c r="B263" s="19" t="s">
        <v>20</v>
      </c>
      <c r="C263" s="20" t="s">
        <v>18</v>
      </c>
      <c r="D263" s="21">
        <v>0</v>
      </c>
      <c r="E263" s="21">
        <v>0</v>
      </c>
      <c r="F263" s="21">
        <v>0</v>
      </c>
      <c r="G263" s="21">
        <v>0</v>
      </c>
      <c r="H263" s="22">
        <v>6</v>
      </c>
      <c r="I263" s="23">
        <v>0</v>
      </c>
      <c r="J263" s="21">
        <v>6</v>
      </c>
      <c r="K263" s="21">
        <v>0</v>
      </c>
      <c r="L263" s="21">
        <v>0</v>
      </c>
      <c r="M263" s="21">
        <v>0</v>
      </c>
      <c r="N263" s="21">
        <v>0</v>
      </c>
      <c r="O263" s="21">
        <v>0</v>
      </c>
      <c r="P263" s="21">
        <v>0</v>
      </c>
      <c r="Q263" s="21">
        <v>0</v>
      </c>
      <c r="R263" s="21">
        <v>0</v>
      </c>
      <c r="S263" s="21">
        <v>0</v>
      </c>
      <c r="T263" s="24">
        <v>0</v>
      </c>
      <c r="U263" s="14">
        <v>1.175</v>
      </c>
      <c r="V263" s="44"/>
      <c r="W263" s="39">
        <f t="shared" si="58"/>
        <v>7.0500000000000007</v>
      </c>
    </row>
    <row r="264" spans="1:29" ht="13" thickBot="1" x14ac:dyDescent="0.3">
      <c r="A264" s="7" t="s">
        <v>35</v>
      </c>
      <c r="B264" s="25" t="s">
        <v>12</v>
      </c>
      <c r="C264" s="26" t="s">
        <v>18</v>
      </c>
      <c r="D264" s="27">
        <v>0</v>
      </c>
      <c r="E264" s="27">
        <v>0</v>
      </c>
      <c r="F264" s="27">
        <v>0</v>
      </c>
      <c r="G264" s="27">
        <v>0</v>
      </c>
      <c r="H264" s="28">
        <v>7837</v>
      </c>
      <c r="I264" s="29">
        <v>1579</v>
      </c>
      <c r="J264" s="27">
        <v>5455</v>
      </c>
      <c r="K264" s="27">
        <v>800</v>
      </c>
      <c r="L264" s="27">
        <v>0</v>
      </c>
      <c r="M264" s="27">
        <v>3</v>
      </c>
      <c r="N264" s="27">
        <v>0</v>
      </c>
      <c r="O264" s="27">
        <v>0</v>
      </c>
      <c r="P264" s="27">
        <v>0</v>
      </c>
      <c r="Q264" s="27">
        <v>0</v>
      </c>
      <c r="R264" s="27">
        <v>0</v>
      </c>
      <c r="S264" s="27">
        <v>0</v>
      </c>
      <c r="T264" s="29">
        <v>0</v>
      </c>
      <c r="U264" s="14">
        <v>1.175</v>
      </c>
      <c r="V264" s="43">
        <f>SUM(I259:T262)/SUM(H259:H262)</f>
        <v>1</v>
      </c>
      <c r="W264" s="39">
        <f t="shared" si="58"/>
        <v>9208.4750000000004</v>
      </c>
      <c r="X264" s="35">
        <f>W262+W259</f>
        <v>2926.9250000000002</v>
      </c>
      <c r="Y264" s="35">
        <f>W257</f>
        <v>1695.5250000000001</v>
      </c>
    </row>
    <row r="265" spans="1:29" x14ac:dyDescent="0.25">
      <c r="A265" s="7" t="s">
        <v>35</v>
      </c>
      <c r="B265" s="8" t="s">
        <v>17</v>
      </c>
      <c r="C265" s="9" t="s">
        <v>21</v>
      </c>
      <c r="D265" s="10">
        <v>0</v>
      </c>
      <c r="E265" s="10">
        <v>0</v>
      </c>
      <c r="F265" s="10">
        <v>0</v>
      </c>
      <c r="G265" s="10">
        <v>0</v>
      </c>
      <c r="H265" s="11">
        <v>217</v>
      </c>
      <c r="I265" s="12">
        <v>53</v>
      </c>
      <c r="J265" s="10">
        <v>90</v>
      </c>
      <c r="K265" s="10">
        <v>72</v>
      </c>
      <c r="L265" s="10">
        <v>0</v>
      </c>
      <c r="M265" s="10">
        <v>0</v>
      </c>
      <c r="N265" s="10">
        <v>0</v>
      </c>
      <c r="O265" s="10">
        <v>2</v>
      </c>
      <c r="P265" s="10">
        <v>0</v>
      </c>
      <c r="Q265" s="10">
        <v>0</v>
      </c>
      <c r="R265" s="10">
        <v>0</v>
      </c>
      <c r="S265" s="10">
        <v>0</v>
      </c>
      <c r="T265" s="13">
        <v>0</v>
      </c>
      <c r="U265" s="14">
        <v>1.175</v>
      </c>
      <c r="W265" s="38">
        <f t="shared" ref="W265:W272" si="59">H265*U265</f>
        <v>254.97500000000002</v>
      </c>
      <c r="AB265" s="37" t="str">
        <f t="shared" ref="AB265:AB268" si="60">B265</f>
        <v>Parts-OTC</v>
      </c>
      <c r="AC265" s="36">
        <f t="shared" ref="AC265:AC268" si="61">I265*U265</f>
        <v>62.275000000000006</v>
      </c>
    </row>
    <row r="266" spans="1:29" x14ac:dyDescent="0.25">
      <c r="A266" s="7" t="s">
        <v>35</v>
      </c>
      <c r="B266" s="15" t="s">
        <v>66</v>
      </c>
      <c r="C266" s="7" t="s">
        <v>21</v>
      </c>
      <c r="D266" s="14">
        <v>0</v>
      </c>
      <c r="E266" s="14">
        <v>0</v>
      </c>
      <c r="F266" s="14">
        <v>0</v>
      </c>
      <c r="G266" s="14">
        <v>0</v>
      </c>
      <c r="H266" s="16">
        <v>719</v>
      </c>
      <c r="I266" s="17">
        <v>106</v>
      </c>
      <c r="J266" s="14">
        <v>175</v>
      </c>
      <c r="K266" s="14">
        <v>154</v>
      </c>
      <c r="L266" s="14">
        <v>64</v>
      </c>
      <c r="M266" s="14">
        <v>210</v>
      </c>
      <c r="N266" s="14">
        <v>0</v>
      </c>
      <c r="O266" s="14">
        <v>0</v>
      </c>
      <c r="P266" s="14">
        <v>0</v>
      </c>
      <c r="Q266" s="14">
        <v>10</v>
      </c>
      <c r="R266" s="14">
        <v>0</v>
      </c>
      <c r="S266" s="14">
        <v>0</v>
      </c>
      <c r="T266" s="18">
        <v>0</v>
      </c>
      <c r="U266" s="14">
        <v>1.175</v>
      </c>
      <c r="W266" s="38">
        <f t="shared" si="59"/>
        <v>844.82500000000005</v>
      </c>
      <c r="AB266" s="37" t="str">
        <f t="shared" si="60"/>
        <v>CTKS</v>
      </c>
      <c r="AC266" s="36">
        <f t="shared" si="61"/>
        <v>124.55000000000001</v>
      </c>
    </row>
    <row r="267" spans="1:29" x14ac:dyDescent="0.25">
      <c r="A267" s="7" t="s">
        <v>35</v>
      </c>
      <c r="B267" s="15" t="s">
        <v>13</v>
      </c>
      <c r="C267" s="7" t="s">
        <v>21</v>
      </c>
      <c r="D267" s="14">
        <v>0</v>
      </c>
      <c r="E267" s="14">
        <v>0</v>
      </c>
      <c r="F267" s="14">
        <v>0</v>
      </c>
      <c r="G267" s="14">
        <v>0</v>
      </c>
      <c r="H267" s="16">
        <v>1091</v>
      </c>
      <c r="I267" s="17">
        <v>242</v>
      </c>
      <c r="J267" s="14">
        <v>249</v>
      </c>
      <c r="K267" s="14">
        <v>215</v>
      </c>
      <c r="L267" s="14">
        <v>187</v>
      </c>
      <c r="M267" s="14">
        <v>148</v>
      </c>
      <c r="N267" s="14">
        <v>25</v>
      </c>
      <c r="O267" s="14">
        <v>0</v>
      </c>
      <c r="P267" s="14">
        <v>0</v>
      </c>
      <c r="Q267" s="14">
        <v>25</v>
      </c>
      <c r="R267" s="14">
        <v>0</v>
      </c>
      <c r="S267" s="14">
        <v>0</v>
      </c>
      <c r="T267" s="18">
        <v>0</v>
      </c>
      <c r="U267" s="14">
        <v>1.175</v>
      </c>
      <c r="W267" s="38">
        <f t="shared" si="59"/>
        <v>1281.925</v>
      </c>
      <c r="AB267" s="37" t="str">
        <f t="shared" si="60"/>
        <v>Repair</v>
      </c>
      <c r="AC267" s="36">
        <f t="shared" si="61"/>
        <v>284.35000000000002</v>
      </c>
    </row>
    <row r="268" spans="1:29" x14ac:dyDescent="0.25">
      <c r="A268" s="7" t="s">
        <v>35</v>
      </c>
      <c r="B268" s="15" t="s">
        <v>67</v>
      </c>
      <c r="C268" s="7" t="s">
        <v>21</v>
      </c>
      <c r="D268" s="14">
        <v>0</v>
      </c>
      <c r="E268" s="14">
        <v>0</v>
      </c>
      <c r="F268" s="14">
        <v>0</v>
      </c>
      <c r="G268" s="14">
        <v>0</v>
      </c>
      <c r="H268" s="16">
        <v>1524</v>
      </c>
      <c r="I268" s="17">
        <v>174</v>
      </c>
      <c r="J268" s="14">
        <v>182</v>
      </c>
      <c r="K268" s="14">
        <v>204</v>
      </c>
      <c r="L268" s="14">
        <v>125</v>
      </c>
      <c r="M268" s="14">
        <v>119</v>
      </c>
      <c r="N268" s="14">
        <v>120</v>
      </c>
      <c r="O268" s="14">
        <v>105</v>
      </c>
      <c r="P268" s="14">
        <v>95</v>
      </c>
      <c r="Q268" s="14">
        <v>103</v>
      </c>
      <c r="R268" s="14">
        <v>99</v>
      </c>
      <c r="S268" s="14">
        <v>99</v>
      </c>
      <c r="T268" s="18">
        <v>99</v>
      </c>
      <c r="U268" s="14">
        <v>1.175</v>
      </c>
      <c r="W268" s="38">
        <f t="shared" si="59"/>
        <v>1790.7</v>
      </c>
      <c r="AB268" s="37" t="str">
        <f t="shared" si="60"/>
        <v>Rental</v>
      </c>
      <c r="AC268" s="36">
        <f t="shared" si="61"/>
        <v>204.45000000000002</v>
      </c>
    </row>
    <row r="269" spans="1:29" x14ac:dyDescent="0.25">
      <c r="A269" s="7" t="s">
        <v>35</v>
      </c>
      <c r="B269" s="15" t="s">
        <v>73</v>
      </c>
      <c r="C269" s="7" t="s">
        <v>21</v>
      </c>
      <c r="D269" s="14">
        <v>0</v>
      </c>
      <c r="E269" s="14">
        <v>0</v>
      </c>
      <c r="F269" s="14">
        <v>0</v>
      </c>
      <c r="G269" s="14">
        <v>0</v>
      </c>
      <c r="H269" s="16">
        <v>651</v>
      </c>
      <c r="I269" s="17">
        <v>182</v>
      </c>
      <c r="J269" s="14">
        <v>188</v>
      </c>
      <c r="K269" s="14">
        <v>166</v>
      </c>
      <c r="L269" s="14">
        <v>45</v>
      </c>
      <c r="M269" s="14">
        <v>0</v>
      </c>
      <c r="N269" s="14">
        <v>0</v>
      </c>
      <c r="O269" s="14">
        <v>40</v>
      </c>
      <c r="P269" s="14">
        <v>30</v>
      </c>
      <c r="Q269" s="14">
        <v>0</v>
      </c>
      <c r="R269" s="14">
        <v>0</v>
      </c>
      <c r="S269" s="14">
        <v>0</v>
      </c>
      <c r="T269" s="18">
        <v>0</v>
      </c>
      <c r="U269" s="14">
        <v>1.175</v>
      </c>
      <c r="W269" s="38">
        <f t="shared" si="59"/>
        <v>764.92500000000007</v>
      </c>
      <c r="AB269" s="37"/>
    </row>
    <row r="270" spans="1:29" x14ac:dyDescent="0.25">
      <c r="A270" s="7" t="s">
        <v>35</v>
      </c>
      <c r="B270" s="15" t="s">
        <v>19</v>
      </c>
      <c r="C270" s="7" t="s">
        <v>21</v>
      </c>
      <c r="D270" s="14">
        <v>0</v>
      </c>
      <c r="E270" s="14">
        <v>0</v>
      </c>
      <c r="F270" s="14">
        <v>0</v>
      </c>
      <c r="G270" s="14">
        <v>0</v>
      </c>
      <c r="H270" s="16">
        <v>1140</v>
      </c>
      <c r="I270" s="17">
        <v>348</v>
      </c>
      <c r="J270" s="14">
        <v>95</v>
      </c>
      <c r="K270" s="14">
        <v>87</v>
      </c>
      <c r="L270" s="14">
        <v>107</v>
      </c>
      <c r="M270" s="14">
        <v>82</v>
      </c>
      <c r="N270" s="14">
        <v>86</v>
      </c>
      <c r="O270" s="14">
        <v>83</v>
      </c>
      <c r="P270" s="14">
        <v>52</v>
      </c>
      <c r="Q270" s="14">
        <v>63</v>
      </c>
      <c r="R270" s="14">
        <v>12</v>
      </c>
      <c r="S270" s="14">
        <v>60</v>
      </c>
      <c r="T270" s="18">
        <v>65</v>
      </c>
      <c r="U270" s="14">
        <v>1.175</v>
      </c>
      <c r="W270" s="38">
        <f t="shared" si="59"/>
        <v>1339.5</v>
      </c>
      <c r="AB270" s="37" t="str">
        <f t="shared" ref="AB270:AB271" si="62">B270</f>
        <v>Maintenance</v>
      </c>
      <c r="AC270" s="36">
        <f t="shared" ref="AC270:AC271" si="63">I270*U270</f>
        <v>408.90000000000003</v>
      </c>
    </row>
    <row r="271" spans="1:29" ht="13" thickBot="1" x14ac:dyDescent="0.3">
      <c r="A271" s="7" t="s">
        <v>35</v>
      </c>
      <c r="B271" s="19" t="s">
        <v>20</v>
      </c>
      <c r="C271" s="20" t="s">
        <v>21</v>
      </c>
      <c r="D271" s="21">
        <v>0</v>
      </c>
      <c r="E271" s="21">
        <v>0</v>
      </c>
      <c r="F271" s="21">
        <v>0</v>
      </c>
      <c r="G271" s="21">
        <v>0</v>
      </c>
      <c r="H271" s="22">
        <v>31</v>
      </c>
      <c r="I271" s="23">
        <v>12</v>
      </c>
      <c r="J271" s="21">
        <v>15</v>
      </c>
      <c r="K271" s="21">
        <v>0</v>
      </c>
      <c r="L271" s="21">
        <v>0</v>
      </c>
      <c r="M271" s="21">
        <v>0</v>
      </c>
      <c r="N271" s="21">
        <v>0</v>
      </c>
      <c r="O271" s="21">
        <v>0</v>
      </c>
      <c r="P271" s="21">
        <v>0</v>
      </c>
      <c r="Q271" s="21">
        <v>4</v>
      </c>
      <c r="R271" s="21">
        <v>0</v>
      </c>
      <c r="S271" s="21">
        <v>0</v>
      </c>
      <c r="T271" s="24">
        <v>0</v>
      </c>
      <c r="U271" s="14">
        <v>1.175</v>
      </c>
      <c r="W271" s="38">
        <f t="shared" si="59"/>
        <v>36.425000000000004</v>
      </c>
      <c r="AB271" s="37" t="str">
        <f t="shared" si="62"/>
        <v>Startup</v>
      </c>
      <c r="AC271" s="36">
        <f t="shared" si="63"/>
        <v>14.100000000000001</v>
      </c>
    </row>
    <row r="272" spans="1:29" ht="13" thickBot="1" x14ac:dyDescent="0.3">
      <c r="A272" s="20" t="s">
        <v>35</v>
      </c>
      <c r="B272" s="25" t="s">
        <v>12</v>
      </c>
      <c r="C272" s="26" t="s">
        <v>21</v>
      </c>
      <c r="D272" s="27">
        <v>0</v>
      </c>
      <c r="E272" s="27">
        <v>0</v>
      </c>
      <c r="F272" s="27">
        <v>0</v>
      </c>
      <c r="G272" s="27">
        <v>0</v>
      </c>
      <c r="H272" s="28">
        <v>5373</v>
      </c>
      <c r="I272" s="29">
        <v>1117</v>
      </c>
      <c r="J272" s="27">
        <v>994</v>
      </c>
      <c r="K272" s="27">
        <v>898</v>
      </c>
      <c r="L272" s="27">
        <v>528</v>
      </c>
      <c r="M272" s="27">
        <v>559</v>
      </c>
      <c r="N272" s="27">
        <v>231</v>
      </c>
      <c r="O272" s="27">
        <v>230</v>
      </c>
      <c r="P272" s="27">
        <v>177</v>
      </c>
      <c r="Q272" s="27">
        <v>205</v>
      </c>
      <c r="R272" s="27">
        <v>111</v>
      </c>
      <c r="S272" s="27">
        <v>159</v>
      </c>
      <c r="T272" s="29">
        <v>164</v>
      </c>
      <c r="U272" s="14">
        <v>1.175</v>
      </c>
      <c r="W272" s="38">
        <f t="shared" si="59"/>
        <v>6313.2750000000005</v>
      </c>
      <c r="X272" s="35">
        <f>W271+W270+W267</f>
        <v>2657.85</v>
      </c>
      <c r="Y272" s="35">
        <f>W265</f>
        <v>254.97500000000002</v>
      </c>
      <c r="Z272" s="40">
        <f>V263/X272</f>
        <v>0</v>
      </c>
      <c r="AA272" s="40">
        <f>IF((Y272=0),0,Y264/Y272)</f>
        <v>6.6497695852534564</v>
      </c>
      <c r="AB272" s="48"/>
      <c r="AC272" s="48"/>
    </row>
    <row r="273" spans="1:29" ht="13" thickBot="1" x14ac:dyDescent="0.3">
      <c r="A273" s="9" t="s">
        <v>7</v>
      </c>
      <c r="B273" s="30" t="s">
        <v>15</v>
      </c>
      <c r="C273" s="31" t="s">
        <v>94</v>
      </c>
      <c r="D273" s="32" t="s">
        <v>47</v>
      </c>
      <c r="E273" s="53" t="s">
        <v>104</v>
      </c>
      <c r="F273" s="53" t="s">
        <v>105</v>
      </c>
      <c r="G273" s="53" t="s">
        <v>106</v>
      </c>
      <c r="H273" s="28" t="s">
        <v>12</v>
      </c>
      <c r="I273" s="54" t="s">
        <v>107</v>
      </c>
      <c r="J273" s="53" t="s">
        <v>108</v>
      </c>
      <c r="K273" s="53" t="s">
        <v>109</v>
      </c>
      <c r="L273" s="53" t="s">
        <v>110</v>
      </c>
      <c r="M273" s="53" t="s">
        <v>111</v>
      </c>
      <c r="N273" s="53" t="s">
        <v>115</v>
      </c>
      <c r="O273" s="53" t="s">
        <v>120</v>
      </c>
      <c r="P273" s="53" t="s">
        <v>121</v>
      </c>
      <c r="Q273" s="53" t="s">
        <v>164</v>
      </c>
      <c r="R273" s="53" t="s">
        <v>173</v>
      </c>
      <c r="S273" s="53" t="s">
        <v>177</v>
      </c>
      <c r="T273" s="55" t="s">
        <v>182</v>
      </c>
      <c r="U273" s="14">
        <v>0.2772558114</v>
      </c>
      <c r="V273" s="14" t="s">
        <v>183</v>
      </c>
      <c r="W273" s="35"/>
      <c r="X273" s="14" t="s">
        <v>37</v>
      </c>
      <c r="Y273" s="14" t="s">
        <v>38</v>
      </c>
      <c r="AB273" s="48"/>
      <c r="AC273" s="48"/>
    </row>
    <row r="274" spans="1:29" x14ac:dyDescent="0.25">
      <c r="A274" s="7" t="s">
        <v>7</v>
      </c>
      <c r="B274" s="8" t="s">
        <v>17</v>
      </c>
      <c r="C274" s="9" t="s">
        <v>18</v>
      </c>
      <c r="D274" s="10">
        <v>0</v>
      </c>
      <c r="E274" s="10">
        <v>0</v>
      </c>
      <c r="F274" s="10">
        <v>0</v>
      </c>
      <c r="G274" s="10">
        <v>0</v>
      </c>
      <c r="H274" s="11">
        <v>4408</v>
      </c>
      <c r="I274" s="12">
        <v>0</v>
      </c>
      <c r="J274" s="10">
        <v>694</v>
      </c>
      <c r="K274" s="10">
        <v>781</v>
      </c>
      <c r="L274" s="10">
        <v>2398</v>
      </c>
      <c r="M274" s="10">
        <v>535</v>
      </c>
      <c r="N274" s="10">
        <v>0</v>
      </c>
      <c r="O274" s="10">
        <v>0</v>
      </c>
      <c r="P274" s="10">
        <v>0</v>
      </c>
      <c r="Q274" s="10">
        <v>0</v>
      </c>
      <c r="R274" s="10">
        <v>0</v>
      </c>
      <c r="S274" s="10">
        <v>0</v>
      </c>
      <c r="T274" s="13">
        <v>0</v>
      </c>
      <c r="U274" s="14">
        <v>0.2772558114</v>
      </c>
      <c r="V274" s="42">
        <f>SUM(I274:T274)/H274</f>
        <v>1</v>
      </c>
      <c r="W274" s="39">
        <f>SUM(I274:T274)*U274</f>
        <v>1222.1436166512001</v>
      </c>
    </row>
    <row r="275" spans="1:29" x14ac:dyDescent="0.25">
      <c r="A275" s="7" t="s">
        <v>7</v>
      </c>
      <c r="B275" s="15" t="s">
        <v>66</v>
      </c>
      <c r="C275" s="7" t="s">
        <v>18</v>
      </c>
      <c r="D275" s="14">
        <v>0</v>
      </c>
      <c r="E275" s="14">
        <v>0</v>
      </c>
      <c r="F275" s="14">
        <v>0</v>
      </c>
      <c r="G275" s="14">
        <v>9</v>
      </c>
      <c r="H275" s="16">
        <v>211</v>
      </c>
      <c r="I275" s="17">
        <v>118</v>
      </c>
      <c r="J275" s="14">
        <v>84</v>
      </c>
      <c r="K275" s="14">
        <v>0</v>
      </c>
      <c r="L275" s="14">
        <v>0</v>
      </c>
      <c r="M275" s="14">
        <v>0</v>
      </c>
      <c r="N275" s="14">
        <v>0</v>
      </c>
      <c r="O275" s="14">
        <v>0</v>
      </c>
      <c r="P275" s="14">
        <v>0</v>
      </c>
      <c r="Q275" s="14">
        <v>0</v>
      </c>
      <c r="R275" s="14">
        <v>0</v>
      </c>
      <c r="S275" s="14">
        <v>0</v>
      </c>
      <c r="T275" s="18">
        <v>0</v>
      </c>
      <c r="U275" s="14">
        <v>0.2772558114</v>
      </c>
      <c r="V275" s="44"/>
      <c r="W275" s="39">
        <f t="shared" ref="W275:W281" si="64">SUM(I275:T275)*U275</f>
        <v>56.005673902799998</v>
      </c>
    </row>
    <row r="276" spans="1:29" x14ac:dyDescent="0.25">
      <c r="A276" s="7" t="s">
        <v>7</v>
      </c>
      <c r="B276" s="15" t="s">
        <v>13</v>
      </c>
      <c r="C276" s="7" t="s">
        <v>18</v>
      </c>
      <c r="D276" s="14">
        <v>174</v>
      </c>
      <c r="E276" s="14">
        <v>0</v>
      </c>
      <c r="F276" s="14">
        <v>71</v>
      </c>
      <c r="G276" s="14">
        <v>525</v>
      </c>
      <c r="H276" s="16">
        <v>7255</v>
      </c>
      <c r="I276" s="17">
        <v>4671</v>
      </c>
      <c r="J276" s="14">
        <v>1619</v>
      </c>
      <c r="K276" s="14">
        <v>68</v>
      </c>
      <c r="L276" s="14">
        <v>24</v>
      </c>
      <c r="M276" s="14">
        <v>0</v>
      </c>
      <c r="N276" s="14">
        <v>0</v>
      </c>
      <c r="O276" s="14">
        <v>71</v>
      </c>
      <c r="P276" s="14">
        <v>0</v>
      </c>
      <c r="Q276" s="14">
        <v>0</v>
      </c>
      <c r="R276" s="14">
        <v>32</v>
      </c>
      <c r="S276" s="14">
        <v>0</v>
      </c>
      <c r="T276" s="18">
        <v>0</v>
      </c>
      <c r="U276" s="14">
        <v>0.2772558114</v>
      </c>
      <c r="V276" s="41"/>
      <c r="W276" s="39">
        <f t="shared" si="64"/>
        <v>1798.003936929</v>
      </c>
    </row>
    <row r="277" spans="1:29" x14ac:dyDescent="0.25">
      <c r="A277" s="7" t="s">
        <v>7</v>
      </c>
      <c r="B277" s="15" t="s">
        <v>67</v>
      </c>
      <c r="C277" s="7" t="s">
        <v>18</v>
      </c>
      <c r="D277" s="14">
        <v>10</v>
      </c>
      <c r="E277" s="14">
        <v>0</v>
      </c>
      <c r="F277" s="14">
        <v>96</v>
      </c>
      <c r="G277" s="14">
        <v>858</v>
      </c>
      <c r="H277" s="16">
        <v>8640</v>
      </c>
      <c r="I277" s="17">
        <v>3536</v>
      </c>
      <c r="J277" s="14">
        <v>75</v>
      </c>
      <c r="K277" s="14">
        <v>0</v>
      </c>
      <c r="L277" s="14">
        <v>0</v>
      </c>
      <c r="M277" s="14">
        <v>0</v>
      </c>
      <c r="N277" s="14">
        <v>0</v>
      </c>
      <c r="O277" s="14">
        <v>0</v>
      </c>
      <c r="P277" s="14">
        <v>0</v>
      </c>
      <c r="Q277" s="14">
        <v>0</v>
      </c>
      <c r="R277" s="14">
        <v>4065</v>
      </c>
      <c r="S277" s="14">
        <v>0</v>
      </c>
      <c r="T277" s="18">
        <v>0</v>
      </c>
      <c r="U277" s="14">
        <v>0.2772558114</v>
      </c>
      <c r="V277" s="41"/>
      <c r="W277" s="39">
        <f t="shared" si="64"/>
        <v>2128.2156083064001</v>
      </c>
    </row>
    <row r="278" spans="1:29" x14ac:dyDescent="0.25">
      <c r="A278" s="7" t="s">
        <v>7</v>
      </c>
      <c r="B278" s="15" t="s">
        <v>73</v>
      </c>
      <c r="C278" s="7" t="s">
        <v>18</v>
      </c>
      <c r="D278" s="14">
        <v>0</v>
      </c>
      <c r="E278" s="14">
        <v>23</v>
      </c>
      <c r="F278" s="14">
        <v>0</v>
      </c>
      <c r="G278" s="14">
        <v>103</v>
      </c>
      <c r="H278" s="16">
        <v>37411</v>
      </c>
      <c r="I278" s="17">
        <v>24646</v>
      </c>
      <c r="J278" s="14">
        <v>9764</v>
      </c>
      <c r="K278" s="14">
        <v>39</v>
      </c>
      <c r="L278" s="14">
        <v>535</v>
      </c>
      <c r="M278" s="14">
        <v>753</v>
      </c>
      <c r="N278" s="14">
        <v>0</v>
      </c>
      <c r="O278" s="14">
        <v>101</v>
      </c>
      <c r="P278" s="14">
        <v>553</v>
      </c>
      <c r="Q278" s="14">
        <v>447</v>
      </c>
      <c r="R278" s="14">
        <v>447</v>
      </c>
      <c r="S278" s="14">
        <v>0</v>
      </c>
      <c r="T278" s="18">
        <v>0</v>
      </c>
      <c r="U278" s="14">
        <v>0.2772558114</v>
      </c>
      <c r="V278" s="41"/>
      <c r="W278" s="39">
        <f t="shared" si="64"/>
        <v>10337.482928048999</v>
      </c>
    </row>
    <row r="279" spans="1:29" x14ac:dyDescent="0.25">
      <c r="A279" s="7" t="s">
        <v>7</v>
      </c>
      <c r="B279" s="15" t="s">
        <v>19</v>
      </c>
      <c r="C279" s="7" t="s">
        <v>18</v>
      </c>
      <c r="D279" s="14">
        <v>53</v>
      </c>
      <c r="E279" s="14">
        <v>0</v>
      </c>
      <c r="F279" s="14">
        <v>0</v>
      </c>
      <c r="G279" s="14">
        <v>1293</v>
      </c>
      <c r="H279" s="16">
        <v>5169</v>
      </c>
      <c r="I279" s="17">
        <v>3032</v>
      </c>
      <c r="J279" s="14">
        <v>230</v>
      </c>
      <c r="K279" s="14">
        <v>27</v>
      </c>
      <c r="L279" s="14">
        <v>38</v>
      </c>
      <c r="M279" s="14">
        <v>6</v>
      </c>
      <c r="N279" s="14">
        <v>21</v>
      </c>
      <c r="O279" s="14">
        <v>21</v>
      </c>
      <c r="P279" s="14">
        <v>3</v>
      </c>
      <c r="Q279" s="14">
        <v>18</v>
      </c>
      <c r="R279" s="14">
        <v>358</v>
      </c>
      <c r="S279" s="14">
        <v>69</v>
      </c>
      <c r="T279" s="18">
        <v>0</v>
      </c>
      <c r="U279" s="14">
        <v>0.2772558114</v>
      </c>
      <c r="V279" s="41"/>
      <c r="W279" s="39">
        <f t="shared" si="64"/>
        <v>1059.9489669822001</v>
      </c>
    </row>
    <row r="280" spans="1:29" ht="13" thickBot="1" x14ac:dyDescent="0.3">
      <c r="A280" s="7" t="s">
        <v>7</v>
      </c>
      <c r="B280" s="19" t="s">
        <v>20</v>
      </c>
      <c r="C280" s="20" t="s">
        <v>18</v>
      </c>
      <c r="D280" s="21">
        <v>0</v>
      </c>
      <c r="E280" s="21">
        <v>0</v>
      </c>
      <c r="F280" s="21">
        <v>0</v>
      </c>
      <c r="G280" s="21">
        <v>0</v>
      </c>
      <c r="H280" s="22">
        <v>40</v>
      </c>
      <c r="I280" s="23">
        <v>16</v>
      </c>
      <c r="J280" s="21">
        <v>0</v>
      </c>
      <c r="K280" s="21">
        <v>0</v>
      </c>
      <c r="L280" s="21">
        <v>0</v>
      </c>
      <c r="M280" s="21">
        <v>0</v>
      </c>
      <c r="N280" s="21">
        <v>0</v>
      </c>
      <c r="O280" s="21">
        <v>0</v>
      </c>
      <c r="P280" s="21">
        <v>0</v>
      </c>
      <c r="Q280" s="21">
        <v>0</v>
      </c>
      <c r="R280" s="21">
        <v>24</v>
      </c>
      <c r="S280" s="21">
        <v>0</v>
      </c>
      <c r="T280" s="24">
        <v>0</v>
      </c>
      <c r="U280" s="14">
        <v>0.2772558114</v>
      </c>
      <c r="V280" s="44"/>
      <c r="W280" s="39">
        <f t="shared" si="64"/>
        <v>11.090232455999999</v>
      </c>
    </row>
    <row r="281" spans="1:29" ht="13" thickBot="1" x14ac:dyDescent="0.3">
      <c r="A281" s="7" t="s">
        <v>7</v>
      </c>
      <c r="B281" s="25" t="s">
        <v>12</v>
      </c>
      <c r="C281" s="26" t="s">
        <v>18</v>
      </c>
      <c r="D281" s="27">
        <v>237</v>
      </c>
      <c r="E281" s="27">
        <v>23</v>
      </c>
      <c r="F281" s="27">
        <v>167</v>
      </c>
      <c r="G281" s="27">
        <v>2788</v>
      </c>
      <c r="H281" s="28">
        <v>63134</v>
      </c>
      <c r="I281" s="29">
        <v>36019</v>
      </c>
      <c r="J281" s="27">
        <v>12466</v>
      </c>
      <c r="K281" s="27">
        <v>915</v>
      </c>
      <c r="L281" s="27">
        <v>2995</v>
      </c>
      <c r="M281" s="27">
        <v>1294</v>
      </c>
      <c r="N281" s="27">
        <v>21</v>
      </c>
      <c r="O281" s="27">
        <v>193</v>
      </c>
      <c r="P281" s="27">
        <v>556</v>
      </c>
      <c r="Q281" s="27">
        <v>465</v>
      </c>
      <c r="R281" s="27">
        <v>4926</v>
      </c>
      <c r="S281" s="27">
        <v>69</v>
      </c>
      <c r="T281" s="29">
        <v>0</v>
      </c>
      <c r="U281" s="14">
        <v>0.2772558114</v>
      </c>
      <c r="V281" s="43">
        <f>SUM(I276:T279)/SUM(H276:H279)</f>
        <v>0.94517315091919629</v>
      </c>
      <c r="W281" s="39">
        <f t="shared" si="64"/>
        <v>16612.890963276601</v>
      </c>
      <c r="X281" s="35">
        <f>W279+W276</f>
        <v>2857.9529039112003</v>
      </c>
      <c r="Y281" s="35">
        <f>W274</f>
        <v>1222.1436166512001</v>
      </c>
    </row>
    <row r="282" spans="1:29" x14ac:dyDescent="0.25">
      <c r="A282" s="7" t="s">
        <v>7</v>
      </c>
      <c r="B282" s="8" t="s">
        <v>17</v>
      </c>
      <c r="C282" s="9" t="s">
        <v>21</v>
      </c>
      <c r="D282" s="10">
        <v>0</v>
      </c>
      <c r="E282" s="10">
        <v>0</v>
      </c>
      <c r="F282" s="10">
        <v>0</v>
      </c>
      <c r="G282" s="10">
        <v>0</v>
      </c>
      <c r="H282" s="11">
        <v>276</v>
      </c>
      <c r="I282" s="12">
        <v>275</v>
      </c>
      <c r="J282" s="10">
        <v>0</v>
      </c>
      <c r="K282" s="10">
        <v>0</v>
      </c>
      <c r="L282" s="10">
        <v>0</v>
      </c>
      <c r="M282" s="10">
        <v>0</v>
      </c>
      <c r="N282" s="10">
        <v>0</v>
      </c>
      <c r="O282" s="10">
        <v>0</v>
      </c>
      <c r="P282" s="10">
        <v>0</v>
      </c>
      <c r="Q282" s="10">
        <v>1</v>
      </c>
      <c r="R282" s="10">
        <v>0</v>
      </c>
      <c r="S282" s="10">
        <v>0</v>
      </c>
      <c r="T282" s="13">
        <v>0</v>
      </c>
      <c r="U282" s="14">
        <v>0.2772558114</v>
      </c>
      <c r="W282" s="38">
        <f t="shared" si="55"/>
        <v>76.522603946399997</v>
      </c>
      <c r="AB282" s="37" t="str">
        <f t="shared" ref="AB282:AB288" si="65">B282</f>
        <v>Parts-OTC</v>
      </c>
      <c r="AC282" s="36">
        <f t="shared" ref="AC282:AC288" si="66">I282*U282</f>
        <v>76.245348135</v>
      </c>
    </row>
    <row r="283" spans="1:29" x14ac:dyDescent="0.25">
      <c r="A283" s="7" t="s">
        <v>7</v>
      </c>
      <c r="B283" s="15" t="s">
        <v>66</v>
      </c>
      <c r="C283" s="7" t="s">
        <v>21</v>
      </c>
      <c r="D283" s="14">
        <v>0</v>
      </c>
      <c r="E283" s="14">
        <v>0</v>
      </c>
      <c r="F283" s="14">
        <v>0</v>
      </c>
      <c r="G283" s="14">
        <v>0</v>
      </c>
      <c r="H283" s="16">
        <v>102</v>
      </c>
      <c r="I283" s="17">
        <v>0</v>
      </c>
      <c r="J283" s="14">
        <v>102</v>
      </c>
      <c r="K283" s="14">
        <v>0</v>
      </c>
      <c r="L283" s="14">
        <v>0</v>
      </c>
      <c r="M283" s="14">
        <v>0</v>
      </c>
      <c r="N283" s="14">
        <v>0</v>
      </c>
      <c r="O283" s="14">
        <v>0</v>
      </c>
      <c r="P283" s="14">
        <v>0</v>
      </c>
      <c r="Q283" s="14">
        <v>0</v>
      </c>
      <c r="R283" s="14">
        <v>0</v>
      </c>
      <c r="S283" s="14">
        <v>0</v>
      </c>
      <c r="T283" s="18">
        <v>0</v>
      </c>
      <c r="U283" s="14">
        <v>0.2772558114</v>
      </c>
      <c r="W283" s="38">
        <f t="shared" si="55"/>
        <v>28.280092762799999</v>
      </c>
      <c r="AB283" s="37" t="str">
        <f t="shared" si="65"/>
        <v>CTKS</v>
      </c>
      <c r="AC283" s="36">
        <f t="shared" si="66"/>
        <v>0</v>
      </c>
    </row>
    <row r="284" spans="1:29" x14ac:dyDescent="0.25">
      <c r="A284" s="7" t="s">
        <v>7</v>
      </c>
      <c r="B284" s="15" t="s">
        <v>13</v>
      </c>
      <c r="C284" s="7" t="s">
        <v>21</v>
      </c>
      <c r="D284" s="14">
        <v>0</v>
      </c>
      <c r="E284" s="14">
        <v>0</v>
      </c>
      <c r="F284" s="14">
        <v>0</v>
      </c>
      <c r="G284" s="14">
        <v>0</v>
      </c>
      <c r="H284" s="16">
        <v>1339</v>
      </c>
      <c r="I284" s="17">
        <v>656</v>
      </c>
      <c r="J284" s="14">
        <v>645</v>
      </c>
      <c r="K284" s="14">
        <v>0</v>
      </c>
      <c r="L284" s="14">
        <v>0</v>
      </c>
      <c r="M284" s="14">
        <v>0</v>
      </c>
      <c r="N284" s="14">
        <v>0</v>
      </c>
      <c r="O284" s="14">
        <v>38</v>
      </c>
      <c r="P284" s="14">
        <v>0</v>
      </c>
      <c r="Q284" s="14">
        <v>0</v>
      </c>
      <c r="R284" s="14">
        <v>0</v>
      </c>
      <c r="S284" s="14">
        <v>0</v>
      </c>
      <c r="T284" s="18">
        <v>0</v>
      </c>
      <c r="U284" s="14">
        <v>0.2772558114</v>
      </c>
      <c r="W284" s="38">
        <f t="shared" si="55"/>
        <v>371.24553146459999</v>
      </c>
      <c r="AB284" s="37" t="str">
        <f t="shared" si="65"/>
        <v>Repair</v>
      </c>
      <c r="AC284" s="36">
        <f t="shared" si="66"/>
        <v>181.87981227840001</v>
      </c>
    </row>
    <row r="285" spans="1:29" x14ac:dyDescent="0.25">
      <c r="A285" s="7" t="s">
        <v>7</v>
      </c>
      <c r="B285" s="15" t="s">
        <v>67</v>
      </c>
      <c r="C285" s="7" t="s">
        <v>21</v>
      </c>
      <c r="D285" s="14">
        <v>0</v>
      </c>
      <c r="E285" s="14">
        <v>0</v>
      </c>
      <c r="F285" s="14">
        <v>0</v>
      </c>
      <c r="G285" s="14">
        <v>0</v>
      </c>
      <c r="H285" s="16">
        <v>3329</v>
      </c>
      <c r="I285" s="17">
        <v>2789</v>
      </c>
      <c r="J285" s="14">
        <v>464</v>
      </c>
      <c r="K285" s="14">
        <v>19</v>
      </c>
      <c r="L285" s="14">
        <v>19</v>
      </c>
      <c r="M285" s="14">
        <v>19</v>
      </c>
      <c r="N285" s="14">
        <v>19</v>
      </c>
      <c r="O285" s="14">
        <v>0</v>
      </c>
      <c r="P285" s="14">
        <v>0</v>
      </c>
      <c r="Q285" s="14">
        <v>0</v>
      </c>
      <c r="R285" s="14">
        <v>0</v>
      </c>
      <c r="S285" s="14">
        <v>0</v>
      </c>
      <c r="T285" s="18">
        <v>0</v>
      </c>
      <c r="U285" s="14">
        <v>0.2772558114</v>
      </c>
      <c r="W285" s="38">
        <f t="shared" si="55"/>
        <v>922.98459615059994</v>
      </c>
      <c r="AB285" s="37" t="str">
        <f t="shared" si="65"/>
        <v>Rental</v>
      </c>
      <c r="AC285" s="36">
        <f t="shared" si="66"/>
        <v>773.26645799460005</v>
      </c>
    </row>
    <row r="286" spans="1:29" x14ac:dyDescent="0.25">
      <c r="A286" s="7" t="s">
        <v>7</v>
      </c>
      <c r="B286" s="15" t="s">
        <v>73</v>
      </c>
      <c r="C286" s="7" t="s">
        <v>21</v>
      </c>
      <c r="D286" s="14">
        <v>0</v>
      </c>
      <c r="E286" s="14">
        <v>0</v>
      </c>
      <c r="F286" s="14">
        <v>0</v>
      </c>
      <c r="G286" s="14">
        <v>0</v>
      </c>
      <c r="H286" s="16">
        <v>5011</v>
      </c>
      <c r="I286" s="17">
        <v>1733</v>
      </c>
      <c r="J286" s="14">
        <v>1330</v>
      </c>
      <c r="K286" s="14">
        <v>62</v>
      </c>
      <c r="L286" s="14">
        <v>15</v>
      </c>
      <c r="M286" s="14">
        <v>1871</v>
      </c>
      <c r="N286" s="14">
        <v>0</v>
      </c>
      <c r="O286" s="14">
        <v>0</v>
      </c>
      <c r="P286" s="14">
        <v>0</v>
      </c>
      <c r="Q286" s="14">
        <v>0</v>
      </c>
      <c r="R286" s="14">
        <v>0</v>
      </c>
      <c r="S286" s="14">
        <v>0</v>
      </c>
      <c r="T286" s="18">
        <v>0</v>
      </c>
      <c r="U286" s="14">
        <v>0.2772558114</v>
      </c>
      <c r="W286" s="38">
        <f t="shared" si="55"/>
        <v>1389.3288709254</v>
      </c>
      <c r="AB286" s="37"/>
    </row>
    <row r="287" spans="1:29" x14ac:dyDescent="0.25">
      <c r="A287" s="7" t="s">
        <v>7</v>
      </c>
      <c r="B287" s="15" t="s">
        <v>19</v>
      </c>
      <c r="C287" s="7" t="s">
        <v>21</v>
      </c>
      <c r="D287" s="14">
        <v>0</v>
      </c>
      <c r="E287" s="14">
        <v>0</v>
      </c>
      <c r="F287" s="14">
        <v>0</v>
      </c>
      <c r="G287" s="14">
        <v>0</v>
      </c>
      <c r="H287" s="16">
        <v>7424</v>
      </c>
      <c r="I287" s="17">
        <v>1932</v>
      </c>
      <c r="J287" s="14">
        <v>650</v>
      </c>
      <c r="K287" s="14">
        <v>453</v>
      </c>
      <c r="L287" s="14">
        <v>483</v>
      </c>
      <c r="M287" s="14">
        <v>427</v>
      </c>
      <c r="N287" s="14">
        <v>692</v>
      </c>
      <c r="O287" s="14">
        <v>1058</v>
      </c>
      <c r="P287" s="14">
        <v>374</v>
      </c>
      <c r="Q287" s="14">
        <v>383</v>
      </c>
      <c r="R287" s="14">
        <v>337</v>
      </c>
      <c r="S287" s="14">
        <v>262</v>
      </c>
      <c r="T287" s="18">
        <v>373</v>
      </c>
      <c r="U287" s="14">
        <v>0.2772558114</v>
      </c>
      <c r="W287" s="38">
        <f t="shared" si="55"/>
        <v>2058.3471438336001</v>
      </c>
      <c r="AB287" s="37" t="str">
        <f t="shared" si="65"/>
        <v>Maintenance</v>
      </c>
      <c r="AC287" s="36">
        <f t="shared" si="66"/>
        <v>535.65822762480002</v>
      </c>
    </row>
    <row r="288" spans="1:29" ht="13" thickBot="1" x14ac:dyDescent="0.3">
      <c r="A288" s="7" t="s">
        <v>7</v>
      </c>
      <c r="B288" s="19" t="s">
        <v>20</v>
      </c>
      <c r="C288" s="20" t="s">
        <v>21</v>
      </c>
      <c r="D288" s="21">
        <v>0</v>
      </c>
      <c r="E288" s="21">
        <v>0</v>
      </c>
      <c r="F288" s="21">
        <v>0</v>
      </c>
      <c r="G288" s="21">
        <v>0</v>
      </c>
      <c r="H288" s="22">
        <v>64</v>
      </c>
      <c r="I288" s="23">
        <v>42</v>
      </c>
      <c r="J288" s="21">
        <v>22</v>
      </c>
      <c r="K288" s="21">
        <v>0</v>
      </c>
      <c r="L288" s="21">
        <v>0</v>
      </c>
      <c r="M288" s="21">
        <v>0</v>
      </c>
      <c r="N288" s="21">
        <v>0</v>
      </c>
      <c r="O288" s="21">
        <v>0</v>
      </c>
      <c r="P288" s="21">
        <v>0</v>
      </c>
      <c r="Q288" s="21">
        <v>0</v>
      </c>
      <c r="R288" s="21">
        <v>0</v>
      </c>
      <c r="S288" s="21">
        <v>0</v>
      </c>
      <c r="T288" s="24">
        <v>0</v>
      </c>
      <c r="U288" s="14">
        <v>0.2772558114</v>
      </c>
      <c r="W288" s="38">
        <f t="shared" si="55"/>
        <v>17.7443719296</v>
      </c>
      <c r="AB288" s="37" t="str">
        <f t="shared" si="65"/>
        <v>Startup</v>
      </c>
      <c r="AC288" s="36">
        <f t="shared" si="66"/>
        <v>11.644744078800001</v>
      </c>
    </row>
    <row r="289" spans="1:29" ht="13" thickBot="1" x14ac:dyDescent="0.3">
      <c r="A289" s="20" t="s">
        <v>7</v>
      </c>
      <c r="B289" s="25" t="s">
        <v>12</v>
      </c>
      <c r="C289" s="26" t="s">
        <v>21</v>
      </c>
      <c r="D289" s="27">
        <v>0</v>
      </c>
      <c r="E289" s="27">
        <v>0</v>
      </c>
      <c r="F289" s="27">
        <v>0</v>
      </c>
      <c r="G289" s="27">
        <v>0</v>
      </c>
      <c r="H289" s="28">
        <v>17545</v>
      </c>
      <c r="I289" s="29">
        <v>7427</v>
      </c>
      <c r="J289" s="27">
        <v>3213</v>
      </c>
      <c r="K289" s="27">
        <v>534</v>
      </c>
      <c r="L289" s="27">
        <v>517</v>
      </c>
      <c r="M289" s="27">
        <v>2317</v>
      </c>
      <c r="N289" s="27">
        <v>711</v>
      </c>
      <c r="O289" s="27">
        <v>1096</v>
      </c>
      <c r="P289" s="27">
        <v>374</v>
      </c>
      <c r="Q289" s="27">
        <v>384</v>
      </c>
      <c r="R289" s="27">
        <v>337</v>
      </c>
      <c r="S289" s="27">
        <v>262</v>
      </c>
      <c r="T289" s="29">
        <v>373</v>
      </c>
      <c r="U289" s="14">
        <v>0.2772558114</v>
      </c>
      <c r="W289" s="38">
        <f t="shared" si="55"/>
        <v>4864.4532110130003</v>
      </c>
      <c r="X289" s="35">
        <f>W288+W287+W284</f>
        <v>2447.3370472278002</v>
      </c>
      <c r="Y289" s="35">
        <f>W282</f>
        <v>76.522603946399997</v>
      </c>
      <c r="Z289" s="40">
        <f>V280/X289</f>
        <v>0</v>
      </c>
      <c r="AA289" s="40">
        <f>IF((Y289=0),0,Y281/Y289)</f>
        <v>15.971014492753625</v>
      </c>
      <c r="AB289" s="48"/>
      <c r="AC289" s="48"/>
    </row>
    <row r="290" spans="1:29" ht="13" thickBot="1" x14ac:dyDescent="0.3">
      <c r="A290" s="9" t="s">
        <v>90</v>
      </c>
      <c r="B290" s="30" t="s">
        <v>15</v>
      </c>
      <c r="C290" s="31" t="s">
        <v>94</v>
      </c>
      <c r="D290" s="32" t="s">
        <v>47</v>
      </c>
      <c r="E290" s="53" t="s">
        <v>104</v>
      </c>
      <c r="F290" s="53" t="s">
        <v>105</v>
      </c>
      <c r="G290" s="53" t="s">
        <v>106</v>
      </c>
      <c r="H290" s="28" t="s">
        <v>12</v>
      </c>
      <c r="I290" s="54" t="s">
        <v>107</v>
      </c>
      <c r="J290" s="53" t="s">
        <v>108</v>
      </c>
      <c r="K290" s="53" t="s">
        <v>109</v>
      </c>
      <c r="L290" s="53" t="s">
        <v>110</v>
      </c>
      <c r="M290" s="53" t="s">
        <v>111</v>
      </c>
      <c r="N290" s="53" t="s">
        <v>115</v>
      </c>
      <c r="O290" s="53" t="s">
        <v>120</v>
      </c>
      <c r="P290" s="53" t="s">
        <v>121</v>
      </c>
      <c r="Q290" s="53" t="s">
        <v>164</v>
      </c>
      <c r="R290" s="53" t="s">
        <v>173</v>
      </c>
      <c r="S290" s="53" t="s">
        <v>177</v>
      </c>
      <c r="T290" s="55" t="s">
        <v>182</v>
      </c>
      <c r="U290" s="14">
        <v>1.175</v>
      </c>
      <c r="V290" s="14" t="s">
        <v>183</v>
      </c>
      <c r="W290" s="35"/>
      <c r="X290" s="14" t="s">
        <v>37</v>
      </c>
      <c r="Y290" s="14" t="s">
        <v>38</v>
      </c>
      <c r="AB290" s="48"/>
      <c r="AC290" s="48"/>
    </row>
    <row r="291" spans="1:29" x14ac:dyDescent="0.25">
      <c r="A291" s="7" t="s">
        <v>90</v>
      </c>
      <c r="B291" s="8" t="s">
        <v>17</v>
      </c>
      <c r="C291" s="9" t="s">
        <v>18</v>
      </c>
      <c r="D291" s="10">
        <v>718</v>
      </c>
      <c r="E291" s="10">
        <v>0</v>
      </c>
      <c r="F291" s="10">
        <v>0</v>
      </c>
      <c r="G291" s="10">
        <v>0</v>
      </c>
      <c r="H291" s="11">
        <v>718</v>
      </c>
      <c r="I291" s="12">
        <v>0</v>
      </c>
      <c r="J291" s="10">
        <v>0</v>
      </c>
      <c r="K291" s="10">
        <v>0</v>
      </c>
      <c r="L291" s="10">
        <v>0</v>
      </c>
      <c r="M291" s="10">
        <v>0</v>
      </c>
      <c r="N291" s="10">
        <v>0</v>
      </c>
      <c r="O291" s="10">
        <v>0</v>
      </c>
      <c r="P291" s="10">
        <v>0</v>
      </c>
      <c r="Q291" s="10">
        <v>0</v>
      </c>
      <c r="R291" s="10">
        <v>0</v>
      </c>
      <c r="S291" s="10">
        <v>0</v>
      </c>
      <c r="T291" s="13">
        <v>0</v>
      </c>
      <c r="U291" s="14">
        <v>1.175</v>
      </c>
      <c r="V291" s="42">
        <f>SUM(I291:T291)/H291</f>
        <v>0</v>
      </c>
      <c r="W291" s="39">
        <f>SUM(I291:T291)*U291</f>
        <v>0</v>
      </c>
    </row>
    <row r="292" spans="1:29" x14ac:dyDescent="0.25">
      <c r="A292" s="7" t="s">
        <v>90</v>
      </c>
      <c r="B292" s="15" t="s">
        <v>66</v>
      </c>
      <c r="C292" s="7" t="s">
        <v>18</v>
      </c>
      <c r="D292" s="14">
        <v>0</v>
      </c>
      <c r="E292" s="14">
        <v>0</v>
      </c>
      <c r="F292" s="14">
        <v>0</v>
      </c>
      <c r="G292" s="14">
        <v>0</v>
      </c>
      <c r="H292" s="16">
        <v>0</v>
      </c>
      <c r="I292" s="17">
        <v>0</v>
      </c>
      <c r="J292" s="14">
        <v>0</v>
      </c>
      <c r="K292" s="14">
        <v>0</v>
      </c>
      <c r="L292" s="14">
        <v>0</v>
      </c>
      <c r="M292" s="14">
        <v>0</v>
      </c>
      <c r="N292" s="14">
        <v>0</v>
      </c>
      <c r="O292" s="14">
        <v>0</v>
      </c>
      <c r="P292" s="14">
        <v>0</v>
      </c>
      <c r="Q292" s="14">
        <v>0</v>
      </c>
      <c r="R292" s="14">
        <v>0</v>
      </c>
      <c r="S292" s="14">
        <v>0</v>
      </c>
      <c r="T292" s="18">
        <v>0</v>
      </c>
      <c r="U292" s="14">
        <v>1.175</v>
      </c>
      <c r="V292" s="44"/>
      <c r="W292" s="39">
        <f t="shared" ref="W292:W298" si="67">SUM(I292:T292)*U292</f>
        <v>0</v>
      </c>
    </row>
    <row r="293" spans="1:29" x14ac:dyDescent="0.25">
      <c r="A293" s="7" t="s">
        <v>90</v>
      </c>
      <c r="B293" s="15" t="s">
        <v>13</v>
      </c>
      <c r="C293" s="7" t="s">
        <v>18</v>
      </c>
      <c r="D293" s="14">
        <v>13</v>
      </c>
      <c r="E293" s="14">
        <v>0</v>
      </c>
      <c r="F293" s="14">
        <v>0</v>
      </c>
      <c r="G293" s="14">
        <v>1</v>
      </c>
      <c r="H293" s="16">
        <v>233</v>
      </c>
      <c r="I293" s="17">
        <v>164</v>
      </c>
      <c r="J293" s="14">
        <v>45</v>
      </c>
      <c r="K293" s="14">
        <v>10</v>
      </c>
      <c r="L293" s="14">
        <v>0</v>
      </c>
      <c r="M293" s="14">
        <v>0</v>
      </c>
      <c r="N293" s="14">
        <v>0</v>
      </c>
      <c r="O293" s="14">
        <v>0</v>
      </c>
      <c r="P293" s="14">
        <v>0</v>
      </c>
      <c r="Q293" s="14">
        <v>0</v>
      </c>
      <c r="R293" s="14">
        <v>0</v>
      </c>
      <c r="S293" s="14">
        <v>0</v>
      </c>
      <c r="T293" s="18">
        <v>0</v>
      </c>
      <c r="U293" s="14">
        <v>1.175</v>
      </c>
      <c r="V293" s="41"/>
      <c r="W293" s="39">
        <f t="shared" si="67"/>
        <v>257.32499999999999</v>
      </c>
    </row>
    <row r="294" spans="1:29" x14ac:dyDescent="0.25">
      <c r="A294" s="7" t="s">
        <v>90</v>
      </c>
      <c r="B294" s="15" t="s">
        <v>67</v>
      </c>
      <c r="C294" s="7" t="s">
        <v>18</v>
      </c>
      <c r="D294" s="14">
        <v>0</v>
      </c>
      <c r="E294" s="14">
        <v>0</v>
      </c>
      <c r="F294" s="14">
        <v>0</v>
      </c>
      <c r="G294" s="14">
        <v>0</v>
      </c>
      <c r="H294" s="16">
        <v>30</v>
      </c>
      <c r="I294" s="17">
        <v>30</v>
      </c>
      <c r="J294" s="14">
        <v>0</v>
      </c>
      <c r="K294" s="14">
        <v>0</v>
      </c>
      <c r="L294" s="14">
        <v>0</v>
      </c>
      <c r="M294" s="14">
        <v>0</v>
      </c>
      <c r="N294" s="14">
        <v>0</v>
      </c>
      <c r="O294" s="14">
        <v>0</v>
      </c>
      <c r="P294" s="14">
        <v>0</v>
      </c>
      <c r="Q294" s="14">
        <v>0</v>
      </c>
      <c r="R294" s="14">
        <v>0</v>
      </c>
      <c r="S294" s="14">
        <v>0</v>
      </c>
      <c r="T294" s="18">
        <v>0</v>
      </c>
      <c r="U294" s="14">
        <v>1.175</v>
      </c>
      <c r="V294" s="41"/>
      <c r="W294" s="39">
        <f t="shared" si="67"/>
        <v>35.25</v>
      </c>
    </row>
    <row r="295" spans="1:29" x14ac:dyDescent="0.25">
      <c r="A295" s="7" t="s">
        <v>90</v>
      </c>
      <c r="B295" s="15" t="s">
        <v>73</v>
      </c>
      <c r="C295" s="7" t="s">
        <v>18</v>
      </c>
      <c r="D295" s="14">
        <v>0</v>
      </c>
      <c r="E295" s="14">
        <v>0</v>
      </c>
      <c r="F295" s="14">
        <v>0</v>
      </c>
      <c r="G295" s="14">
        <v>0</v>
      </c>
      <c r="H295" s="16">
        <v>0</v>
      </c>
      <c r="I295" s="17">
        <v>0</v>
      </c>
      <c r="J295" s="14">
        <v>0</v>
      </c>
      <c r="K295" s="14">
        <v>0</v>
      </c>
      <c r="L295" s="14">
        <v>0</v>
      </c>
      <c r="M295" s="14">
        <v>0</v>
      </c>
      <c r="N295" s="14">
        <v>0</v>
      </c>
      <c r="O295" s="14">
        <v>0</v>
      </c>
      <c r="P295" s="14">
        <v>0</v>
      </c>
      <c r="Q295" s="14">
        <v>0</v>
      </c>
      <c r="R295" s="14">
        <v>0</v>
      </c>
      <c r="S295" s="14">
        <v>0</v>
      </c>
      <c r="T295" s="18">
        <v>0</v>
      </c>
      <c r="U295" s="14">
        <v>1.175</v>
      </c>
      <c r="V295" s="41"/>
      <c r="W295" s="39">
        <f t="shared" si="67"/>
        <v>0</v>
      </c>
    </row>
    <row r="296" spans="1:29" x14ac:dyDescent="0.25">
      <c r="A296" s="7" t="s">
        <v>90</v>
      </c>
      <c r="B296" s="15" t="s">
        <v>19</v>
      </c>
      <c r="C296" s="7" t="s">
        <v>18</v>
      </c>
      <c r="D296" s="14">
        <v>6</v>
      </c>
      <c r="E296" s="14">
        <v>0</v>
      </c>
      <c r="F296" s="14">
        <v>0</v>
      </c>
      <c r="G296" s="14">
        <v>0</v>
      </c>
      <c r="H296" s="16">
        <v>12</v>
      </c>
      <c r="I296" s="17">
        <v>3</v>
      </c>
      <c r="J296" s="14">
        <v>2</v>
      </c>
      <c r="K296" s="14">
        <v>1</v>
      </c>
      <c r="L296" s="14">
        <v>0</v>
      </c>
      <c r="M296" s="14">
        <v>0</v>
      </c>
      <c r="N296" s="14">
        <v>0</v>
      </c>
      <c r="O296" s="14">
        <v>0</v>
      </c>
      <c r="P296" s="14">
        <v>0</v>
      </c>
      <c r="Q296" s="14">
        <v>0</v>
      </c>
      <c r="R296" s="14">
        <v>0</v>
      </c>
      <c r="S296" s="14">
        <v>0</v>
      </c>
      <c r="T296" s="18">
        <v>0</v>
      </c>
      <c r="U296" s="14">
        <v>1.175</v>
      </c>
      <c r="V296" s="41"/>
      <c r="W296" s="39">
        <f t="shared" si="67"/>
        <v>7.0500000000000007</v>
      </c>
    </row>
    <row r="297" spans="1:29" ht="13" thickBot="1" x14ac:dyDescent="0.3">
      <c r="A297" s="7" t="s">
        <v>90</v>
      </c>
      <c r="B297" s="19" t="s">
        <v>20</v>
      </c>
      <c r="C297" s="20" t="s">
        <v>18</v>
      </c>
      <c r="D297" s="21">
        <v>0</v>
      </c>
      <c r="E297" s="21">
        <v>0</v>
      </c>
      <c r="F297" s="21">
        <v>0</v>
      </c>
      <c r="G297" s="21">
        <v>0</v>
      </c>
      <c r="H297" s="22">
        <v>3</v>
      </c>
      <c r="I297" s="23">
        <v>3</v>
      </c>
      <c r="J297" s="21">
        <v>0</v>
      </c>
      <c r="K297" s="21">
        <v>0</v>
      </c>
      <c r="L297" s="21">
        <v>0</v>
      </c>
      <c r="M297" s="21">
        <v>0</v>
      </c>
      <c r="N297" s="21">
        <v>0</v>
      </c>
      <c r="O297" s="21">
        <v>0</v>
      </c>
      <c r="P297" s="21">
        <v>0</v>
      </c>
      <c r="Q297" s="21">
        <v>0</v>
      </c>
      <c r="R297" s="21">
        <v>0</v>
      </c>
      <c r="S297" s="21">
        <v>0</v>
      </c>
      <c r="T297" s="24">
        <v>0</v>
      </c>
      <c r="U297" s="14">
        <v>1.175</v>
      </c>
      <c r="V297" s="44"/>
      <c r="W297" s="39">
        <f t="shared" si="67"/>
        <v>3.5250000000000004</v>
      </c>
    </row>
    <row r="298" spans="1:29" ht="13" thickBot="1" x14ac:dyDescent="0.3">
      <c r="A298" s="7" t="s">
        <v>90</v>
      </c>
      <c r="B298" s="25" t="s">
        <v>12</v>
      </c>
      <c r="C298" s="26" t="s">
        <v>18</v>
      </c>
      <c r="D298" s="27">
        <v>737</v>
      </c>
      <c r="E298" s="27">
        <v>0</v>
      </c>
      <c r="F298" s="27">
        <v>0</v>
      </c>
      <c r="G298" s="27">
        <v>1</v>
      </c>
      <c r="H298" s="28">
        <v>998</v>
      </c>
      <c r="I298" s="29">
        <v>201</v>
      </c>
      <c r="J298" s="27">
        <v>47</v>
      </c>
      <c r="K298" s="27">
        <v>12</v>
      </c>
      <c r="L298" s="27">
        <v>0</v>
      </c>
      <c r="M298" s="27">
        <v>0</v>
      </c>
      <c r="N298" s="27">
        <v>0</v>
      </c>
      <c r="O298" s="27">
        <v>0</v>
      </c>
      <c r="P298" s="27">
        <v>0</v>
      </c>
      <c r="Q298" s="27">
        <v>0</v>
      </c>
      <c r="R298" s="27">
        <v>0</v>
      </c>
      <c r="S298" s="27">
        <v>0</v>
      </c>
      <c r="T298" s="29">
        <v>0</v>
      </c>
      <c r="U298" s="14">
        <v>1.175</v>
      </c>
      <c r="V298" s="43">
        <f>SUM(I293:T296)/SUM(H293:H296)</f>
        <v>0.92727272727272725</v>
      </c>
      <c r="W298" s="39">
        <f t="shared" si="67"/>
        <v>305.5</v>
      </c>
      <c r="X298" s="35">
        <f>W296+W293</f>
        <v>264.375</v>
      </c>
      <c r="Y298" s="35">
        <f>W291</f>
        <v>0</v>
      </c>
    </row>
    <row r="299" spans="1:29" x14ac:dyDescent="0.25">
      <c r="A299" s="7" t="s">
        <v>90</v>
      </c>
      <c r="B299" s="8" t="s">
        <v>17</v>
      </c>
      <c r="C299" s="9" t="s">
        <v>21</v>
      </c>
      <c r="D299" s="10">
        <v>0</v>
      </c>
      <c r="E299" s="10">
        <v>0</v>
      </c>
      <c r="F299" s="10">
        <v>0</v>
      </c>
      <c r="G299" s="10">
        <v>0</v>
      </c>
      <c r="H299" s="11">
        <v>0</v>
      </c>
      <c r="I299" s="12">
        <v>0</v>
      </c>
      <c r="J299" s="10">
        <v>0</v>
      </c>
      <c r="K299" s="10">
        <v>0</v>
      </c>
      <c r="L299" s="10">
        <v>0</v>
      </c>
      <c r="M299" s="10">
        <v>0</v>
      </c>
      <c r="N299" s="10">
        <v>0</v>
      </c>
      <c r="O299" s="10">
        <v>0</v>
      </c>
      <c r="P299" s="10">
        <v>0</v>
      </c>
      <c r="Q299" s="10">
        <v>0</v>
      </c>
      <c r="R299" s="10">
        <v>0</v>
      </c>
      <c r="S299" s="10">
        <v>0</v>
      </c>
      <c r="T299" s="13">
        <v>0</v>
      </c>
      <c r="U299" s="14">
        <v>1.175</v>
      </c>
      <c r="W299" s="38">
        <f t="shared" ref="W299:W306" si="68">H299*U299</f>
        <v>0</v>
      </c>
      <c r="AB299" s="37" t="str">
        <f t="shared" ref="AB299:AB305" si="69">B299</f>
        <v>Parts-OTC</v>
      </c>
      <c r="AC299" s="36">
        <f t="shared" ref="AC299:AC305" si="70">I299*U299</f>
        <v>0</v>
      </c>
    </row>
    <row r="300" spans="1:29" x14ac:dyDescent="0.25">
      <c r="A300" s="7" t="s">
        <v>90</v>
      </c>
      <c r="B300" s="15" t="s">
        <v>66</v>
      </c>
      <c r="C300" s="7" t="s">
        <v>21</v>
      </c>
      <c r="D300" s="14">
        <v>0</v>
      </c>
      <c r="E300" s="14">
        <v>0</v>
      </c>
      <c r="F300" s="14">
        <v>0</v>
      </c>
      <c r="G300" s="14">
        <v>0</v>
      </c>
      <c r="H300" s="16">
        <v>0</v>
      </c>
      <c r="I300" s="17">
        <v>0</v>
      </c>
      <c r="J300" s="14">
        <v>0</v>
      </c>
      <c r="K300" s="14">
        <v>0</v>
      </c>
      <c r="L300" s="14">
        <v>0</v>
      </c>
      <c r="M300" s="14">
        <v>0</v>
      </c>
      <c r="N300" s="14">
        <v>0</v>
      </c>
      <c r="O300" s="14">
        <v>0</v>
      </c>
      <c r="P300" s="14">
        <v>0</v>
      </c>
      <c r="Q300" s="14">
        <v>0</v>
      </c>
      <c r="R300" s="14">
        <v>0</v>
      </c>
      <c r="S300" s="14">
        <v>0</v>
      </c>
      <c r="T300" s="18">
        <v>0</v>
      </c>
      <c r="U300" s="14">
        <v>1.175</v>
      </c>
      <c r="W300" s="38">
        <f t="shared" si="68"/>
        <v>0</v>
      </c>
      <c r="AB300" s="37" t="str">
        <f t="shared" si="69"/>
        <v>CTKS</v>
      </c>
      <c r="AC300" s="36">
        <f t="shared" si="70"/>
        <v>0</v>
      </c>
    </row>
    <row r="301" spans="1:29" x14ac:dyDescent="0.25">
      <c r="A301" s="7" t="s">
        <v>90</v>
      </c>
      <c r="B301" s="15" t="s">
        <v>13</v>
      </c>
      <c r="C301" s="7" t="s">
        <v>21</v>
      </c>
      <c r="D301" s="14">
        <v>0</v>
      </c>
      <c r="E301" s="14">
        <v>0</v>
      </c>
      <c r="F301" s="14">
        <v>0</v>
      </c>
      <c r="G301" s="14">
        <v>0</v>
      </c>
      <c r="H301" s="16">
        <v>79</v>
      </c>
      <c r="I301" s="33">
        <v>36</v>
      </c>
      <c r="J301" s="34">
        <v>18</v>
      </c>
      <c r="K301" s="34">
        <v>16</v>
      </c>
      <c r="L301" s="14">
        <v>3</v>
      </c>
      <c r="M301" s="14">
        <v>3</v>
      </c>
      <c r="N301" s="14">
        <v>0</v>
      </c>
      <c r="O301" s="14">
        <v>0</v>
      </c>
      <c r="P301" s="14">
        <v>0</v>
      </c>
      <c r="Q301" s="14">
        <v>0</v>
      </c>
      <c r="R301" s="14">
        <v>0</v>
      </c>
      <c r="S301" s="14">
        <v>1</v>
      </c>
      <c r="T301" s="18">
        <v>2</v>
      </c>
      <c r="U301" s="14">
        <v>1.175</v>
      </c>
      <c r="W301" s="38">
        <f t="shared" si="68"/>
        <v>92.825000000000003</v>
      </c>
      <c r="AB301" s="37" t="str">
        <f t="shared" si="69"/>
        <v>Repair</v>
      </c>
      <c r="AC301" s="36">
        <f t="shared" si="70"/>
        <v>42.300000000000004</v>
      </c>
    </row>
    <row r="302" spans="1:29" x14ac:dyDescent="0.25">
      <c r="A302" s="7" t="s">
        <v>90</v>
      </c>
      <c r="B302" s="15" t="s">
        <v>67</v>
      </c>
      <c r="C302" s="7" t="s">
        <v>21</v>
      </c>
      <c r="D302" s="14">
        <v>0</v>
      </c>
      <c r="E302" s="14">
        <v>0</v>
      </c>
      <c r="F302" s="14">
        <v>0</v>
      </c>
      <c r="G302" s="14">
        <v>0</v>
      </c>
      <c r="H302" s="16">
        <v>516</v>
      </c>
      <c r="I302" s="17">
        <v>131</v>
      </c>
      <c r="J302" s="14">
        <v>101</v>
      </c>
      <c r="K302" s="14">
        <v>51</v>
      </c>
      <c r="L302" s="14">
        <v>51</v>
      </c>
      <c r="M302" s="14">
        <v>39</v>
      </c>
      <c r="N302" s="14">
        <v>43</v>
      </c>
      <c r="O302" s="14">
        <v>28</v>
      </c>
      <c r="P302" s="14">
        <v>22</v>
      </c>
      <c r="Q302" s="14">
        <v>25</v>
      </c>
      <c r="R302" s="14">
        <v>9</v>
      </c>
      <c r="S302" s="14">
        <v>8</v>
      </c>
      <c r="T302" s="18">
        <v>8</v>
      </c>
      <c r="U302" s="14">
        <v>1.175</v>
      </c>
      <c r="W302" s="38">
        <f t="shared" si="68"/>
        <v>606.30000000000007</v>
      </c>
      <c r="AB302" s="37" t="str">
        <f t="shared" si="69"/>
        <v>Rental</v>
      </c>
      <c r="AC302" s="36">
        <f t="shared" si="70"/>
        <v>153.92500000000001</v>
      </c>
    </row>
    <row r="303" spans="1:29" x14ac:dyDescent="0.25">
      <c r="A303" s="7" t="s">
        <v>90</v>
      </c>
      <c r="B303" s="15" t="s">
        <v>73</v>
      </c>
      <c r="C303" s="7" t="s">
        <v>21</v>
      </c>
      <c r="D303" s="14">
        <v>0</v>
      </c>
      <c r="E303" s="14">
        <v>0</v>
      </c>
      <c r="F303" s="14">
        <v>0</v>
      </c>
      <c r="G303" s="14">
        <v>0</v>
      </c>
      <c r="H303" s="16">
        <v>0</v>
      </c>
      <c r="I303" s="17">
        <v>0</v>
      </c>
      <c r="J303" s="14">
        <v>0</v>
      </c>
      <c r="K303" s="14">
        <v>0</v>
      </c>
      <c r="L303" s="14">
        <v>0</v>
      </c>
      <c r="M303" s="14">
        <v>0</v>
      </c>
      <c r="N303" s="14">
        <v>0</v>
      </c>
      <c r="O303" s="14">
        <v>0</v>
      </c>
      <c r="P303" s="14">
        <v>0</v>
      </c>
      <c r="Q303" s="14">
        <v>0</v>
      </c>
      <c r="R303" s="14">
        <v>0</v>
      </c>
      <c r="S303" s="14">
        <v>0</v>
      </c>
      <c r="T303" s="18">
        <v>0</v>
      </c>
      <c r="U303" s="14">
        <v>1.175</v>
      </c>
      <c r="W303" s="38">
        <f t="shared" si="68"/>
        <v>0</v>
      </c>
      <c r="AB303" s="37"/>
    </row>
    <row r="304" spans="1:29" x14ac:dyDescent="0.25">
      <c r="A304" s="7" t="s">
        <v>90</v>
      </c>
      <c r="B304" s="15" t="s">
        <v>19</v>
      </c>
      <c r="C304" s="7" t="s">
        <v>21</v>
      </c>
      <c r="D304" s="14">
        <v>0</v>
      </c>
      <c r="E304" s="14">
        <v>0</v>
      </c>
      <c r="F304" s="14">
        <v>0</v>
      </c>
      <c r="G304" s="14">
        <v>0</v>
      </c>
      <c r="H304" s="16">
        <v>43</v>
      </c>
      <c r="I304" s="17">
        <v>5</v>
      </c>
      <c r="J304" s="14">
        <v>2</v>
      </c>
      <c r="K304" s="14">
        <v>12</v>
      </c>
      <c r="L304" s="14">
        <v>6</v>
      </c>
      <c r="M304" s="14">
        <v>0</v>
      </c>
      <c r="N304" s="14">
        <v>6</v>
      </c>
      <c r="O304" s="14">
        <v>5</v>
      </c>
      <c r="P304" s="14">
        <v>2</v>
      </c>
      <c r="Q304" s="14">
        <v>2</v>
      </c>
      <c r="R304" s="14">
        <v>2</v>
      </c>
      <c r="S304" s="14">
        <v>1</v>
      </c>
      <c r="T304" s="18">
        <v>0</v>
      </c>
      <c r="U304" s="14">
        <v>1.175</v>
      </c>
      <c r="W304" s="38">
        <f t="shared" si="68"/>
        <v>50.524999999999999</v>
      </c>
      <c r="AB304" s="37" t="str">
        <f t="shared" si="69"/>
        <v>Maintenance</v>
      </c>
      <c r="AC304" s="36">
        <f t="shared" si="70"/>
        <v>5.875</v>
      </c>
    </row>
    <row r="305" spans="1:29" ht="13" thickBot="1" x14ac:dyDescent="0.3">
      <c r="A305" s="7" t="s">
        <v>90</v>
      </c>
      <c r="B305" s="19" t="s">
        <v>20</v>
      </c>
      <c r="C305" s="20" t="s">
        <v>21</v>
      </c>
      <c r="D305" s="21">
        <v>0</v>
      </c>
      <c r="E305" s="21">
        <v>0</v>
      </c>
      <c r="F305" s="21">
        <v>0</v>
      </c>
      <c r="G305" s="21">
        <v>0</v>
      </c>
      <c r="H305" s="22">
        <v>30</v>
      </c>
      <c r="I305" s="23">
        <v>21</v>
      </c>
      <c r="J305" s="21">
        <v>8</v>
      </c>
      <c r="K305" s="21">
        <v>1</v>
      </c>
      <c r="L305" s="21">
        <v>0</v>
      </c>
      <c r="M305" s="21">
        <v>0</v>
      </c>
      <c r="N305" s="21">
        <v>0</v>
      </c>
      <c r="O305" s="21">
        <v>0</v>
      </c>
      <c r="P305" s="21">
        <v>0</v>
      </c>
      <c r="Q305" s="21">
        <v>0</v>
      </c>
      <c r="R305" s="21">
        <v>0</v>
      </c>
      <c r="S305" s="21">
        <v>0</v>
      </c>
      <c r="T305" s="24">
        <v>0</v>
      </c>
      <c r="U305" s="14">
        <v>1.175</v>
      </c>
      <c r="W305" s="38">
        <f t="shared" si="68"/>
        <v>35.25</v>
      </c>
      <c r="AB305" s="37" t="str">
        <f t="shared" si="69"/>
        <v>Startup</v>
      </c>
      <c r="AC305" s="36">
        <f t="shared" si="70"/>
        <v>24.675000000000001</v>
      </c>
    </row>
    <row r="306" spans="1:29" ht="13" thickBot="1" x14ac:dyDescent="0.3">
      <c r="A306" s="20" t="s">
        <v>90</v>
      </c>
      <c r="B306" s="25" t="s">
        <v>12</v>
      </c>
      <c r="C306" s="26" t="s">
        <v>21</v>
      </c>
      <c r="D306" s="27">
        <v>0</v>
      </c>
      <c r="E306" s="27">
        <v>0</v>
      </c>
      <c r="F306" s="27">
        <v>0</v>
      </c>
      <c r="G306" s="27">
        <v>0</v>
      </c>
      <c r="H306" s="28">
        <v>669</v>
      </c>
      <c r="I306" s="29">
        <v>193</v>
      </c>
      <c r="J306" s="27">
        <v>129</v>
      </c>
      <c r="K306" s="27">
        <v>80</v>
      </c>
      <c r="L306" s="27">
        <v>60</v>
      </c>
      <c r="M306" s="27">
        <v>42</v>
      </c>
      <c r="N306" s="27">
        <v>49</v>
      </c>
      <c r="O306" s="27">
        <v>33</v>
      </c>
      <c r="P306" s="27">
        <v>25</v>
      </c>
      <c r="Q306" s="27">
        <v>28</v>
      </c>
      <c r="R306" s="27">
        <v>11</v>
      </c>
      <c r="S306" s="27">
        <v>10</v>
      </c>
      <c r="T306" s="29">
        <v>9</v>
      </c>
      <c r="U306" s="14">
        <v>1.175</v>
      </c>
      <c r="W306" s="38">
        <f t="shared" si="68"/>
        <v>786.07500000000005</v>
      </c>
      <c r="X306" s="35">
        <f>W305+W304+W301</f>
        <v>178.60000000000002</v>
      </c>
      <c r="Y306" s="35">
        <f>W299</f>
        <v>0</v>
      </c>
      <c r="Z306" s="40">
        <f>V297/X306</f>
        <v>0</v>
      </c>
      <c r="AA306" s="40">
        <f>IF((Y306=0),0,Y298/Y306)</f>
        <v>0</v>
      </c>
      <c r="AB306" s="48"/>
      <c r="AC306" s="48"/>
    </row>
    <row r="307" spans="1:29" ht="13" thickBot="1" x14ac:dyDescent="0.3">
      <c r="A307" s="9" t="s">
        <v>26</v>
      </c>
      <c r="B307" s="30" t="s">
        <v>15</v>
      </c>
      <c r="C307" s="31" t="s">
        <v>94</v>
      </c>
      <c r="D307" s="32" t="s">
        <v>47</v>
      </c>
      <c r="E307" s="53" t="s">
        <v>104</v>
      </c>
      <c r="F307" s="53" t="s">
        <v>105</v>
      </c>
      <c r="G307" s="53" t="s">
        <v>106</v>
      </c>
      <c r="H307" s="28" t="s">
        <v>12</v>
      </c>
      <c r="I307" s="54" t="s">
        <v>107</v>
      </c>
      <c r="J307" s="53" t="s">
        <v>108</v>
      </c>
      <c r="K307" s="53" t="s">
        <v>109</v>
      </c>
      <c r="L307" s="53" t="s">
        <v>110</v>
      </c>
      <c r="M307" s="53" t="s">
        <v>111</v>
      </c>
      <c r="N307" s="53" t="s">
        <v>115</v>
      </c>
      <c r="O307" s="53" t="s">
        <v>120</v>
      </c>
      <c r="P307" s="53" t="s">
        <v>121</v>
      </c>
      <c r="Q307" s="53" t="s">
        <v>164</v>
      </c>
      <c r="R307" s="53" t="s">
        <v>173</v>
      </c>
      <c r="S307" s="53" t="s">
        <v>177</v>
      </c>
      <c r="T307" s="55" t="s">
        <v>182</v>
      </c>
      <c r="U307" s="14">
        <v>1.175</v>
      </c>
      <c r="V307" s="14" t="s">
        <v>183</v>
      </c>
      <c r="W307" s="35"/>
      <c r="X307" s="14" t="s">
        <v>37</v>
      </c>
      <c r="Y307" s="14" t="s">
        <v>38</v>
      </c>
      <c r="AB307" s="48"/>
      <c r="AC307" s="48"/>
    </row>
    <row r="308" spans="1:29" x14ac:dyDescent="0.25">
      <c r="A308" s="7" t="s">
        <v>26</v>
      </c>
      <c r="B308" s="8" t="s">
        <v>17</v>
      </c>
      <c r="C308" s="9" t="s">
        <v>18</v>
      </c>
      <c r="D308" s="10">
        <v>12</v>
      </c>
      <c r="E308" s="10">
        <v>0</v>
      </c>
      <c r="F308" s="10">
        <v>0</v>
      </c>
      <c r="G308" s="10">
        <v>0</v>
      </c>
      <c r="H308" s="11">
        <v>12</v>
      </c>
      <c r="I308" s="12">
        <v>0</v>
      </c>
      <c r="J308" s="10">
        <v>0</v>
      </c>
      <c r="K308" s="10">
        <v>0</v>
      </c>
      <c r="L308" s="10">
        <v>0</v>
      </c>
      <c r="M308" s="10">
        <v>0</v>
      </c>
      <c r="N308" s="10">
        <v>0</v>
      </c>
      <c r="O308" s="10">
        <v>0</v>
      </c>
      <c r="P308" s="10">
        <v>0</v>
      </c>
      <c r="Q308" s="10">
        <v>0</v>
      </c>
      <c r="R308" s="10">
        <v>0</v>
      </c>
      <c r="S308" s="10">
        <v>0</v>
      </c>
      <c r="T308" s="13">
        <v>0</v>
      </c>
      <c r="U308" s="14">
        <v>1.175</v>
      </c>
      <c r="V308" s="42">
        <f>SUM(I308:T308)/H308</f>
        <v>0</v>
      </c>
      <c r="W308" s="39">
        <f>SUM(I308:T308)*U308</f>
        <v>0</v>
      </c>
    </row>
    <row r="309" spans="1:29" x14ac:dyDescent="0.25">
      <c r="A309" s="7" t="s">
        <v>26</v>
      </c>
      <c r="B309" s="15" t="s">
        <v>66</v>
      </c>
      <c r="C309" s="7" t="s">
        <v>18</v>
      </c>
      <c r="D309" s="14">
        <v>0</v>
      </c>
      <c r="E309" s="14">
        <v>0</v>
      </c>
      <c r="F309" s="14">
        <v>0</v>
      </c>
      <c r="G309" s="14">
        <v>0</v>
      </c>
      <c r="H309" s="16">
        <v>18</v>
      </c>
      <c r="I309" s="17">
        <v>0</v>
      </c>
      <c r="J309" s="14">
        <v>10</v>
      </c>
      <c r="K309" s="14">
        <v>0</v>
      </c>
      <c r="L309" s="14">
        <v>0</v>
      </c>
      <c r="M309" s="14">
        <v>0</v>
      </c>
      <c r="N309" s="14">
        <v>0</v>
      </c>
      <c r="O309" s="14">
        <v>3</v>
      </c>
      <c r="P309" s="14">
        <v>0</v>
      </c>
      <c r="Q309" s="14">
        <v>5</v>
      </c>
      <c r="R309" s="14">
        <v>0</v>
      </c>
      <c r="S309" s="14">
        <v>0</v>
      </c>
      <c r="T309" s="18">
        <v>0</v>
      </c>
      <c r="U309" s="14">
        <v>1.175</v>
      </c>
      <c r="V309" s="44"/>
      <c r="W309" s="39">
        <f t="shared" ref="W309:W315" si="71">SUM(I309:T309)*U309</f>
        <v>21.150000000000002</v>
      </c>
    </row>
    <row r="310" spans="1:29" x14ac:dyDescent="0.25">
      <c r="A310" s="7" t="s">
        <v>26</v>
      </c>
      <c r="B310" s="15" t="s">
        <v>13</v>
      </c>
      <c r="C310" s="7" t="s">
        <v>18</v>
      </c>
      <c r="D310" s="14">
        <v>0</v>
      </c>
      <c r="E310" s="14">
        <v>0</v>
      </c>
      <c r="F310" s="14">
        <v>0</v>
      </c>
      <c r="G310" s="14">
        <v>0</v>
      </c>
      <c r="H310" s="16">
        <v>4130</v>
      </c>
      <c r="I310" s="17">
        <v>24</v>
      </c>
      <c r="J310" s="14">
        <v>2065</v>
      </c>
      <c r="K310" s="14">
        <v>1207</v>
      </c>
      <c r="L310" s="14">
        <v>224</v>
      </c>
      <c r="M310" s="14">
        <v>130</v>
      </c>
      <c r="N310" s="14">
        <v>137</v>
      </c>
      <c r="O310" s="14">
        <v>76</v>
      </c>
      <c r="P310" s="14">
        <v>223</v>
      </c>
      <c r="Q310" s="14">
        <v>9</v>
      </c>
      <c r="R310" s="14">
        <v>10</v>
      </c>
      <c r="S310" s="14">
        <v>0</v>
      </c>
      <c r="T310" s="18">
        <v>25</v>
      </c>
      <c r="U310" s="14">
        <v>1.175</v>
      </c>
      <c r="V310" s="41"/>
      <c r="W310" s="39">
        <f>SUM(I310:T310)*U310</f>
        <v>4852.75</v>
      </c>
    </row>
    <row r="311" spans="1:29" x14ac:dyDescent="0.25">
      <c r="A311" s="7" t="s">
        <v>26</v>
      </c>
      <c r="B311" s="15" t="s">
        <v>67</v>
      </c>
      <c r="C311" s="7" t="s">
        <v>18</v>
      </c>
      <c r="D311" s="14">
        <v>0</v>
      </c>
      <c r="E311" s="14">
        <v>0</v>
      </c>
      <c r="F311" s="14">
        <v>0</v>
      </c>
      <c r="G311" s="14">
        <v>0</v>
      </c>
      <c r="H311" s="16">
        <v>4358</v>
      </c>
      <c r="I311" s="17">
        <v>17</v>
      </c>
      <c r="J311" s="14">
        <v>1621</v>
      </c>
      <c r="K311" s="14">
        <v>1196</v>
      </c>
      <c r="L311" s="14">
        <v>472</v>
      </c>
      <c r="M311" s="14">
        <v>339</v>
      </c>
      <c r="N311" s="14">
        <v>83</v>
      </c>
      <c r="O311" s="14">
        <v>489</v>
      </c>
      <c r="P311" s="14">
        <v>126</v>
      </c>
      <c r="Q311" s="14">
        <v>15</v>
      </c>
      <c r="R311" s="14">
        <v>0</v>
      </c>
      <c r="S311" s="14">
        <v>0</v>
      </c>
      <c r="T311" s="18">
        <v>0</v>
      </c>
      <c r="U311" s="14">
        <v>1.175</v>
      </c>
      <c r="V311" s="41"/>
      <c r="W311" s="39">
        <f t="shared" si="71"/>
        <v>5120.6500000000005</v>
      </c>
    </row>
    <row r="312" spans="1:29" x14ac:dyDescent="0.25">
      <c r="A312" s="7" t="s">
        <v>26</v>
      </c>
      <c r="B312" s="15" t="s">
        <v>73</v>
      </c>
      <c r="C312" s="7" t="s">
        <v>18</v>
      </c>
      <c r="D312" s="14">
        <v>0</v>
      </c>
      <c r="E312" s="14">
        <v>0</v>
      </c>
      <c r="F312" s="14">
        <v>0</v>
      </c>
      <c r="G312" s="14">
        <v>0</v>
      </c>
      <c r="H312" s="16">
        <v>5852</v>
      </c>
      <c r="I312" s="17">
        <v>53</v>
      </c>
      <c r="J312" s="14">
        <v>2036</v>
      </c>
      <c r="K312" s="14">
        <v>966</v>
      </c>
      <c r="L312" s="14">
        <v>655</v>
      </c>
      <c r="M312" s="14">
        <v>325</v>
      </c>
      <c r="N312" s="14">
        <v>753</v>
      </c>
      <c r="O312" s="14">
        <v>649</v>
      </c>
      <c r="P312" s="14">
        <v>249</v>
      </c>
      <c r="Q312" s="14">
        <v>106</v>
      </c>
      <c r="R312" s="14">
        <v>2</v>
      </c>
      <c r="S312" s="14">
        <v>0</v>
      </c>
      <c r="T312" s="18">
        <v>58</v>
      </c>
      <c r="U312" s="14">
        <v>1.175</v>
      </c>
      <c r="V312" s="41"/>
      <c r="W312" s="39">
        <f t="shared" si="71"/>
        <v>6876.1</v>
      </c>
    </row>
    <row r="313" spans="1:29" x14ac:dyDescent="0.25">
      <c r="A313" s="7" t="s">
        <v>26</v>
      </c>
      <c r="B313" s="15" t="s">
        <v>19</v>
      </c>
      <c r="C313" s="7" t="s">
        <v>18</v>
      </c>
      <c r="D313" s="14">
        <v>9</v>
      </c>
      <c r="E313" s="14">
        <v>0</v>
      </c>
      <c r="F313" s="14">
        <v>0</v>
      </c>
      <c r="G313" s="14">
        <v>0</v>
      </c>
      <c r="H313" s="16">
        <v>2153</v>
      </c>
      <c r="I313" s="17">
        <v>35</v>
      </c>
      <c r="J313" s="14">
        <v>1084</v>
      </c>
      <c r="K313" s="14">
        <v>531</v>
      </c>
      <c r="L313" s="14">
        <v>96</v>
      </c>
      <c r="M313" s="14">
        <v>34</v>
      </c>
      <c r="N313" s="14">
        <v>102</v>
      </c>
      <c r="O313" s="14">
        <v>87</v>
      </c>
      <c r="P313" s="14">
        <v>81</v>
      </c>
      <c r="Q313" s="14">
        <v>45</v>
      </c>
      <c r="R313" s="14">
        <v>9</v>
      </c>
      <c r="S313" s="14">
        <v>0</v>
      </c>
      <c r="T313" s="18">
        <v>40</v>
      </c>
      <c r="U313" s="14">
        <v>1.175</v>
      </c>
      <c r="V313" s="41"/>
      <c r="W313" s="39">
        <f t="shared" si="71"/>
        <v>2519.2000000000003</v>
      </c>
    </row>
    <row r="314" spans="1:29" ht="13" thickBot="1" x14ac:dyDescent="0.3">
      <c r="A314" s="7" t="s">
        <v>26</v>
      </c>
      <c r="B314" s="19" t="s">
        <v>20</v>
      </c>
      <c r="C314" s="20" t="s">
        <v>18</v>
      </c>
      <c r="D314" s="21">
        <v>0</v>
      </c>
      <c r="E314" s="21">
        <v>0</v>
      </c>
      <c r="F314" s="21">
        <v>0</v>
      </c>
      <c r="G314" s="21">
        <v>0</v>
      </c>
      <c r="H314" s="22">
        <v>0</v>
      </c>
      <c r="I314" s="23">
        <v>0</v>
      </c>
      <c r="J314" s="21">
        <v>0</v>
      </c>
      <c r="K314" s="21">
        <v>0</v>
      </c>
      <c r="L314" s="21">
        <v>0</v>
      </c>
      <c r="M314" s="21">
        <v>0</v>
      </c>
      <c r="N314" s="21">
        <v>0</v>
      </c>
      <c r="O314" s="21">
        <v>0</v>
      </c>
      <c r="P314" s="21">
        <v>0</v>
      </c>
      <c r="Q314" s="21">
        <v>0</v>
      </c>
      <c r="R314" s="21">
        <v>0</v>
      </c>
      <c r="S314" s="21">
        <v>0</v>
      </c>
      <c r="T314" s="24">
        <v>0</v>
      </c>
      <c r="U314" s="14">
        <v>1.175</v>
      </c>
      <c r="V314" s="44"/>
      <c r="W314" s="39">
        <f t="shared" si="71"/>
        <v>0</v>
      </c>
    </row>
    <row r="315" spans="1:29" ht="13" thickBot="1" x14ac:dyDescent="0.3">
      <c r="A315" s="7" t="s">
        <v>26</v>
      </c>
      <c r="B315" s="25" t="s">
        <v>12</v>
      </c>
      <c r="C315" s="26" t="s">
        <v>18</v>
      </c>
      <c r="D315" s="27">
        <v>21</v>
      </c>
      <c r="E315" s="27">
        <v>0</v>
      </c>
      <c r="F315" s="27">
        <v>0</v>
      </c>
      <c r="G315" s="27">
        <v>0</v>
      </c>
      <c r="H315" s="28">
        <v>16522</v>
      </c>
      <c r="I315" s="29">
        <v>128</v>
      </c>
      <c r="J315" s="27">
        <v>6817</v>
      </c>
      <c r="K315" s="27">
        <v>3900</v>
      </c>
      <c r="L315" s="27">
        <v>1446</v>
      </c>
      <c r="M315" s="27">
        <v>827</v>
      </c>
      <c r="N315" s="27">
        <v>1074</v>
      </c>
      <c r="O315" s="27">
        <v>1305</v>
      </c>
      <c r="P315" s="27">
        <v>678</v>
      </c>
      <c r="Q315" s="27">
        <v>181</v>
      </c>
      <c r="R315" s="27">
        <v>22</v>
      </c>
      <c r="S315" s="27">
        <v>0</v>
      </c>
      <c r="T315" s="29">
        <v>123</v>
      </c>
      <c r="U315" s="14">
        <v>1.175</v>
      </c>
      <c r="V315" s="43">
        <f>SUM(I310:T313)/SUM(H310:H313)</f>
        <v>0.9994543139513733</v>
      </c>
      <c r="W315" s="39">
        <f t="shared" si="71"/>
        <v>19388.674999999999</v>
      </c>
      <c r="X315" s="35">
        <f>W313+W310</f>
        <v>7371.9500000000007</v>
      </c>
      <c r="Y315" s="35">
        <f>W308</f>
        <v>0</v>
      </c>
    </row>
    <row r="316" spans="1:29" x14ac:dyDescent="0.25">
      <c r="A316" s="7" t="s">
        <v>26</v>
      </c>
      <c r="B316" s="8" t="s">
        <v>17</v>
      </c>
      <c r="C316" s="9" t="s">
        <v>21</v>
      </c>
      <c r="D316" s="10">
        <v>0</v>
      </c>
      <c r="E316" s="10">
        <v>0</v>
      </c>
      <c r="F316" s="10">
        <v>0</v>
      </c>
      <c r="G316" s="10">
        <v>0</v>
      </c>
      <c r="H316" s="11">
        <v>0</v>
      </c>
      <c r="I316" s="12">
        <v>0</v>
      </c>
      <c r="J316" s="10">
        <v>0</v>
      </c>
      <c r="K316" s="10">
        <v>0</v>
      </c>
      <c r="L316" s="10">
        <v>0</v>
      </c>
      <c r="M316" s="10">
        <v>0</v>
      </c>
      <c r="N316" s="10">
        <v>0</v>
      </c>
      <c r="O316" s="10">
        <v>0</v>
      </c>
      <c r="P316" s="10">
        <v>0</v>
      </c>
      <c r="Q316" s="10">
        <v>0</v>
      </c>
      <c r="R316" s="10">
        <v>0</v>
      </c>
      <c r="S316" s="10">
        <v>0</v>
      </c>
      <c r="T316" s="13">
        <v>0</v>
      </c>
      <c r="U316" s="14">
        <v>1.175</v>
      </c>
      <c r="W316" s="38">
        <f t="shared" ref="W316:W391" si="72">H316*U316</f>
        <v>0</v>
      </c>
      <c r="AB316" s="37" t="str">
        <f t="shared" ref="AB316:AB322" si="73">B316</f>
        <v>Parts-OTC</v>
      </c>
      <c r="AC316" s="36">
        <f t="shared" ref="AC316:AC322" si="74">I316*U316</f>
        <v>0</v>
      </c>
    </row>
    <row r="317" spans="1:29" x14ac:dyDescent="0.25">
      <c r="A317" s="7" t="s">
        <v>26</v>
      </c>
      <c r="B317" s="15" t="s">
        <v>66</v>
      </c>
      <c r="C317" s="7" t="s">
        <v>21</v>
      </c>
      <c r="D317" s="14">
        <v>0</v>
      </c>
      <c r="E317" s="14">
        <v>0</v>
      </c>
      <c r="F317" s="14">
        <v>0</v>
      </c>
      <c r="G317" s="14">
        <v>0</v>
      </c>
      <c r="H317" s="16">
        <v>293</v>
      </c>
      <c r="I317" s="17">
        <v>7</v>
      </c>
      <c r="J317" s="14">
        <v>40</v>
      </c>
      <c r="K317" s="14">
        <v>84</v>
      </c>
      <c r="L317" s="14">
        <v>49</v>
      </c>
      <c r="M317" s="14">
        <v>0</v>
      </c>
      <c r="N317" s="14">
        <v>5</v>
      </c>
      <c r="O317" s="14">
        <v>0</v>
      </c>
      <c r="P317" s="14">
        <v>0</v>
      </c>
      <c r="Q317" s="14">
        <v>108</v>
      </c>
      <c r="R317" s="14">
        <v>0</v>
      </c>
      <c r="S317" s="14">
        <v>0</v>
      </c>
      <c r="T317" s="18">
        <v>0</v>
      </c>
      <c r="U317" s="14">
        <v>1.175</v>
      </c>
      <c r="W317" s="38">
        <f t="shared" si="72"/>
        <v>344.27500000000003</v>
      </c>
      <c r="AB317" s="37" t="str">
        <f t="shared" si="73"/>
        <v>CTKS</v>
      </c>
      <c r="AC317" s="36">
        <f t="shared" si="74"/>
        <v>8.2249999999999996</v>
      </c>
    </row>
    <row r="318" spans="1:29" x14ac:dyDescent="0.25">
      <c r="A318" s="7" t="s">
        <v>26</v>
      </c>
      <c r="B318" s="15" t="s">
        <v>13</v>
      </c>
      <c r="C318" s="7" t="s">
        <v>21</v>
      </c>
      <c r="D318" s="14">
        <v>0</v>
      </c>
      <c r="E318" s="14">
        <v>0</v>
      </c>
      <c r="F318" s="14">
        <v>0</v>
      </c>
      <c r="G318" s="14">
        <v>0</v>
      </c>
      <c r="H318" s="16">
        <v>1292</v>
      </c>
      <c r="I318" s="17">
        <v>514</v>
      </c>
      <c r="J318" s="14">
        <v>332</v>
      </c>
      <c r="K318" s="14">
        <v>295</v>
      </c>
      <c r="L318" s="14">
        <v>34</v>
      </c>
      <c r="M318" s="14">
        <v>10</v>
      </c>
      <c r="N318" s="14">
        <v>56</v>
      </c>
      <c r="O318" s="14">
        <v>1</v>
      </c>
      <c r="P318" s="14">
        <v>0</v>
      </c>
      <c r="Q318" s="14">
        <v>50</v>
      </c>
      <c r="R318" s="14">
        <v>0</v>
      </c>
      <c r="S318" s="14">
        <v>0</v>
      </c>
      <c r="T318" s="18">
        <v>0</v>
      </c>
      <c r="U318" s="14">
        <v>1.175</v>
      </c>
      <c r="W318" s="38">
        <f t="shared" si="72"/>
        <v>1518.1000000000001</v>
      </c>
      <c r="AB318" s="37" t="str">
        <f t="shared" si="73"/>
        <v>Repair</v>
      </c>
      <c r="AC318" s="36">
        <f t="shared" si="74"/>
        <v>603.95000000000005</v>
      </c>
    </row>
    <row r="319" spans="1:29" x14ac:dyDescent="0.25">
      <c r="A319" s="7" t="s">
        <v>26</v>
      </c>
      <c r="B319" s="15" t="s">
        <v>67</v>
      </c>
      <c r="C319" s="7" t="s">
        <v>21</v>
      </c>
      <c r="D319" s="14">
        <v>0</v>
      </c>
      <c r="E319" s="14">
        <v>0</v>
      </c>
      <c r="F319" s="14">
        <v>0</v>
      </c>
      <c r="G319" s="14">
        <v>0</v>
      </c>
      <c r="H319" s="16">
        <v>2719</v>
      </c>
      <c r="I319" s="17">
        <v>518</v>
      </c>
      <c r="J319" s="14">
        <v>430</v>
      </c>
      <c r="K319" s="14">
        <v>481</v>
      </c>
      <c r="L319" s="14">
        <v>325</v>
      </c>
      <c r="M319" s="14">
        <v>321</v>
      </c>
      <c r="N319" s="14">
        <v>270</v>
      </c>
      <c r="O319" s="14">
        <v>103</v>
      </c>
      <c r="P319" s="14">
        <v>72</v>
      </c>
      <c r="Q319" s="14">
        <v>65</v>
      </c>
      <c r="R319" s="14">
        <v>47</v>
      </c>
      <c r="S319" s="14">
        <v>44</v>
      </c>
      <c r="T319" s="18">
        <v>43</v>
      </c>
      <c r="U319" s="14">
        <v>1.175</v>
      </c>
      <c r="W319" s="38">
        <f t="shared" si="72"/>
        <v>3194.8250000000003</v>
      </c>
      <c r="AB319" s="37" t="str">
        <f t="shared" si="73"/>
        <v>Rental</v>
      </c>
      <c r="AC319" s="36">
        <f t="shared" si="74"/>
        <v>608.65</v>
      </c>
    </row>
    <row r="320" spans="1:29" x14ac:dyDescent="0.25">
      <c r="A320" s="7" t="s">
        <v>26</v>
      </c>
      <c r="B320" s="15" t="s">
        <v>73</v>
      </c>
      <c r="C320" s="7" t="s">
        <v>21</v>
      </c>
      <c r="D320" s="14">
        <v>0</v>
      </c>
      <c r="E320" s="14">
        <v>0</v>
      </c>
      <c r="F320" s="14">
        <v>0</v>
      </c>
      <c r="G320" s="14">
        <v>0</v>
      </c>
      <c r="H320" s="16">
        <v>1060</v>
      </c>
      <c r="I320" s="17">
        <v>247</v>
      </c>
      <c r="J320" s="14">
        <v>310</v>
      </c>
      <c r="K320" s="14">
        <v>91</v>
      </c>
      <c r="L320" s="14">
        <v>52</v>
      </c>
      <c r="M320" s="14">
        <v>66</v>
      </c>
      <c r="N320" s="14">
        <v>87</v>
      </c>
      <c r="O320" s="14">
        <v>18</v>
      </c>
      <c r="P320" s="14">
        <v>0</v>
      </c>
      <c r="Q320" s="14">
        <v>189</v>
      </c>
      <c r="R320" s="14">
        <v>0</v>
      </c>
      <c r="S320" s="14">
        <v>0</v>
      </c>
      <c r="T320" s="18">
        <v>0</v>
      </c>
      <c r="U320" s="14">
        <v>1.175</v>
      </c>
      <c r="W320" s="38">
        <f t="shared" si="72"/>
        <v>1245.5</v>
      </c>
      <c r="AB320" s="37"/>
    </row>
    <row r="321" spans="1:29" x14ac:dyDescent="0.25">
      <c r="A321" s="7" t="s">
        <v>26</v>
      </c>
      <c r="B321" s="15" t="s">
        <v>19</v>
      </c>
      <c r="C321" s="7" t="s">
        <v>21</v>
      </c>
      <c r="D321" s="14">
        <v>0</v>
      </c>
      <c r="E321" s="14">
        <v>0</v>
      </c>
      <c r="F321" s="14">
        <v>0</v>
      </c>
      <c r="G321" s="14">
        <v>0</v>
      </c>
      <c r="H321" s="16">
        <v>4043</v>
      </c>
      <c r="I321" s="17">
        <v>788</v>
      </c>
      <c r="J321" s="14">
        <v>471</v>
      </c>
      <c r="K321" s="14">
        <v>563</v>
      </c>
      <c r="L321" s="14">
        <v>309</v>
      </c>
      <c r="M321" s="14">
        <v>235</v>
      </c>
      <c r="N321" s="14">
        <v>413</v>
      </c>
      <c r="O321" s="14">
        <v>493</v>
      </c>
      <c r="P321" s="14">
        <v>295</v>
      </c>
      <c r="Q321" s="14">
        <v>411</v>
      </c>
      <c r="R321" s="14">
        <v>28</v>
      </c>
      <c r="S321" s="14">
        <v>8</v>
      </c>
      <c r="T321" s="18">
        <v>29</v>
      </c>
      <c r="U321" s="14">
        <v>1.175</v>
      </c>
      <c r="W321" s="38">
        <f t="shared" si="72"/>
        <v>4750.5250000000005</v>
      </c>
      <c r="AB321" s="37" t="str">
        <f t="shared" si="73"/>
        <v>Maintenance</v>
      </c>
      <c r="AC321" s="36">
        <f t="shared" si="74"/>
        <v>925.90000000000009</v>
      </c>
    </row>
    <row r="322" spans="1:29" ht="13" thickBot="1" x14ac:dyDescent="0.3">
      <c r="A322" s="7" t="s">
        <v>26</v>
      </c>
      <c r="B322" s="19" t="s">
        <v>20</v>
      </c>
      <c r="C322" s="20" t="s">
        <v>21</v>
      </c>
      <c r="D322" s="21">
        <v>0</v>
      </c>
      <c r="E322" s="21">
        <v>0</v>
      </c>
      <c r="F322" s="21">
        <v>0</v>
      </c>
      <c r="G322" s="21">
        <v>0</v>
      </c>
      <c r="H322" s="22">
        <v>198</v>
      </c>
      <c r="I322" s="23">
        <v>66</v>
      </c>
      <c r="J322" s="21">
        <v>97</v>
      </c>
      <c r="K322" s="21">
        <v>25</v>
      </c>
      <c r="L322" s="21">
        <v>2</v>
      </c>
      <c r="M322" s="21">
        <v>0</v>
      </c>
      <c r="N322" s="21">
        <v>3</v>
      </c>
      <c r="O322" s="21">
        <v>3</v>
      </c>
      <c r="P322" s="21">
        <v>0</v>
      </c>
      <c r="Q322" s="21">
        <v>2</v>
      </c>
      <c r="R322" s="21">
        <v>0</v>
      </c>
      <c r="S322" s="21">
        <v>0</v>
      </c>
      <c r="T322" s="24">
        <v>0</v>
      </c>
      <c r="U322" s="14">
        <v>1.175</v>
      </c>
      <c r="W322" s="38">
        <f t="shared" si="72"/>
        <v>232.65</v>
      </c>
      <c r="AB322" s="37" t="str">
        <f t="shared" si="73"/>
        <v>Startup</v>
      </c>
      <c r="AC322" s="36">
        <f t="shared" si="74"/>
        <v>77.55</v>
      </c>
    </row>
    <row r="323" spans="1:29" ht="13" thickBot="1" x14ac:dyDescent="0.3">
      <c r="A323" s="20" t="s">
        <v>26</v>
      </c>
      <c r="B323" s="25" t="s">
        <v>12</v>
      </c>
      <c r="C323" s="26" t="s">
        <v>21</v>
      </c>
      <c r="D323" s="27">
        <v>0</v>
      </c>
      <c r="E323" s="27">
        <v>0</v>
      </c>
      <c r="F323" s="27">
        <v>0</v>
      </c>
      <c r="G323" s="27">
        <v>0</v>
      </c>
      <c r="H323" s="28">
        <v>9606</v>
      </c>
      <c r="I323" s="29">
        <v>2140</v>
      </c>
      <c r="J323" s="27">
        <v>1681</v>
      </c>
      <c r="K323" s="27">
        <v>1538</v>
      </c>
      <c r="L323" s="27">
        <v>771</v>
      </c>
      <c r="M323" s="27">
        <v>632</v>
      </c>
      <c r="N323" s="27">
        <v>834</v>
      </c>
      <c r="O323" s="27">
        <v>619</v>
      </c>
      <c r="P323" s="27">
        <v>367</v>
      </c>
      <c r="Q323" s="27">
        <v>826</v>
      </c>
      <c r="R323" s="27">
        <v>75</v>
      </c>
      <c r="S323" s="27">
        <v>51</v>
      </c>
      <c r="T323" s="29">
        <v>72</v>
      </c>
      <c r="U323" s="14">
        <v>1.175</v>
      </c>
      <c r="W323" s="38">
        <f t="shared" si="72"/>
        <v>11287.050000000001</v>
      </c>
      <c r="X323" s="35">
        <f>W322+W321+W318</f>
        <v>6501.2750000000005</v>
      </c>
      <c r="Y323" s="35">
        <f>W316</f>
        <v>0</v>
      </c>
      <c r="Z323" s="40">
        <f>V314/X323</f>
        <v>0</v>
      </c>
      <c r="AA323" s="40">
        <f>IF((Y323=0),0,Y315/Y323)</f>
        <v>0</v>
      </c>
      <c r="AB323" s="48"/>
      <c r="AC323" s="48"/>
    </row>
    <row r="324" spans="1:29" ht="13" thickBot="1" x14ac:dyDescent="0.3">
      <c r="A324" s="9" t="s">
        <v>27</v>
      </c>
      <c r="B324" s="30" t="s">
        <v>15</v>
      </c>
      <c r="C324" s="31" t="s">
        <v>94</v>
      </c>
      <c r="D324" s="32" t="s">
        <v>47</v>
      </c>
      <c r="E324" s="53" t="s">
        <v>104</v>
      </c>
      <c r="F324" s="53" t="s">
        <v>105</v>
      </c>
      <c r="G324" s="53" t="s">
        <v>106</v>
      </c>
      <c r="H324" s="28" t="s">
        <v>12</v>
      </c>
      <c r="I324" s="54" t="s">
        <v>107</v>
      </c>
      <c r="J324" s="53" t="s">
        <v>108</v>
      </c>
      <c r="K324" s="53" t="s">
        <v>109</v>
      </c>
      <c r="L324" s="53" t="s">
        <v>110</v>
      </c>
      <c r="M324" s="53" t="s">
        <v>111</v>
      </c>
      <c r="N324" s="53" t="s">
        <v>115</v>
      </c>
      <c r="O324" s="53" t="s">
        <v>120</v>
      </c>
      <c r="P324" s="53" t="s">
        <v>121</v>
      </c>
      <c r="Q324" s="53" t="s">
        <v>164</v>
      </c>
      <c r="R324" s="53" t="s">
        <v>173</v>
      </c>
      <c r="S324" s="53" t="s">
        <v>177</v>
      </c>
      <c r="T324" s="55" t="s">
        <v>182</v>
      </c>
      <c r="U324" s="14">
        <v>1.175</v>
      </c>
      <c r="V324" s="14" t="s">
        <v>183</v>
      </c>
      <c r="W324" s="35"/>
      <c r="X324" s="14" t="s">
        <v>37</v>
      </c>
      <c r="Y324" s="14" t="s">
        <v>38</v>
      </c>
      <c r="AB324" s="48"/>
      <c r="AC324" s="48"/>
    </row>
    <row r="325" spans="1:29" x14ac:dyDescent="0.25">
      <c r="A325" s="7" t="s">
        <v>27</v>
      </c>
      <c r="B325" s="8" t="s">
        <v>17</v>
      </c>
      <c r="C325" s="9" t="s">
        <v>18</v>
      </c>
      <c r="D325" s="10">
        <v>1</v>
      </c>
      <c r="E325" s="10">
        <v>0</v>
      </c>
      <c r="F325" s="10">
        <v>0</v>
      </c>
      <c r="G325" s="10">
        <v>0</v>
      </c>
      <c r="H325" s="11">
        <v>1</v>
      </c>
      <c r="I325" s="12">
        <v>0</v>
      </c>
      <c r="J325" s="10">
        <v>0</v>
      </c>
      <c r="K325" s="10">
        <v>0</v>
      </c>
      <c r="L325" s="10">
        <v>0</v>
      </c>
      <c r="M325" s="10">
        <v>0</v>
      </c>
      <c r="N325" s="10">
        <v>0</v>
      </c>
      <c r="O325" s="10">
        <v>0</v>
      </c>
      <c r="P325" s="10">
        <v>0</v>
      </c>
      <c r="Q325" s="10">
        <v>0</v>
      </c>
      <c r="R325" s="10">
        <v>0</v>
      </c>
      <c r="S325" s="10">
        <v>0</v>
      </c>
      <c r="T325" s="13">
        <v>0</v>
      </c>
      <c r="U325" s="14">
        <v>1.175</v>
      </c>
      <c r="V325" s="42">
        <f>SUM(I325:T325)/H325</f>
        <v>0</v>
      </c>
      <c r="W325" s="39">
        <f>SUM(I325:T325)*U325</f>
        <v>0</v>
      </c>
    </row>
    <row r="326" spans="1:29" x14ac:dyDescent="0.25">
      <c r="A326" s="7" t="s">
        <v>27</v>
      </c>
      <c r="B326" s="15" t="s">
        <v>66</v>
      </c>
      <c r="C326" s="7" t="s">
        <v>18</v>
      </c>
      <c r="D326" s="14">
        <v>0</v>
      </c>
      <c r="E326" s="14">
        <v>0</v>
      </c>
      <c r="F326" s="14">
        <v>0</v>
      </c>
      <c r="G326" s="14">
        <v>0</v>
      </c>
      <c r="H326" s="16">
        <v>60</v>
      </c>
      <c r="I326" s="17">
        <v>11</v>
      </c>
      <c r="J326" s="14">
        <v>0</v>
      </c>
      <c r="K326" s="14">
        <v>0</v>
      </c>
      <c r="L326" s="14">
        <v>0</v>
      </c>
      <c r="M326" s="14">
        <v>0</v>
      </c>
      <c r="N326" s="14">
        <v>0</v>
      </c>
      <c r="O326" s="14">
        <v>0</v>
      </c>
      <c r="P326" s="14">
        <v>0</v>
      </c>
      <c r="Q326" s="14">
        <v>49</v>
      </c>
      <c r="R326" s="14">
        <v>0</v>
      </c>
      <c r="S326" s="14">
        <v>0</v>
      </c>
      <c r="T326" s="18">
        <v>0</v>
      </c>
      <c r="U326" s="14">
        <v>1.175</v>
      </c>
      <c r="V326" s="44"/>
      <c r="W326" s="39">
        <f t="shared" ref="W326:W332" si="75">SUM(I326:T326)*U326</f>
        <v>70.5</v>
      </c>
    </row>
    <row r="327" spans="1:29" x14ac:dyDescent="0.25">
      <c r="A327" s="7" t="s">
        <v>27</v>
      </c>
      <c r="B327" s="15" t="s">
        <v>13</v>
      </c>
      <c r="C327" s="7" t="s">
        <v>18</v>
      </c>
      <c r="D327" s="14">
        <v>0</v>
      </c>
      <c r="E327" s="14">
        <v>0</v>
      </c>
      <c r="F327" s="14">
        <v>0</v>
      </c>
      <c r="G327" s="14">
        <v>0</v>
      </c>
      <c r="H327" s="16">
        <v>5973</v>
      </c>
      <c r="I327" s="17">
        <v>519</v>
      </c>
      <c r="J327" s="14">
        <v>2559</v>
      </c>
      <c r="K327" s="14">
        <v>1706</v>
      </c>
      <c r="L327" s="14">
        <v>334</v>
      </c>
      <c r="M327" s="14">
        <v>160</v>
      </c>
      <c r="N327" s="14">
        <v>137</v>
      </c>
      <c r="O327" s="14">
        <v>116</v>
      </c>
      <c r="P327" s="14">
        <v>23</v>
      </c>
      <c r="Q327" s="14">
        <v>315</v>
      </c>
      <c r="R327" s="14">
        <v>0</v>
      </c>
      <c r="S327" s="14">
        <v>104</v>
      </c>
      <c r="T327" s="18">
        <v>0</v>
      </c>
      <c r="U327" s="14">
        <v>1.175</v>
      </c>
      <c r="V327" s="41"/>
      <c r="W327" s="39">
        <f t="shared" si="75"/>
        <v>7018.2750000000005</v>
      </c>
    </row>
    <row r="328" spans="1:29" x14ac:dyDescent="0.25">
      <c r="A328" s="7" t="s">
        <v>27</v>
      </c>
      <c r="B328" s="15" t="s">
        <v>67</v>
      </c>
      <c r="C328" s="7" t="s">
        <v>18</v>
      </c>
      <c r="D328" s="14">
        <v>10</v>
      </c>
      <c r="E328" s="14">
        <v>0</v>
      </c>
      <c r="F328" s="14">
        <v>0</v>
      </c>
      <c r="G328" s="14">
        <v>0</v>
      </c>
      <c r="H328" s="16">
        <v>3036</v>
      </c>
      <c r="I328" s="17">
        <v>334</v>
      </c>
      <c r="J328" s="14">
        <v>1033</v>
      </c>
      <c r="K328" s="14">
        <v>248</v>
      </c>
      <c r="L328" s="14">
        <v>237</v>
      </c>
      <c r="M328" s="14">
        <v>317</v>
      </c>
      <c r="N328" s="14">
        <v>109</v>
      </c>
      <c r="O328" s="14">
        <v>112</v>
      </c>
      <c r="P328" s="14">
        <v>25</v>
      </c>
      <c r="Q328" s="14">
        <v>467</v>
      </c>
      <c r="R328" s="14">
        <v>88</v>
      </c>
      <c r="S328" s="14">
        <v>56</v>
      </c>
      <c r="T328" s="18">
        <v>0</v>
      </c>
      <c r="U328" s="14">
        <v>1.175</v>
      </c>
      <c r="V328" s="41"/>
      <c r="W328" s="39">
        <f t="shared" si="75"/>
        <v>3555.55</v>
      </c>
    </row>
    <row r="329" spans="1:29" x14ac:dyDescent="0.25">
      <c r="A329" s="7" t="s">
        <v>27</v>
      </c>
      <c r="B329" s="15" t="s">
        <v>73</v>
      </c>
      <c r="C329" s="7" t="s">
        <v>18</v>
      </c>
      <c r="D329" s="14">
        <v>0</v>
      </c>
      <c r="E329" s="14">
        <v>0</v>
      </c>
      <c r="F329" s="14">
        <v>0</v>
      </c>
      <c r="G329" s="14">
        <v>0</v>
      </c>
      <c r="H329" s="16">
        <v>8918</v>
      </c>
      <c r="I329" s="17">
        <v>749</v>
      </c>
      <c r="J329" s="14">
        <v>3807</v>
      </c>
      <c r="K329" s="14">
        <v>1332</v>
      </c>
      <c r="L329" s="14">
        <v>281</v>
      </c>
      <c r="M329" s="14">
        <v>100</v>
      </c>
      <c r="N329" s="14">
        <v>647</v>
      </c>
      <c r="O329" s="14">
        <v>763</v>
      </c>
      <c r="P329" s="14">
        <v>91</v>
      </c>
      <c r="Q329" s="14">
        <v>1144</v>
      </c>
      <c r="R329" s="14">
        <v>4</v>
      </c>
      <c r="S329" s="14">
        <v>0</v>
      </c>
      <c r="T329" s="18">
        <v>0</v>
      </c>
      <c r="U329" s="14">
        <v>1.175</v>
      </c>
      <c r="V329" s="41"/>
      <c r="W329" s="39">
        <f t="shared" si="75"/>
        <v>10478.65</v>
      </c>
    </row>
    <row r="330" spans="1:29" x14ac:dyDescent="0.25">
      <c r="A330" s="7" t="s">
        <v>27</v>
      </c>
      <c r="B330" s="15" t="s">
        <v>19</v>
      </c>
      <c r="C330" s="7" t="s">
        <v>18</v>
      </c>
      <c r="D330" s="14">
        <v>3</v>
      </c>
      <c r="E330" s="14">
        <v>0</v>
      </c>
      <c r="F330" s="14">
        <v>0</v>
      </c>
      <c r="G330" s="14">
        <v>0</v>
      </c>
      <c r="H330" s="16">
        <v>2895</v>
      </c>
      <c r="I330" s="17">
        <v>627</v>
      </c>
      <c r="J330" s="14">
        <v>885</v>
      </c>
      <c r="K330" s="14">
        <v>555</v>
      </c>
      <c r="L330" s="14">
        <v>155</v>
      </c>
      <c r="M330" s="14">
        <v>83</v>
      </c>
      <c r="N330" s="14">
        <v>32</v>
      </c>
      <c r="O330" s="14">
        <v>65</v>
      </c>
      <c r="P330" s="14">
        <v>108</v>
      </c>
      <c r="Q330" s="14">
        <v>236</v>
      </c>
      <c r="R330" s="14">
        <v>0</v>
      </c>
      <c r="S330" s="14">
        <v>97</v>
      </c>
      <c r="T330" s="18">
        <v>49</v>
      </c>
      <c r="U330" s="14">
        <v>1.175</v>
      </c>
      <c r="V330" s="41"/>
      <c r="W330" s="39">
        <f t="shared" si="75"/>
        <v>3398.1</v>
      </c>
    </row>
    <row r="331" spans="1:29" ht="13" thickBot="1" x14ac:dyDescent="0.3">
      <c r="A331" s="7" t="s">
        <v>27</v>
      </c>
      <c r="B331" s="19" t="s">
        <v>20</v>
      </c>
      <c r="C331" s="20" t="s">
        <v>18</v>
      </c>
      <c r="D331" s="21">
        <v>0</v>
      </c>
      <c r="E331" s="21">
        <v>0</v>
      </c>
      <c r="F331" s="21">
        <v>0</v>
      </c>
      <c r="G331" s="21">
        <v>0</v>
      </c>
      <c r="H331" s="22">
        <v>4</v>
      </c>
      <c r="I331" s="23">
        <v>0</v>
      </c>
      <c r="J331" s="21">
        <v>4</v>
      </c>
      <c r="K331" s="21">
        <v>0</v>
      </c>
      <c r="L331" s="21">
        <v>0</v>
      </c>
      <c r="M331" s="21">
        <v>0</v>
      </c>
      <c r="N331" s="21">
        <v>0</v>
      </c>
      <c r="O331" s="21">
        <v>0</v>
      </c>
      <c r="P331" s="21">
        <v>0</v>
      </c>
      <c r="Q331" s="21">
        <v>0</v>
      </c>
      <c r="R331" s="21">
        <v>0</v>
      </c>
      <c r="S331" s="21">
        <v>0</v>
      </c>
      <c r="T331" s="24">
        <v>0</v>
      </c>
      <c r="U331" s="14">
        <v>1.175</v>
      </c>
      <c r="V331" s="44"/>
      <c r="W331" s="39">
        <f t="shared" si="75"/>
        <v>4.7</v>
      </c>
    </row>
    <row r="332" spans="1:29" ht="13" thickBot="1" x14ac:dyDescent="0.3">
      <c r="A332" s="7" t="s">
        <v>27</v>
      </c>
      <c r="B332" s="25" t="s">
        <v>12</v>
      </c>
      <c r="C332" s="26" t="s">
        <v>18</v>
      </c>
      <c r="D332" s="27">
        <v>14</v>
      </c>
      <c r="E332" s="27">
        <v>0</v>
      </c>
      <c r="F332" s="27">
        <v>0</v>
      </c>
      <c r="G332" s="27">
        <v>0</v>
      </c>
      <c r="H332" s="28">
        <v>20887</v>
      </c>
      <c r="I332" s="29">
        <v>2241</v>
      </c>
      <c r="J332" s="27">
        <v>8288</v>
      </c>
      <c r="K332" s="27">
        <v>3841</v>
      </c>
      <c r="L332" s="27">
        <v>1006</v>
      </c>
      <c r="M332" s="27">
        <v>660</v>
      </c>
      <c r="N332" s="27">
        <v>925</v>
      </c>
      <c r="O332" s="27">
        <v>1055</v>
      </c>
      <c r="P332" s="27">
        <v>246</v>
      </c>
      <c r="Q332" s="27">
        <v>2212</v>
      </c>
      <c r="R332" s="27">
        <v>93</v>
      </c>
      <c r="S332" s="27">
        <v>257</v>
      </c>
      <c r="T332" s="29">
        <v>49</v>
      </c>
      <c r="U332" s="14">
        <v>1.175</v>
      </c>
      <c r="V332" s="43">
        <f>SUM(I327:T330)/SUM(H327:H330)</f>
        <v>0.99937566035923542</v>
      </c>
      <c r="W332" s="39">
        <f t="shared" si="75"/>
        <v>24525.775000000001</v>
      </c>
      <c r="X332" s="35">
        <f>W330+W327</f>
        <v>10416.375</v>
      </c>
      <c r="Y332" s="35">
        <f>W325</f>
        <v>0</v>
      </c>
    </row>
    <row r="333" spans="1:29" x14ac:dyDescent="0.25">
      <c r="A333" s="7" t="s">
        <v>27</v>
      </c>
      <c r="B333" s="8" t="s">
        <v>17</v>
      </c>
      <c r="C333" s="9" t="s">
        <v>21</v>
      </c>
      <c r="D333" s="10">
        <v>0</v>
      </c>
      <c r="E333" s="10">
        <v>0</v>
      </c>
      <c r="F333" s="10">
        <v>0</v>
      </c>
      <c r="G333" s="10">
        <v>0</v>
      </c>
      <c r="H333" s="11">
        <v>0</v>
      </c>
      <c r="I333" s="12">
        <v>0</v>
      </c>
      <c r="J333" s="10">
        <v>0</v>
      </c>
      <c r="K333" s="10">
        <v>0</v>
      </c>
      <c r="L333" s="10">
        <v>0</v>
      </c>
      <c r="M333" s="10">
        <v>0</v>
      </c>
      <c r="N333" s="10">
        <v>0</v>
      </c>
      <c r="O333" s="10">
        <v>0</v>
      </c>
      <c r="P333" s="10">
        <v>0</v>
      </c>
      <c r="Q333" s="10">
        <v>0</v>
      </c>
      <c r="R333" s="10">
        <v>0</v>
      </c>
      <c r="S333" s="10">
        <v>0</v>
      </c>
      <c r="T333" s="13">
        <v>0</v>
      </c>
      <c r="U333" s="14">
        <v>1.175</v>
      </c>
      <c r="W333" s="38">
        <f t="shared" ref="W333:W357" si="76">H333*U333</f>
        <v>0</v>
      </c>
      <c r="AB333" s="37" t="str">
        <f t="shared" ref="AB333:AB339" si="77">B333</f>
        <v>Parts-OTC</v>
      </c>
      <c r="AC333" s="36">
        <f t="shared" ref="AC333:AC339" si="78">I333*U333</f>
        <v>0</v>
      </c>
    </row>
    <row r="334" spans="1:29" x14ac:dyDescent="0.25">
      <c r="A334" s="7" t="s">
        <v>27</v>
      </c>
      <c r="B334" s="15" t="s">
        <v>66</v>
      </c>
      <c r="C334" s="7" t="s">
        <v>21</v>
      </c>
      <c r="D334" s="14">
        <v>0</v>
      </c>
      <c r="E334" s="14">
        <v>0</v>
      </c>
      <c r="F334" s="14">
        <v>0</v>
      </c>
      <c r="G334" s="14">
        <v>0</v>
      </c>
      <c r="H334" s="16">
        <v>297</v>
      </c>
      <c r="I334" s="17">
        <v>42</v>
      </c>
      <c r="J334" s="14">
        <v>0</v>
      </c>
      <c r="K334" s="14">
        <v>70</v>
      </c>
      <c r="L334" s="14">
        <v>0</v>
      </c>
      <c r="M334" s="14">
        <v>0</v>
      </c>
      <c r="N334" s="14">
        <v>24</v>
      </c>
      <c r="O334" s="14">
        <v>0</v>
      </c>
      <c r="P334" s="14">
        <v>0</v>
      </c>
      <c r="Q334" s="14">
        <v>161</v>
      </c>
      <c r="R334" s="14">
        <v>0</v>
      </c>
      <c r="S334" s="14">
        <v>0</v>
      </c>
      <c r="T334" s="18">
        <v>0</v>
      </c>
      <c r="U334" s="14">
        <v>1.175</v>
      </c>
      <c r="W334" s="38">
        <f t="shared" si="76"/>
        <v>348.97500000000002</v>
      </c>
      <c r="AB334" s="37" t="str">
        <f t="shared" si="77"/>
        <v>CTKS</v>
      </c>
      <c r="AC334" s="36">
        <f t="shared" si="78"/>
        <v>49.35</v>
      </c>
    </row>
    <row r="335" spans="1:29" x14ac:dyDescent="0.25">
      <c r="A335" s="7" t="s">
        <v>27</v>
      </c>
      <c r="B335" s="15" t="s">
        <v>13</v>
      </c>
      <c r="C335" s="7" t="s">
        <v>21</v>
      </c>
      <c r="D335" s="14">
        <v>0</v>
      </c>
      <c r="E335" s="14">
        <v>0</v>
      </c>
      <c r="F335" s="14">
        <v>0</v>
      </c>
      <c r="G335" s="14">
        <v>0</v>
      </c>
      <c r="H335" s="16">
        <v>1333</v>
      </c>
      <c r="I335" s="17">
        <v>533</v>
      </c>
      <c r="J335" s="14">
        <v>295</v>
      </c>
      <c r="K335" s="14">
        <v>199</v>
      </c>
      <c r="L335" s="14">
        <v>22</v>
      </c>
      <c r="M335" s="14">
        <v>3</v>
      </c>
      <c r="N335" s="14">
        <v>25</v>
      </c>
      <c r="O335" s="14">
        <v>22</v>
      </c>
      <c r="P335" s="14">
        <v>0</v>
      </c>
      <c r="Q335" s="14">
        <v>232</v>
      </c>
      <c r="R335" s="14">
        <v>0</v>
      </c>
      <c r="S335" s="14">
        <v>0</v>
      </c>
      <c r="T335" s="18">
        <v>2</v>
      </c>
      <c r="U335" s="14">
        <v>1.175</v>
      </c>
      <c r="W335" s="38">
        <f t="shared" si="76"/>
        <v>1566.2750000000001</v>
      </c>
      <c r="AB335" s="37" t="str">
        <f t="shared" si="77"/>
        <v>Repair</v>
      </c>
      <c r="AC335" s="36">
        <f t="shared" si="78"/>
        <v>626.27499999999998</v>
      </c>
    </row>
    <row r="336" spans="1:29" x14ac:dyDescent="0.25">
      <c r="A336" s="7" t="s">
        <v>27</v>
      </c>
      <c r="B336" s="15" t="s">
        <v>67</v>
      </c>
      <c r="C336" s="7" t="s">
        <v>21</v>
      </c>
      <c r="D336" s="14">
        <v>0</v>
      </c>
      <c r="E336" s="14">
        <v>0</v>
      </c>
      <c r="F336" s="14">
        <v>0</v>
      </c>
      <c r="G336" s="14">
        <v>0</v>
      </c>
      <c r="H336" s="16">
        <v>1832</v>
      </c>
      <c r="I336" s="17">
        <v>338</v>
      </c>
      <c r="J336" s="14">
        <v>257</v>
      </c>
      <c r="K336" s="14">
        <v>220</v>
      </c>
      <c r="L336" s="14">
        <v>212</v>
      </c>
      <c r="M336" s="14">
        <v>229</v>
      </c>
      <c r="N336" s="14">
        <v>226</v>
      </c>
      <c r="O336" s="14">
        <v>105</v>
      </c>
      <c r="P336" s="14">
        <v>69</v>
      </c>
      <c r="Q336" s="14">
        <v>69</v>
      </c>
      <c r="R336" s="14">
        <v>36</v>
      </c>
      <c r="S336" s="14">
        <v>33</v>
      </c>
      <c r="T336" s="18">
        <v>38</v>
      </c>
      <c r="U336" s="14">
        <v>1.175</v>
      </c>
      <c r="W336" s="38">
        <f t="shared" si="76"/>
        <v>2152.6</v>
      </c>
      <c r="AB336" s="37" t="str">
        <f t="shared" si="77"/>
        <v>Rental</v>
      </c>
      <c r="AC336" s="36">
        <f t="shared" si="78"/>
        <v>397.15000000000003</v>
      </c>
    </row>
    <row r="337" spans="1:29" x14ac:dyDescent="0.25">
      <c r="A337" s="7" t="s">
        <v>27</v>
      </c>
      <c r="B337" s="15" t="s">
        <v>73</v>
      </c>
      <c r="C337" s="7" t="s">
        <v>21</v>
      </c>
      <c r="D337" s="14">
        <v>0</v>
      </c>
      <c r="E337" s="14">
        <v>0</v>
      </c>
      <c r="F337" s="14">
        <v>0</v>
      </c>
      <c r="G337" s="14">
        <v>0</v>
      </c>
      <c r="H337" s="16">
        <v>1276</v>
      </c>
      <c r="I337" s="17">
        <v>285</v>
      </c>
      <c r="J337" s="14">
        <v>274</v>
      </c>
      <c r="K337" s="14">
        <v>401</v>
      </c>
      <c r="L337" s="14">
        <v>6</v>
      </c>
      <c r="M337" s="14">
        <v>6</v>
      </c>
      <c r="N337" s="14">
        <v>137</v>
      </c>
      <c r="O337" s="14">
        <v>0</v>
      </c>
      <c r="P337" s="14">
        <v>2</v>
      </c>
      <c r="Q337" s="14">
        <v>164</v>
      </c>
      <c r="R337" s="14">
        <v>1</v>
      </c>
      <c r="S337" s="14">
        <v>0</v>
      </c>
      <c r="T337" s="18">
        <v>0</v>
      </c>
      <c r="U337" s="14">
        <v>1.175</v>
      </c>
      <c r="W337" s="38">
        <f t="shared" si="76"/>
        <v>1499.3</v>
      </c>
      <c r="AB337" s="37"/>
    </row>
    <row r="338" spans="1:29" x14ac:dyDescent="0.25">
      <c r="A338" s="7" t="s">
        <v>27</v>
      </c>
      <c r="B338" s="15" t="s">
        <v>19</v>
      </c>
      <c r="C338" s="7" t="s">
        <v>21</v>
      </c>
      <c r="D338" s="14">
        <v>0</v>
      </c>
      <c r="E338" s="14">
        <v>0</v>
      </c>
      <c r="F338" s="14">
        <v>0</v>
      </c>
      <c r="G338" s="14">
        <v>0</v>
      </c>
      <c r="H338" s="16">
        <v>3081</v>
      </c>
      <c r="I338" s="17">
        <v>418</v>
      </c>
      <c r="J338" s="14">
        <v>480</v>
      </c>
      <c r="K338" s="14">
        <v>307</v>
      </c>
      <c r="L338" s="14">
        <v>192</v>
      </c>
      <c r="M338" s="14">
        <v>165</v>
      </c>
      <c r="N338" s="14">
        <v>400</v>
      </c>
      <c r="O338" s="14">
        <v>452</v>
      </c>
      <c r="P338" s="14">
        <v>277</v>
      </c>
      <c r="Q338" s="14">
        <v>366</v>
      </c>
      <c r="R338" s="14">
        <v>0</v>
      </c>
      <c r="S338" s="14">
        <v>0</v>
      </c>
      <c r="T338" s="18">
        <v>24</v>
      </c>
      <c r="U338" s="14">
        <v>1.175</v>
      </c>
      <c r="W338" s="38">
        <f t="shared" si="76"/>
        <v>3620.1750000000002</v>
      </c>
      <c r="AB338" s="37" t="str">
        <f t="shared" si="77"/>
        <v>Maintenance</v>
      </c>
      <c r="AC338" s="36">
        <f t="shared" si="78"/>
        <v>491.15000000000003</v>
      </c>
    </row>
    <row r="339" spans="1:29" ht="13" thickBot="1" x14ac:dyDescent="0.3">
      <c r="A339" s="7" t="s">
        <v>27</v>
      </c>
      <c r="B339" s="19" t="s">
        <v>20</v>
      </c>
      <c r="C339" s="20" t="s">
        <v>21</v>
      </c>
      <c r="D339" s="21">
        <v>0</v>
      </c>
      <c r="E339" s="21">
        <v>0</v>
      </c>
      <c r="F339" s="21">
        <v>0</v>
      </c>
      <c r="G339" s="21">
        <v>0</v>
      </c>
      <c r="H339" s="22">
        <v>117</v>
      </c>
      <c r="I339" s="23">
        <v>32</v>
      </c>
      <c r="J339" s="21">
        <v>62</v>
      </c>
      <c r="K339" s="21">
        <v>15</v>
      </c>
      <c r="L339" s="21">
        <v>2</v>
      </c>
      <c r="M339" s="21">
        <v>0</v>
      </c>
      <c r="N339" s="21">
        <v>0</v>
      </c>
      <c r="O339" s="21">
        <v>0</v>
      </c>
      <c r="P339" s="21">
        <v>0</v>
      </c>
      <c r="Q339" s="21">
        <v>6</v>
      </c>
      <c r="R339" s="21">
        <v>0</v>
      </c>
      <c r="S339" s="21">
        <v>0</v>
      </c>
      <c r="T339" s="24">
        <v>0</v>
      </c>
      <c r="U339" s="14">
        <v>1.175</v>
      </c>
      <c r="W339" s="38">
        <f t="shared" si="76"/>
        <v>137.47499999999999</v>
      </c>
      <c r="AB339" s="37" t="str">
        <f t="shared" si="77"/>
        <v>Startup</v>
      </c>
      <c r="AC339" s="36">
        <f t="shared" si="78"/>
        <v>37.6</v>
      </c>
    </row>
    <row r="340" spans="1:29" ht="13" thickBot="1" x14ac:dyDescent="0.3">
      <c r="A340" s="20" t="s">
        <v>27</v>
      </c>
      <c r="B340" s="25" t="s">
        <v>12</v>
      </c>
      <c r="C340" s="26" t="s">
        <v>21</v>
      </c>
      <c r="D340" s="27">
        <v>0</v>
      </c>
      <c r="E340" s="27">
        <v>0</v>
      </c>
      <c r="F340" s="27">
        <v>0</v>
      </c>
      <c r="G340" s="27">
        <v>0</v>
      </c>
      <c r="H340" s="28">
        <v>7937</v>
      </c>
      <c r="I340" s="29">
        <v>1648</v>
      </c>
      <c r="J340" s="27">
        <v>1368</v>
      </c>
      <c r="K340" s="27">
        <v>1212</v>
      </c>
      <c r="L340" s="27">
        <v>435</v>
      </c>
      <c r="M340" s="27">
        <v>402</v>
      </c>
      <c r="N340" s="27">
        <v>811</v>
      </c>
      <c r="O340" s="27">
        <v>579</v>
      </c>
      <c r="P340" s="27">
        <v>348</v>
      </c>
      <c r="Q340" s="27">
        <v>999</v>
      </c>
      <c r="R340" s="27">
        <v>37</v>
      </c>
      <c r="S340" s="27">
        <v>33</v>
      </c>
      <c r="T340" s="29">
        <v>65</v>
      </c>
      <c r="U340" s="14">
        <v>1.175</v>
      </c>
      <c r="W340" s="38">
        <f t="shared" si="76"/>
        <v>9325.9750000000004</v>
      </c>
      <c r="X340" s="35">
        <f>W339+W338+W335</f>
        <v>5323.9250000000002</v>
      </c>
      <c r="Y340" s="35">
        <f>W333</f>
        <v>0</v>
      </c>
      <c r="Z340" s="40">
        <f>V331/X340</f>
        <v>0</v>
      </c>
      <c r="AA340" s="40">
        <f>IF((Y340=0),0,Y332/Y340)</f>
        <v>0</v>
      </c>
      <c r="AB340" s="48"/>
      <c r="AC340" s="48"/>
    </row>
    <row r="341" spans="1:29" ht="13" thickBot="1" x14ac:dyDescent="0.3">
      <c r="A341" s="9" t="s">
        <v>28</v>
      </c>
      <c r="B341" s="30" t="s">
        <v>15</v>
      </c>
      <c r="C341" s="31" t="s">
        <v>94</v>
      </c>
      <c r="D341" s="32" t="s">
        <v>47</v>
      </c>
      <c r="E341" s="53" t="s">
        <v>104</v>
      </c>
      <c r="F341" s="53" t="s">
        <v>105</v>
      </c>
      <c r="G341" s="53" t="s">
        <v>106</v>
      </c>
      <c r="H341" s="28" t="s">
        <v>12</v>
      </c>
      <c r="I341" s="54" t="s">
        <v>107</v>
      </c>
      <c r="J341" s="53" t="s">
        <v>108</v>
      </c>
      <c r="K341" s="53" t="s">
        <v>109</v>
      </c>
      <c r="L341" s="53" t="s">
        <v>110</v>
      </c>
      <c r="M341" s="53" t="s">
        <v>111</v>
      </c>
      <c r="N341" s="53" t="s">
        <v>115</v>
      </c>
      <c r="O341" s="53" t="s">
        <v>120</v>
      </c>
      <c r="P341" s="53" t="s">
        <v>121</v>
      </c>
      <c r="Q341" s="53" t="s">
        <v>164</v>
      </c>
      <c r="R341" s="53" t="s">
        <v>173</v>
      </c>
      <c r="S341" s="53" t="s">
        <v>177</v>
      </c>
      <c r="T341" s="55" t="s">
        <v>182</v>
      </c>
      <c r="U341" s="14">
        <v>1.175</v>
      </c>
      <c r="V341" s="14" t="s">
        <v>183</v>
      </c>
      <c r="W341" s="35"/>
      <c r="X341" s="14" t="s">
        <v>37</v>
      </c>
      <c r="Y341" s="14" t="s">
        <v>38</v>
      </c>
      <c r="AB341" s="48"/>
      <c r="AC341" s="48"/>
    </row>
    <row r="342" spans="1:29" x14ac:dyDescent="0.25">
      <c r="A342" s="7" t="s">
        <v>28</v>
      </c>
      <c r="B342" s="8" t="s">
        <v>17</v>
      </c>
      <c r="C342" s="9" t="s">
        <v>18</v>
      </c>
      <c r="D342" s="10">
        <v>0</v>
      </c>
      <c r="E342" s="10">
        <v>0</v>
      </c>
      <c r="F342" s="10">
        <v>0</v>
      </c>
      <c r="G342" s="10">
        <v>0</v>
      </c>
      <c r="H342" s="11">
        <v>0</v>
      </c>
      <c r="I342" s="12">
        <v>0</v>
      </c>
      <c r="J342" s="10">
        <v>0</v>
      </c>
      <c r="K342" s="10">
        <v>0</v>
      </c>
      <c r="L342" s="10">
        <v>0</v>
      </c>
      <c r="M342" s="10">
        <v>0</v>
      </c>
      <c r="N342" s="10">
        <v>0</v>
      </c>
      <c r="O342" s="10">
        <v>0</v>
      </c>
      <c r="P342" s="10">
        <v>0</v>
      </c>
      <c r="Q342" s="10">
        <v>0</v>
      </c>
      <c r="R342" s="10">
        <v>0</v>
      </c>
      <c r="S342" s="10">
        <v>0</v>
      </c>
      <c r="T342" s="13">
        <v>0</v>
      </c>
      <c r="U342" s="14">
        <v>1.175</v>
      </c>
      <c r="V342" s="42" t="e">
        <f>SUM(I342:T342)/H342</f>
        <v>#DIV/0!</v>
      </c>
      <c r="W342" s="39">
        <f>SUM(I342:T342)*U342</f>
        <v>0</v>
      </c>
    </row>
    <row r="343" spans="1:29" x14ac:dyDescent="0.25">
      <c r="A343" s="7" t="s">
        <v>28</v>
      </c>
      <c r="B343" s="15" t="s">
        <v>66</v>
      </c>
      <c r="C343" s="7" t="s">
        <v>18</v>
      </c>
      <c r="D343" s="14">
        <v>0</v>
      </c>
      <c r="E343" s="14">
        <v>0</v>
      </c>
      <c r="F343" s="14">
        <v>0</v>
      </c>
      <c r="G343" s="14">
        <v>0</v>
      </c>
      <c r="H343" s="16">
        <v>299</v>
      </c>
      <c r="I343" s="17">
        <v>0</v>
      </c>
      <c r="J343" s="14">
        <v>10</v>
      </c>
      <c r="K343" s="14">
        <v>0</v>
      </c>
      <c r="L343" s="14">
        <v>0</v>
      </c>
      <c r="M343" s="14">
        <v>0</v>
      </c>
      <c r="N343" s="14">
        <v>0</v>
      </c>
      <c r="O343" s="14">
        <v>0</v>
      </c>
      <c r="P343" s="14">
        <v>0</v>
      </c>
      <c r="Q343" s="14">
        <v>289</v>
      </c>
      <c r="R343" s="14">
        <v>0</v>
      </c>
      <c r="S343" s="14">
        <v>0</v>
      </c>
      <c r="T343" s="18">
        <v>0</v>
      </c>
      <c r="U343" s="14">
        <v>1.175</v>
      </c>
      <c r="V343" s="44"/>
      <c r="W343" s="39">
        <f t="shared" ref="W343:W349" si="79">SUM(I343:T343)*U343</f>
        <v>351.32499999999999</v>
      </c>
    </row>
    <row r="344" spans="1:29" x14ac:dyDescent="0.25">
      <c r="A344" s="7" t="s">
        <v>28</v>
      </c>
      <c r="B344" s="15" t="s">
        <v>13</v>
      </c>
      <c r="C344" s="7" t="s">
        <v>18</v>
      </c>
      <c r="D344" s="14">
        <v>2</v>
      </c>
      <c r="E344" s="14">
        <v>0</v>
      </c>
      <c r="F344" s="14">
        <v>0</v>
      </c>
      <c r="G344" s="14">
        <v>0</v>
      </c>
      <c r="H344" s="16">
        <v>4374</v>
      </c>
      <c r="I344" s="17">
        <v>0</v>
      </c>
      <c r="J344" s="14">
        <v>3366</v>
      </c>
      <c r="K344" s="14">
        <v>679</v>
      </c>
      <c r="L344" s="14">
        <v>310</v>
      </c>
      <c r="M344" s="14">
        <v>3</v>
      </c>
      <c r="N344" s="14">
        <v>2</v>
      </c>
      <c r="O344" s="14">
        <v>10</v>
      </c>
      <c r="P344" s="14">
        <v>0</v>
      </c>
      <c r="Q344" s="14">
        <v>0</v>
      </c>
      <c r="R344" s="14">
        <v>0</v>
      </c>
      <c r="S344" s="14">
        <v>0</v>
      </c>
      <c r="T344" s="18">
        <v>2</v>
      </c>
      <c r="U344" s="14">
        <v>1.175</v>
      </c>
      <c r="V344" s="41"/>
      <c r="W344" s="39">
        <f t="shared" si="79"/>
        <v>5137.1000000000004</v>
      </c>
    </row>
    <row r="345" spans="1:29" x14ac:dyDescent="0.25">
      <c r="A345" s="7" t="s">
        <v>28</v>
      </c>
      <c r="B345" s="15" t="s">
        <v>67</v>
      </c>
      <c r="C345" s="7" t="s">
        <v>18</v>
      </c>
      <c r="D345" s="14">
        <v>0</v>
      </c>
      <c r="E345" s="14">
        <v>0</v>
      </c>
      <c r="F345" s="14">
        <v>0</v>
      </c>
      <c r="G345" s="14">
        <v>0</v>
      </c>
      <c r="H345" s="16">
        <v>4155</v>
      </c>
      <c r="I345" s="17">
        <v>9</v>
      </c>
      <c r="J345" s="14">
        <v>2762</v>
      </c>
      <c r="K345" s="14">
        <v>492</v>
      </c>
      <c r="L345" s="14">
        <v>372</v>
      </c>
      <c r="M345" s="14">
        <v>239</v>
      </c>
      <c r="N345" s="14">
        <v>204</v>
      </c>
      <c r="O345" s="14">
        <v>42</v>
      </c>
      <c r="P345" s="14">
        <v>4</v>
      </c>
      <c r="Q345" s="14">
        <v>9</v>
      </c>
      <c r="R345" s="14">
        <v>0</v>
      </c>
      <c r="S345" s="14">
        <v>0</v>
      </c>
      <c r="T345" s="18">
        <v>22</v>
      </c>
      <c r="U345" s="14">
        <v>1.175</v>
      </c>
      <c r="V345" s="41"/>
      <c r="W345" s="39">
        <f>SUM(I345:T345)*U345</f>
        <v>4882.125</v>
      </c>
    </row>
    <row r="346" spans="1:29" x14ac:dyDescent="0.25">
      <c r="A346" s="7" t="s">
        <v>28</v>
      </c>
      <c r="B346" s="15" t="s">
        <v>73</v>
      </c>
      <c r="C346" s="7" t="s">
        <v>18</v>
      </c>
      <c r="D346" s="14">
        <v>0</v>
      </c>
      <c r="E346" s="14">
        <v>0</v>
      </c>
      <c r="F346" s="14">
        <v>0</v>
      </c>
      <c r="G346" s="14">
        <v>0</v>
      </c>
      <c r="H346" s="16">
        <v>5561</v>
      </c>
      <c r="I346" s="17">
        <v>10</v>
      </c>
      <c r="J346" s="14">
        <v>3809</v>
      </c>
      <c r="K346" s="14">
        <v>915</v>
      </c>
      <c r="L346" s="14">
        <v>771</v>
      </c>
      <c r="M346" s="14">
        <v>0</v>
      </c>
      <c r="N346" s="14">
        <v>42</v>
      </c>
      <c r="O346" s="14">
        <v>0</v>
      </c>
      <c r="P346" s="14">
        <v>0</v>
      </c>
      <c r="Q346" s="14">
        <v>14</v>
      </c>
      <c r="R346" s="14">
        <v>0</v>
      </c>
      <c r="S346" s="14">
        <v>0</v>
      </c>
      <c r="T346" s="18">
        <v>0</v>
      </c>
      <c r="U346" s="14">
        <v>1.175</v>
      </c>
      <c r="V346" s="41"/>
      <c r="W346" s="39">
        <f>SUM(I346:T346)*U346</f>
        <v>6534.1750000000002</v>
      </c>
    </row>
    <row r="347" spans="1:29" x14ac:dyDescent="0.25">
      <c r="A347" s="7" t="s">
        <v>28</v>
      </c>
      <c r="B347" s="15" t="s">
        <v>19</v>
      </c>
      <c r="C347" s="7" t="s">
        <v>18</v>
      </c>
      <c r="D347" s="14">
        <v>20</v>
      </c>
      <c r="E347" s="14">
        <v>0</v>
      </c>
      <c r="F347" s="14">
        <v>0</v>
      </c>
      <c r="G347" s="14">
        <v>0</v>
      </c>
      <c r="H347" s="16">
        <v>3498</v>
      </c>
      <c r="I347" s="17">
        <v>10</v>
      </c>
      <c r="J347" s="14">
        <v>2475</v>
      </c>
      <c r="K347" s="14">
        <v>441</v>
      </c>
      <c r="L347" s="14">
        <v>179</v>
      </c>
      <c r="M347" s="14">
        <v>117</v>
      </c>
      <c r="N347" s="14">
        <v>0</v>
      </c>
      <c r="O347" s="14">
        <v>131</v>
      </c>
      <c r="P347" s="14">
        <v>0</v>
      </c>
      <c r="Q347" s="14">
        <v>125</v>
      </c>
      <c r="R347" s="14">
        <v>0</v>
      </c>
      <c r="S347" s="14">
        <v>0</v>
      </c>
      <c r="T347" s="18">
        <v>0</v>
      </c>
      <c r="U347" s="14">
        <v>1.175</v>
      </c>
      <c r="V347" s="41"/>
      <c r="W347" s="39">
        <f t="shared" si="79"/>
        <v>4086.65</v>
      </c>
    </row>
    <row r="348" spans="1:29" ht="13" thickBot="1" x14ac:dyDescent="0.3">
      <c r="A348" s="7" t="s">
        <v>28</v>
      </c>
      <c r="B348" s="19" t="s">
        <v>20</v>
      </c>
      <c r="C348" s="20" t="s">
        <v>18</v>
      </c>
      <c r="D348" s="21">
        <v>0</v>
      </c>
      <c r="E348" s="21">
        <v>0</v>
      </c>
      <c r="F348" s="21">
        <v>0</v>
      </c>
      <c r="G348" s="21">
        <v>0</v>
      </c>
      <c r="H348" s="22">
        <v>0</v>
      </c>
      <c r="I348" s="23">
        <v>0</v>
      </c>
      <c r="J348" s="21">
        <v>0</v>
      </c>
      <c r="K348" s="21">
        <v>0</v>
      </c>
      <c r="L348" s="21">
        <v>0</v>
      </c>
      <c r="M348" s="21">
        <v>0</v>
      </c>
      <c r="N348" s="21">
        <v>0</v>
      </c>
      <c r="O348" s="21">
        <v>0</v>
      </c>
      <c r="P348" s="21">
        <v>0</v>
      </c>
      <c r="Q348" s="21">
        <v>0</v>
      </c>
      <c r="R348" s="21">
        <v>0</v>
      </c>
      <c r="S348" s="21">
        <v>0</v>
      </c>
      <c r="T348" s="24">
        <v>0</v>
      </c>
      <c r="U348" s="14">
        <v>1.175</v>
      </c>
      <c r="V348" s="44"/>
      <c r="W348" s="39">
        <f t="shared" si="79"/>
        <v>0</v>
      </c>
    </row>
    <row r="349" spans="1:29" ht="13" thickBot="1" x14ac:dyDescent="0.3">
      <c r="A349" s="7" t="s">
        <v>28</v>
      </c>
      <c r="B349" s="25" t="s">
        <v>12</v>
      </c>
      <c r="C349" s="26" t="s">
        <v>18</v>
      </c>
      <c r="D349" s="27">
        <v>22</v>
      </c>
      <c r="E349" s="27">
        <v>0</v>
      </c>
      <c r="F349" s="27">
        <v>0</v>
      </c>
      <c r="G349" s="27">
        <v>0</v>
      </c>
      <c r="H349" s="28">
        <v>17886</v>
      </c>
      <c r="I349" s="29">
        <v>28</v>
      </c>
      <c r="J349" s="27">
        <v>12422</v>
      </c>
      <c r="K349" s="27">
        <v>2527</v>
      </c>
      <c r="L349" s="27">
        <v>1632</v>
      </c>
      <c r="M349" s="27">
        <v>359</v>
      </c>
      <c r="N349" s="27">
        <v>248</v>
      </c>
      <c r="O349" s="27">
        <v>182</v>
      </c>
      <c r="P349" s="27">
        <v>4</v>
      </c>
      <c r="Q349" s="27">
        <v>438</v>
      </c>
      <c r="R349" s="27">
        <v>0</v>
      </c>
      <c r="S349" s="27">
        <v>0</v>
      </c>
      <c r="T349" s="29">
        <v>24</v>
      </c>
      <c r="U349" s="14">
        <v>1.175</v>
      </c>
      <c r="V349" s="43">
        <f>SUM(I344:T347)/SUM(H344:H347)</f>
        <v>0.99874914714578122</v>
      </c>
      <c r="W349" s="39">
        <f t="shared" si="79"/>
        <v>20990.2</v>
      </c>
      <c r="X349" s="35">
        <f>W347+W344</f>
        <v>9223.75</v>
      </c>
      <c r="Y349" s="35">
        <f>W342</f>
        <v>0</v>
      </c>
    </row>
    <row r="350" spans="1:29" x14ac:dyDescent="0.25">
      <c r="A350" s="7" t="s">
        <v>28</v>
      </c>
      <c r="B350" s="8" t="s">
        <v>17</v>
      </c>
      <c r="C350" s="9" t="s">
        <v>21</v>
      </c>
      <c r="D350" s="10">
        <v>0</v>
      </c>
      <c r="E350" s="10">
        <v>0</v>
      </c>
      <c r="F350" s="10">
        <v>0</v>
      </c>
      <c r="G350" s="10">
        <v>0</v>
      </c>
      <c r="H350" s="11">
        <v>0</v>
      </c>
      <c r="I350" s="12">
        <v>0</v>
      </c>
      <c r="J350" s="10">
        <v>0</v>
      </c>
      <c r="K350" s="10">
        <v>0</v>
      </c>
      <c r="L350" s="10">
        <v>0</v>
      </c>
      <c r="M350" s="10">
        <v>0</v>
      </c>
      <c r="N350" s="10">
        <v>0</v>
      </c>
      <c r="O350" s="10">
        <v>0</v>
      </c>
      <c r="P350" s="10">
        <v>0</v>
      </c>
      <c r="Q350" s="10">
        <v>0</v>
      </c>
      <c r="R350" s="10">
        <v>0</v>
      </c>
      <c r="S350" s="10">
        <v>0</v>
      </c>
      <c r="T350" s="13">
        <v>0</v>
      </c>
      <c r="U350" s="14">
        <v>1.175</v>
      </c>
      <c r="W350" s="38">
        <f t="shared" si="76"/>
        <v>0</v>
      </c>
      <c r="AB350" s="37" t="str">
        <f t="shared" ref="AB350:AB356" si="80">B350</f>
        <v>Parts-OTC</v>
      </c>
      <c r="AC350" s="36">
        <f t="shared" ref="AC350:AC356" si="81">I350*U350</f>
        <v>0</v>
      </c>
    </row>
    <row r="351" spans="1:29" x14ac:dyDescent="0.25">
      <c r="A351" s="7" t="s">
        <v>28</v>
      </c>
      <c r="B351" s="15" t="s">
        <v>66</v>
      </c>
      <c r="C351" s="7" t="s">
        <v>21</v>
      </c>
      <c r="D351" s="14">
        <v>0</v>
      </c>
      <c r="E351" s="14">
        <v>0</v>
      </c>
      <c r="F351" s="14">
        <v>0</v>
      </c>
      <c r="G351" s="14">
        <v>0</v>
      </c>
      <c r="H351" s="16">
        <v>453</v>
      </c>
      <c r="I351" s="17">
        <v>72</v>
      </c>
      <c r="J351" s="14">
        <v>73</v>
      </c>
      <c r="K351" s="14">
        <v>22</v>
      </c>
      <c r="L351" s="14">
        <v>0</v>
      </c>
      <c r="M351" s="14">
        <v>0</v>
      </c>
      <c r="N351" s="14">
        <v>0</v>
      </c>
      <c r="O351" s="14">
        <v>0</v>
      </c>
      <c r="P351" s="14">
        <v>0</v>
      </c>
      <c r="Q351" s="14">
        <v>286</v>
      </c>
      <c r="R351" s="14">
        <v>0</v>
      </c>
      <c r="S351" s="14">
        <v>0</v>
      </c>
      <c r="T351" s="18">
        <v>0</v>
      </c>
      <c r="U351" s="14">
        <v>1.175</v>
      </c>
      <c r="W351" s="38">
        <f t="shared" si="76"/>
        <v>532.27499999999998</v>
      </c>
      <c r="AB351" s="37" t="str">
        <f t="shared" si="80"/>
        <v>CTKS</v>
      </c>
      <c r="AC351" s="36">
        <f t="shared" si="81"/>
        <v>84.600000000000009</v>
      </c>
    </row>
    <row r="352" spans="1:29" x14ac:dyDescent="0.25">
      <c r="A352" s="7" t="s">
        <v>28</v>
      </c>
      <c r="B352" s="15" t="s">
        <v>13</v>
      </c>
      <c r="C352" s="7" t="s">
        <v>21</v>
      </c>
      <c r="D352" s="14">
        <v>0</v>
      </c>
      <c r="E352" s="14">
        <v>0</v>
      </c>
      <c r="F352" s="14">
        <v>0</v>
      </c>
      <c r="G352" s="14">
        <v>0</v>
      </c>
      <c r="H352" s="16">
        <v>1024</v>
      </c>
      <c r="I352" s="17">
        <v>385</v>
      </c>
      <c r="J352" s="14">
        <v>358</v>
      </c>
      <c r="K352" s="14">
        <v>116</v>
      </c>
      <c r="L352" s="14">
        <v>17</v>
      </c>
      <c r="M352" s="14">
        <v>10</v>
      </c>
      <c r="N352" s="14">
        <v>18</v>
      </c>
      <c r="O352" s="14">
        <v>16</v>
      </c>
      <c r="P352" s="14">
        <v>0</v>
      </c>
      <c r="Q352" s="14">
        <v>104</v>
      </c>
      <c r="R352" s="14">
        <v>0</v>
      </c>
      <c r="S352" s="14">
        <v>0</v>
      </c>
      <c r="T352" s="18">
        <v>0</v>
      </c>
      <c r="U352" s="14">
        <v>1.175</v>
      </c>
      <c r="W352" s="38">
        <f t="shared" si="76"/>
        <v>1203.2</v>
      </c>
      <c r="AB352" s="37" t="str">
        <f t="shared" si="80"/>
        <v>Repair</v>
      </c>
      <c r="AC352" s="36">
        <f t="shared" si="81"/>
        <v>452.375</v>
      </c>
    </row>
    <row r="353" spans="1:29" x14ac:dyDescent="0.25">
      <c r="A353" s="7" t="s">
        <v>28</v>
      </c>
      <c r="B353" s="15" t="s">
        <v>67</v>
      </c>
      <c r="C353" s="7" t="s">
        <v>21</v>
      </c>
      <c r="D353" s="14">
        <v>0</v>
      </c>
      <c r="E353" s="14">
        <v>0</v>
      </c>
      <c r="F353" s="14">
        <v>0</v>
      </c>
      <c r="G353" s="14">
        <v>0</v>
      </c>
      <c r="H353" s="16">
        <v>3953</v>
      </c>
      <c r="I353" s="17">
        <v>716</v>
      </c>
      <c r="J353" s="14">
        <v>770</v>
      </c>
      <c r="K353" s="14">
        <v>693</v>
      </c>
      <c r="L353" s="14">
        <v>424</v>
      </c>
      <c r="M353" s="14">
        <v>366</v>
      </c>
      <c r="N353" s="14">
        <v>322</v>
      </c>
      <c r="O353" s="14">
        <v>191</v>
      </c>
      <c r="P353" s="14">
        <v>153</v>
      </c>
      <c r="Q353" s="14">
        <v>136</v>
      </c>
      <c r="R353" s="14">
        <v>78</v>
      </c>
      <c r="S353" s="14">
        <v>50</v>
      </c>
      <c r="T353" s="18">
        <v>54</v>
      </c>
      <c r="U353" s="14">
        <v>1.175</v>
      </c>
      <c r="W353" s="38">
        <f t="shared" si="76"/>
        <v>4644.7750000000005</v>
      </c>
      <c r="AB353" s="37" t="str">
        <f t="shared" si="80"/>
        <v>Rental</v>
      </c>
      <c r="AC353" s="36">
        <f t="shared" si="81"/>
        <v>841.30000000000007</v>
      </c>
    </row>
    <row r="354" spans="1:29" x14ac:dyDescent="0.25">
      <c r="A354" s="7" t="s">
        <v>28</v>
      </c>
      <c r="B354" s="15" t="s">
        <v>73</v>
      </c>
      <c r="C354" s="7" t="s">
        <v>21</v>
      </c>
      <c r="D354" s="14">
        <v>0</v>
      </c>
      <c r="E354" s="14">
        <v>0</v>
      </c>
      <c r="F354" s="14">
        <v>0</v>
      </c>
      <c r="G354" s="14">
        <v>0</v>
      </c>
      <c r="H354" s="16">
        <v>1286</v>
      </c>
      <c r="I354" s="17">
        <v>260</v>
      </c>
      <c r="J354" s="14">
        <v>364</v>
      </c>
      <c r="K354" s="14">
        <v>387</v>
      </c>
      <c r="L354" s="14">
        <v>21</v>
      </c>
      <c r="M354" s="14">
        <v>17</v>
      </c>
      <c r="N354" s="14">
        <v>1</v>
      </c>
      <c r="O354" s="14">
        <v>28</v>
      </c>
      <c r="P354" s="14">
        <v>1</v>
      </c>
      <c r="Q354" s="14">
        <v>207</v>
      </c>
      <c r="R354" s="14">
        <v>0</v>
      </c>
      <c r="S354" s="14">
        <v>0</v>
      </c>
      <c r="T354" s="18">
        <v>0</v>
      </c>
      <c r="U354" s="14">
        <v>1.175</v>
      </c>
      <c r="W354" s="38">
        <f t="shared" si="76"/>
        <v>1511.05</v>
      </c>
      <c r="AB354" s="37"/>
    </row>
    <row r="355" spans="1:29" x14ac:dyDescent="0.25">
      <c r="A355" s="7" t="s">
        <v>28</v>
      </c>
      <c r="B355" s="15" t="s">
        <v>19</v>
      </c>
      <c r="C355" s="7" t="s">
        <v>21</v>
      </c>
      <c r="D355" s="14">
        <v>0</v>
      </c>
      <c r="E355" s="14">
        <v>0</v>
      </c>
      <c r="F355" s="14">
        <v>0</v>
      </c>
      <c r="G355" s="14">
        <v>0</v>
      </c>
      <c r="H355" s="16">
        <v>4595</v>
      </c>
      <c r="I355" s="17">
        <v>758</v>
      </c>
      <c r="J355" s="14">
        <v>641</v>
      </c>
      <c r="K355" s="14">
        <v>701</v>
      </c>
      <c r="L355" s="14">
        <v>145</v>
      </c>
      <c r="M355" s="14">
        <v>205</v>
      </c>
      <c r="N355" s="14">
        <v>406</v>
      </c>
      <c r="O355" s="14">
        <v>546</v>
      </c>
      <c r="P355" s="14">
        <v>542</v>
      </c>
      <c r="Q355" s="14">
        <v>566</v>
      </c>
      <c r="R355" s="14">
        <v>43</v>
      </c>
      <c r="S355" s="14">
        <v>12</v>
      </c>
      <c r="T355" s="18">
        <v>30</v>
      </c>
      <c r="U355" s="14">
        <v>1.175</v>
      </c>
      <c r="W355" s="38">
        <f t="shared" si="76"/>
        <v>5399.125</v>
      </c>
      <c r="AB355" s="37" t="str">
        <f t="shared" si="80"/>
        <v>Maintenance</v>
      </c>
      <c r="AC355" s="36">
        <f t="shared" si="81"/>
        <v>890.65</v>
      </c>
    </row>
    <row r="356" spans="1:29" ht="13" thickBot="1" x14ac:dyDescent="0.3">
      <c r="A356" s="7" t="s">
        <v>28</v>
      </c>
      <c r="B356" s="19" t="s">
        <v>20</v>
      </c>
      <c r="C356" s="20" t="s">
        <v>21</v>
      </c>
      <c r="D356" s="21">
        <v>0</v>
      </c>
      <c r="E356" s="21">
        <v>0</v>
      </c>
      <c r="F356" s="21">
        <v>0</v>
      </c>
      <c r="G356" s="21">
        <v>0</v>
      </c>
      <c r="H356" s="22">
        <v>249</v>
      </c>
      <c r="I356" s="23">
        <v>80</v>
      </c>
      <c r="J356" s="21">
        <v>56</v>
      </c>
      <c r="K356" s="21">
        <v>45</v>
      </c>
      <c r="L356" s="21">
        <v>0</v>
      </c>
      <c r="M356" s="21">
        <v>0</v>
      </c>
      <c r="N356" s="21">
        <v>4</v>
      </c>
      <c r="O356" s="21">
        <v>0</v>
      </c>
      <c r="P356" s="21">
        <v>0</v>
      </c>
      <c r="Q356" s="21">
        <v>64</v>
      </c>
      <c r="R356" s="21">
        <v>0</v>
      </c>
      <c r="S356" s="21">
        <v>0</v>
      </c>
      <c r="T356" s="24">
        <v>0</v>
      </c>
      <c r="U356" s="14">
        <v>1.175</v>
      </c>
      <c r="W356" s="38">
        <f t="shared" si="76"/>
        <v>292.57499999999999</v>
      </c>
      <c r="AB356" s="37" t="str">
        <f t="shared" si="80"/>
        <v>Startup</v>
      </c>
      <c r="AC356" s="36">
        <f t="shared" si="81"/>
        <v>94</v>
      </c>
    </row>
    <row r="357" spans="1:29" ht="13" thickBot="1" x14ac:dyDescent="0.3">
      <c r="A357" s="20" t="s">
        <v>28</v>
      </c>
      <c r="B357" s="25" t="s">
        <v>12</v>
      </c>
      <c r="C357" s="26" t="s">
        <v>21</v>
      </c>
      <c r="D357" s="27">
        <v>0</v>
      </c>
      <c r="E357" s="27">
        <v>0</v>
      </c>
      <c r="F357" s="27">
        <v>0</v>
      </c>
      <c r="G357" s="27">
        <v>0</v>
      </c>
      <c r="H357" s="28">
        <v>11562</v>
      </c>
      <c r="I357" s="29">
        <v>2271</v>
      </c>
      <c r="J357" s="27">
        <v>2262</v>
      </c>
      <c r="K357" s="27">
        <v>1965</v>
      </c>
      <c r="L357" s="27">
        <v>606</v>
      </c>
      <c r="M357" s="27">
        <v>598</v>
      </c>
      <c r="N357" s="27">
        <v>752</v>
      </c>
      <c r="O357" s="27">
        <v>781</v>
      </c>
      <c r="P357" s="27">
        <v>696</v>
      </c>
      <c r="Q357" s="27">
        <v>1364</v>
      </c>
      <c r="R357" s="27">
        <v>121</v>
      </c>
      <c r="S357" s="27">
        <v>62</v>
      </c>
      <c r="T357" s="29">
        <v>84</v>
      </c>
      <c r="U357" s="14">
        <v>1.175</v>
      </c>
      <c r="W357" s="38">
        <f t="shared" si="76"/>
        <v>13585.35</v>
      </c>
      <c r="X357" s="35">
        <f>W356+W355+W352</f>
        <v>6894.9</v>
      </c>
      <c r="Y357" s="35">
        <f>W350</f>
        <v>0</v>
      </c>
      <c r="Z357" s="40">
        <f>V348/X357</f>
        <v>0</v>
      </c>
      <c r="AA357" s="40">
        <f>IF((Y357=0),0,Y349/Y357)</f>
        <v>0</v>
      </c>
      <c r="AB357" s="48"/>
      <c r="AC357" s="48"/>
    </row>
    <row r="358" spans="1:29" ht="13" thickBot="1" x14ac:dyDescent="0.3">
      <c r="A358" s="9" t="s">
        <v>29</v>
      </c>
      <c r="B358" s="30" t="s">
        <v>15</v>
      </c>
      <c r="C358" s="31" t="s">
        <v>94</v>
      </c>
      <c r="D358" s="32" t="s">
        <v>47</v>
      </c>
      <c r="E358" s="53" t="s">
        <v>104</v>
      </c>
      <c r="F358" s="53" t="s">
        <v>105</v>
      </c>
      <c r="G358" s="53" t="s">
        <v>106</v>
      </c>
      <c r="H358" s="28" t="s">
        <v>12</v>
      </c>
      <c r="I358" s="54" t="s">
        <v>107</v>
      </c>
      <c r="J358" s="53" t="s">
        <v>108</v>
      </c>
      <c r="K358" s="53" t="s">
        <v>109</v>
      </c>
      <c r="L358" s="53" t="s">
        <v>110</v>
      </c>
      <c r="M358" s="53" t="s">
        <v>111</v>
      </c>
      <c r="N358" s="53" t="s">
        <v>115</v>
      </c>
      <c r="O358" s="53" t="s">
        <v>120</v>
      </c>
      <c r="P358" s="53" t="s">
        <v>121</v>
      </c>
      <c r="Q358" s="53" t="s">
        <v>164</v>
      </c>
      <c r="R358" s="53" t="s">
        <v>173</v>
      </c>
      <c r="S358" s="53" t="s">
        <v>177</v>
      </c>
      <c r="T358" s="55" t="s">
        <v>182</v>
      </c>
      <c r="U358" s="14">
        <v>1.175</v>
      </c>
      <c r="V358" s="14" t="s">
        <v>183</v>
      </c>
      <c r="W358" s="35"/>
      <c r="X358" s="14" t="s">
        <v>37</v>
      </c>
      <c r="Y358" s="14" t="s">
        <v>38</v>
      </c>
      <c r="AB358" s="48"/>
      <c r="AC358" s="48"/>
    </row>
    <row r="359" spans="1:29" x14ac:dyDescent="0.25">
      <c r="A359" s="7" t="s">
        <v>29</v>
      </c>
      <c r="B359" s="8" t="s">
        <v>17</v>
      </c>
      <c r="C359" s="9" t="s">
        <v>18</v>
      </c>
      <c r="D359" s="10">
        <v>0</v>
      </c>
      <c r="E359" s="10">
        <v>0</v>
      </c>
      <c r="F359" s="10">
        <v>0</v>
      </c>
      <c r="G359" s="10">
        <v>0</v>
      </c>
      <c r="H359" s="11">
        <v>0</v>
      </c>
      <c r="I359" s="12">
        <v>0</v>
      </c>
      <c r="J359" s="10">
        <v>0</v>
      </c>
      <c r="K359" s="10">
        <v>0</v>
      </c>
      <c r="L359" s="10">
        <v>0</v>
      </c>
      <c r="M359" s="10">
        <v>0</v>
      </c>
      <c r="N359" s="10">
        <v>0</v>
      </c>
      <c r="O359" s="10">
        <v>0</v>
      </c>
      <c r="P359" s="10">
        <v>0</v>
      </c>
      <c r="Q359" s="10">
        <v>0</v>
      </c>
      <c r="R359" s="10">
        <v>0</v>
      </c>
      <c r="S359" s="10">
        <v>0</v>
      </c>
      <c r="T359" s="13">
        <v>0</v>
      </c>
      <c r="U359" s="14">
        <v>1.175</v>
      </c>
      <c r="V359" s="42" t="e">
        <f>SUM(I359:T359)/H359</f>
        <v>#DIV/0!</v>
      </c>
      <c r="W359" s="39">
        <f>SUM(I359:T359)*U359</f>
        <v>0</v>
      </c>
    </row>
    <row r="360" spans="1:29" x14ac:dyDescent="0.25">
      <c r="A360" s="7" t="s">
        <v>29</v>
      </c>
      <c r="B360" s="15" t="s">
        <v>66</v>
      </c>
      <c r="C360" s="7" t="s">
        <v>18</v>
      </c>
      <c r="D360" s="14">
        <v>124</v>
      </c>
      <c r="E360" s="14">
        <v>0</v>
      </c>
      <c r="F360" s="14">
        <v>0</v>
      </c>
      <c r="G360" s="14">
        <v>0</v>
      </c>
      <c r="H360" s="16">
        <v>124</v>
      </c>
      <c r="I360" s="17">
        <v>0</v>
      </c>
      <c r="J360" s="14">
        <v>0</v>
      </c>
      <c r="K360" s="14">
        <v>0</v>
      </c>
      <c r="L360" s="14">
        <v>0</v>
      </c>
      <c r="M360" s="14">
        <v>0</v>
      </c>
      <c r="N360" s="14">
        <v>0</v>
      </c>
      <c r="O360" s="14">
        <v>0</v>
      </c>
      <c r="P360" s="14">
        <v>0</v>
      </c>
      <c r="Q360" s="14">
        <v>0</v>
      </c>
      <c r="R360" s="14">
        <v>0</v>
      </c>
      <c r="S360" s="14">
        <v>0</v>
      </c>
      <c r="T360" s="18">
        <v>0</v>
      </c>
      <c r="U360" s="14">
        <v>1.175</v>
      </c>
      <c r="V360" s="44"/>
      <c r="W360" s="39">
        <f t="shared" ref="W360:W366" si="82">SUM(I360:T360)*U360</f>
        <v>0</v>
      </c>
    </row>
    <row r="361" spans="1:29" x14ac:dyDescent="0.25">
      <c r="A361" s="7" t="s">
        <v>29</v>
      </c>
      <c r="B361" s="15" t="s">
        <v>13</v>
      </c>
      <c r="C361" s="7" t="s">
        <v>18</v>
      </c>
      <c r="D361" s="14">
        <v>710</v>
      </c>
      <c r="E361" s="14">
        <v>0</v>
      </c>
      <c r="F361" s="14">
        <v>0</v>
      </c>
      <c r="G361" s="14">
        <v>0</v>
      </c>
      <c r="H361" s="16">
        <v>3499</v>
      </c>
      <c r="I361" s="17">
        <v>125</v>
      </c>
      <c r="J361" s="14">
        <v>1900</v>
      </c>
      <c r="K361" s="14">
        <v>326</v>
      </c>
      <c r="L361" s="14">
        <v>120</v>
      </c>
      <c r="M361" s="14">
        <v>0</v>
      </c>
      <c r="N361" s="14">
        <v>154</v>
      </c>
      <c r="O361" s="14">
        <v>2</v>
      </c>
      <c r="P361" s="14">
        <v>0</v>
      </c>
      <c r="Q361" s="14">
        <v>140</v>
      </c>
      <c r="R361" s="14">
        <v>0</v>
      </c>
      <c r="S361" s="14">
        <v>0</v>
      </c>
      <c r="T361" s="18">
        <v>22</v>
      </c>
      <c r="U361" s="14">
        <v>1.175</v>
      </c>
      <c r="V361" s="41"/>
      <c r="W361" s="39">
        <f t="shared" si="82"/>
        <v>3277.0750000000003</v>
      </c>
    </row>
    <row r="362" spans="1:29" x14ac:dyDescent="0.25">
      <c r="A362" s="7" t="s">
        <v>29</v>
      </c>
      <c r="B362" s="15" t="s">
        <v>67</v>
      </c>
      <c r="C362" s="7" t="s">
        <v>18</v>
      </c>
      <c r="D362" s="14">
        <v>0</v>
      </c>
      <c r="E362" s="14">
        <v>0</v>
      </c>
      <c r="F362" s="14">
        <v>0</v>
      </c>
      <c r="G362" s="14">
        <v>0</v>
      </c>
      <c r="H362" s="16">
        <v>981</v>
      </c>
      <c r="I362" s="17">
        <v>116</v>
      </c>
      <c r="J362" s="14">
        <v>463</v>
      </c>
      <c r="K362" s="14">
        <v>123</v>
      </c>
      <c r="L362" s="14">
        <v>8</v>
      </c>
      <c r="M362" s="14">
        <v>41</v>
      </c>
      <c r="N362" s="14">
        <v>202</v>
      </c>
      <c r="O362" s="14">
        <v>14</v>
      </c>
      <c r="P362" s="14">
        <v>0</v>
      </c>
      <c r="Q362" s="14">
        <v>14</v>
      </c>
      <c r="R362" s="14">
        <v>0</v>
      </c>
      <c r="S362" s="14">
        <v>0</v>
      </c>
      <c r="T362" s="18">
        <v>0</v>
      </c>
      <c r="U362" s="14">
        <v>1.175</v>
      </c>
      <c r="V362" s="41"/>
      <c r="W362" s="39">
        <f t="shared" si="82"/>
        <v>1152.675</v>
      </c>
    </row>
    <row r="363" spans="1:29" x14ac:dyDescent="0.25">
      <c r="A363" s="7" t="s">
        <v>29</v>
      </c>
      <c r="B363" s="15" t="s">
        <v>73</v>
      </c>
      <c r="C363" s="7" t="s">
        <v>18</v>
      </c>
      <c r="D363" s="14">
        <v>0</v>
      </c>
      <c r="E363" s="14">
        <v>0</v>
      </c>
      <c r="F363" s="14">
        <v>0</v>
      </c>
      <c r="G363" s="14">
        <v>0</v>
      </c>
      <c r="H363" s="16">
        <v>5319</v>
      </c>
      <c r="I363" s="17">
        <v>284</v>
      </c>
      <c r="J363" s="14">
        <v>2532</v>
      </c>
      <c r="K363" s="14">
        <v>1017</v>
      </c>
      <c r="L363" s="14">
        <v>166</v>
      </c>
      <c r="M363" s="14">
        <v>22</v>
      </c>
      <c r="N363" s="14">
        <v>744</v>
      </c>
      <c r="O363" s="14">
        <v>249</v>
      </c>
      <c r="P363" s="14">
        <v>94</v>
      </c>
      <c r="Q363" s="14">
        <v>111</v>
      </c>
      <c r="R363" s="14">
        <v>100</v>
      </c>
      <c r="S363" s="14">
        <v>0</v>
      </c>
      <c r="T363" s="18">
        <v>0</v>
      </c>
      <c r="U363" s="14">
        <v>1.175</v>
      </c>
      <c r="V363" s="41"/>
      <c r="W363" s="39">
        <f t="shared" si="82"/>
        <v>6249.8249999999998</v>
      </c>
    </row>
    <row r="364" spans="1:29" x14ac:dyDescent="0.25">
      <c r="A364" s="7" t="s">
        <v>29</v>
      </c>
      <c r="B364" s="15" t="s">
        <v>19</v>
      </c>
      <c r="C364" s="7" t="s">
        <v>18</v>
      </c>
      <c r="D364" s="14">
        <v>152</v>
      </c>
      <c r="E364" s="14">
        <v>0</v>
      </c>
      <c r="F364" s="14">
        <v>0</v>
      </c>
      <c r="G364" s="14">
        <v>0</v>
      </c>
      <c r="H364" s="16">
        <v>1752</v>
      </c>
      <c r="I364" s="17">
        <v>252</v>
      </c>
      <c r="J364" s="14">
        <v>999</v>
      </c>
      <c r="K364" s="14">
        <v>116</v>
      </c>
      <c r="L364" s="14">
        <v>93</v>
      </c>
      <c r="M364" s="14">
        <v>13</v>
      </c>
      <c r="N364" s="14">
        <v>34</v>
      </c>
      <c r="O364" s="14">
        <v>79</v>
      </c>
      <c r="P364" s="14">
        <v>0</v>
      </c>
      <c r="Q364" s="14">
        <v>14</v>
      </c>
      <c r="R364" s="14">
        <v>0</v>
      </c>
      <c r="S364" s="14">
        <v>0</v>
      </c>
      <c r="T364" s="18">
        <v>0</v>
      </c>
      <c r="U364" s="14">
        <v>1.175</v>
      </c>
      <c r="V364" s="41"/>
      <c r="W364" s="39">
        <f t="shared" si="82"/>
        <v>1880</v>
      </c>
    </row>
    <row r="365" spans="1:29" ht="13" thickBot="1" x14ac:dyDescent="0.3">
      <c r="A365" s="7" t="s">
        <v>29</v>
      </c>
      <c r="B365" s="19" t="s">
        <v>20</v>
      </c>
      <c r="C365" s="20" t="s">
        <v>18</v>
      </c>
      <c r="D365" s="21">
        <v>0</v>
      </c>
      <c r="E365" s="21">
        <v>0</v>
      </c>
      <c r="F365" s="21">
        <v>0</v>
      </c>
      <c r="G365" s="21">
        <v>0</v>
      </c>
      <c r="H365" s="22">
        <v>0</v>
      </c>
      <c r="I365" s="23">
        <v>0</v>
      </c>
      <c r="J365" s="21">
        <v>0</v>
      </c>
      <c r="K365" s="21">
        <v>0</v>
      </c>
      <c r="L365" s="21">
        <v>0</v>
      </c>
      <c r="M365" s="21">
        <v>0</v>
      </c>
      <c r="N365" s="21">
        <v>0</v>
      </c>
      <c r="O365" s="21">
        <v>0</v>
      </c>
      <c r="P365" s="21">
        <v>0</v>
      </c>
      <c r="Q365" s="21">
        <v>0</v>
      </c>
      <c r="R365" s="21">
        <v>0</v>
      </c>
      <c r="S365" s="21">
        <v>0</v>
      </c>
      <c r="T365" s="24">
        <v>0</v>
      </c>
      <c r="U365" s="14">
        <v>1.175</v>
      </c>
      <c r="V365" s="44"/>
      <c r="W365" s="39">
        <f t="shared" si="82"/>
        <v>0</v>
      </c>
    </row>
    <row r="366" spans="1:29" ht="13" thickBot="1" x14ac:dyDescent="0.3">
      <c r="A366" s="7" t="s">
        <v>29</v>
      </c>
      <c r="B366" s="25" t="s">
        <v>12</v>
      </c>
      <c r="C366" s="26" t="s">
        <v>18</v>
      </c>
      <c r="D366" s="27">
        <v>986</v>
      </c>
      <c r="E366" s="27">
        <v>0</v>
      </c>
      <c r="F366" s="27">
        <v>0</v>
      </c>
      <c r="G366" s="27">
        <v>0</v>
      </c>
      <c r="H366" s="28">
        <v>11676</v>
      </c>
      <c r="I366" s="29">
        <v>777</v>
      </c>
      <c r="J366" s="27">
        <v>5895</v>
      </c>
      <c r="K366" s="27">
        <v>1581</v>
      </c>
      <c r="L366" s="27">
        <v>387</v>
      </c>
      <c r="M366" s="27">
        <v>76</v>
      </c>
      <c r="N366" s="27">
        <v>1134</v>
      </c>
      <c r="O366" s="27">
        <v>344</v>
      </c>
      <c r="P366" s="27">
        <v>94</v>
      </c>
      <c r="Q366" s="27">
        <v>280</v>
      </c>
      <c r="R366" s="27">
        <v>100</v>
      </c>
      <c r="S366" s="27">
        <v>0</v>
      </c>
      <c r="T366" s="29">
        <v>22</v>
      </c>
      <c r="U366" s="14">
        <v>1.175</v>
      </c>
      <c r="V366" s="43">
        <f>SUM(I361:T364)/SUM(H361:H364)</f>
        <v>0.92537442645658385</v>
      </c>
      <c r="W366" s="39">
        <f t="shared" si="82"/>
        <v>12560.75</v>
      </c>
      <c r="X366" s="35">
        <f>W364+W361</f>
        <v>5157.0750000000007</v>
      </c>
      <c r="Y366" s="35">
        <f>W359</f>
        <v>0</v>
      </c>
    </row>
    <row r="367" spans="1:29" x14ac:dyDescent="0.25">
      <c r="A367" s="7" t="s">
        <v>29</v>
      </c>
      <c r="B367" s="8" t="s">
        <v>17</v>
      </c>
      <c r="C367" s="9" t="s">
        <v>21</v>
      </c>
      <c r="D367" s="10">
        <v>0</v>
      </c>
      <c r="E367" s="10">
        <v>0</v>
      </c>
      <c r="F367" s="10">
        <v>0</v>
      </c>
      <c r="G367" s="10">
        <v>0</v>
      </c>
      <c r="H367" s="11">
        <v>0</v>
      </c>
      <c r="I367" s="12">
        <v>0</v>
      </c>
      <c r="J367" s="10">
        <v>0</v>
      </c>
      <c r="K367" s="10">
        <v>0</v>
      </c>
      <c r="L367" s="10">
        <v>0</v>
      </c>
      <c r="M367" s="10">
        <v>0</v>
      </c>
      <c r="N367" s="10">
        <v>0</v>
      </c>
      <c r="O367" s="10">
        <v>0</v>
      </c>
      <c r="P367" s="10">
        <v>0</v>
      </c>
      <c r="Q367" s="10">
        <v>0</v>
      </c>
      <c r="R367" s="10">
        <v>0</v>
      </c>
      <c r="S367" s="10">
        <v>0</v>
      </c>
      <c r="T367" s="13">
        <v>0</v>
      </c>
      <c r="U367" s="14">
        <v>1.175</v>
      </c>
      <c r="W367" s="38">
        <f t="shared" ref="W367:W374" si="83">H367*U367</f>
        <v>0</v>
      </c>
      <c r="AB367" s="37" t="str">
        <f t="shared" ref="AB367:AB373" si="84">B367</f>
        <v>Parts-OTC</v>
      </c>
      <c r="AC367" s="36">
        <f t="shared" ref="AC367:AC373" si="85">I367*U367</f>
        <v>0</v>
      </c>
    </row>
    <row r="368" spans="1:29" x14ac:dyDescent="0.25">
      <c r="A368" s="7" t="s">
        <v>29</v>
      </c>
      <c r="B368" s="15" t="s">
        <v>66</v>
      </c>
      <c r="C368" s="7" t="s">
        <v>21</v>
      </c>
      <c r="D368" s="14">
        <v>0</v>
      </c>
      <c r="E368" s="14">
        <v>0</v>
      </c>
      <c r="F368" s="14">
        <v>0</v>
      </c>
      <c r="G368" s="14">
        <v>0</v>
      </c>
      <c r="H368" s="16">
        <v>450</v>
      </c>
      <c r="I368" s="17">
        <v>55</v>
      </c>
      <c r="J368" s="14">
        <v>45</v>
      </c>
      <c r="K368" s="14">
        <v>52</v>
      </c>
      <c r="L368" s="14">
        <v>0</v>
      </c>
      <c r="M368" s="14">
        <v>0</v>
      </c>
      <c r="N368" s="14">
        <v>0</v>
      </c>
      <c r="O368" s="14">
        <v>0</v>
      </c>
      <c r="P368" s="14">
        <v>0</v>
      </c>
      <c r="Q368" s="14">
        <v>298</v>
      </c>
      <c r="R368" s="14">
        <v>0</v>
      </c>
      <c r="S368" s="14">
        <v>0</v>
      </c>
      <c r="T368" s="18">
        <v>0</v>
      </c>
      <c r="U368" s="14">
        <v>1.175</v>
      </c>
      <c r="W368" s="38">
        <f t="shared" si="83"/>
        <v>528.75</v>
      </c>
      <c r="AB368" s="37" t="str">
        <f t="shared" si="84"/>
        <v>CTKS</v>
      </c>
      <c r="AC368" s="36">
        <f t="shared" si="85"/>
        <v>64.625</v>
      </c>
    </row>
    <row r="369" spans="1:29" x14ac:dyDescent="0.25">
      <c r="A369" s="7" t="s">
        <v>29</v>
      </c>
      <c r="B369" s="15" t="s">
        <v>13</v>
      </c>
      <c r="C369" s="7" t="s">
        <v>21</v>
      </c>
      <c r="D369" s="14">
        <v>0</v>
      </c>
      <c r="E369" s="14">
        <v>0</v>
      </c>
      <c r="F369" s="14">
        <v>0</v>
      </c>
      <c r="G369" s="14">
        <v>0</v>
      </c>
      <c r="H369" s="16">
        <v>1279</v>
      </c>
      <c r="I369" s="17">
        <v>385</v>
      </c>
      <c r="J369" s="14">
        <v>335</v>
      </c>
      <c r="K369" s="14">
        <v>425</v>
      </c>
      <c r="L369" s="14">
        <v>23</v>
      </c>
      <c r="M369" s="14">
        <v>26</v>
      </c>
      <c r="N369" s="14">
        <v>16</v>
      </c>
      <c r="O369" s="14">
        <v>0</v>
      </c>
      <c r="P369" s="14">
        <v>0</v>
      </c>
      <c r="Q369" s="14">
        <v>55</v>
      </c>
      <c r="R369" s="14">
        <v>14</v>
      </c>
      <c r="S369" s="14">
        <v>0</v>
      </c>
      <c r="T369" s="18">
        <v>0</v>
      </c>
      <c r="U369" s="14">
        <v>1.175</v>
      </c>
      <c r="W369" s="38">
        <f t="shared" si="83"/>
        <v>1502.825</v>
      </c>
      <c r="AB369" s="37" t="str">
        <f t="shared" si="84"/>
        <v>Repair</v>
      </c>
      <c r="AC369" s="36">
        <f t="shared" si="85"/>
        <v>452.375</v>
      </c>
    </row>
    <row r="370" spans="1:29" x14ac:dyDescent="0.25">
      <c r="A370" s="7" t="s">
        <v>29</v>
      </c>
      <c r="B370" s="15" t="s">
        <v>67</v>
      </c>
      <c r="C370" s="7" t="s">
        <v>21</v>
      </c>
      <c r="D370" s="14">
        <v>0</v>
      </c>
      <c r="E370" s="14">
        <v>0</v>
      </c>
      <c r="F370" s="14">
        <v>0</v>
      </c>
      <c r="G370" s="14">
        <v>0</v>
      </c>
      <c r="H370" s="16">
        <v>888</v>
      </c>
      <c r="I370" s="17">
        <v>198</v>
      </c>
      <c r="J370" s="14">
        <v>171</v>
      </c>
      <c r="K370" s="14">
        <v>190</v>
      </c>
      <c r="L370" s="14">
        <v>116</v>
      </c>
      <c r="M370" s="14">
        <v>65</v>
      </c>
      <c r="N370" s="14">
        <v>36</v>
      </c>
      <c r="O370" s="14">
        <v>28</v>
      </c>
      <c r="P370" s="14">
        <v>23</v>
      </c>
      <c r="Q370" s="14">
        <v>23</v>
      </c>
      <c r="R370" s="14">
        <v>14</v>
      </c>
      <c r="S370" s="14">
        <v>12</v>
      </c>
      <c r="T370" s="18">
        <v>12</v>
      </c>
      <c r="U370" s="14">
        <v>1.175</v>
      </c>
      <c r="W370" s="38">
        <f t="shared" si="83"/>
        <v>1043.4000000000001</v>
      </c>
      <c r="AB370" s="37" t="str">
        <f t="shared" si="84"/>
        <v>Rental</v>
      </c>
      <c r="AC370" s="36">
        <f t="shared" si="85"/>
        <v>232.65</v>
      </c>
    </row>
    <row r="371" spans="1:29" x14ac:dyDescent="0.25">
      <c r="A371" s="7" t="s">
        <v>29</v>
      </c>
      <c r="B371" s="15" t="s">
        <v>73</v>
      </c>
      <c r="C371" s="7" t="s">
        <v>21</v>
      </c>
      <c r="D371" s="14">
        <v>0</v>
      </c>
      <c r="E371" s="14">
        <v>0</v>
      </c>
      <c r="F371" s="14">
        <v>0</v>
      </c>
      <c r="G371" s="14">
        <v>0</v>
      </c>
      <c r="H371" s="16">
        <v>1359</v>
      </c>
      <c r="I371" s="17">
        <v>242</v>
      </c>
      <c r="J371" s="14">
        <v>315</v>
      </c>
      <c r="K371" s="14">
        <v>319</v>
      </c>
      <c r="L371" s="14">
        <v>14</v>
      </c>
      <c r="M371" s="14">
        <v>0</v>
      </c>
      <c r="N371" s="14">
        <v>197</v>
      </c>
      <c r="O371" s="14">
        <v>0</v>
      </c>
      <c r="P371" s="14">
        <v>1</v>
      </c>
      <c r="Q371" s="14">
        <v>232</v>
      </c>
      <c r="R371" s="14">
        <v>39</v>
      </c>
      <c r="S371" s="14">
        <v>0</v>
      </c>
      <c r="T371" s="18">
        <v>0</v>
      </c>
      <c r="U371" s="14">
        <v>1.175</v>
      </c>
      <c r="W371" s="38">
        <f t="shared" si="83"/>
        <v>1596.825</v>
      </c>
      <c r="AB371" s="37"/>
    </row>
    <row r="372" spans="1:29" x14ac:dyDescent="0.25">
      <c r="A372" s="7" t="s">
        <v>29</v>
      </c>
      <c r="B372" s="15" t="s">
        <v>19</v>
      </c>
      <c r="C372" s="7" t="s">
        <v>21</v>
      </c>
      <c r="D372" s="14">
        <v>0</v>
      </c>
      <c r="E372" s="14">
        <v>0</v>
      </c>
      <c r="F372" s="14">
        <v>0</v>
      </c>
      <c r="G372" s="14">
        <v>0</v>
      </c>
      <c r="H372" s="16">
        <v>2013</v>
      </c>
      <c r="I372" s="17">
        <v>310</v>
      </c>
      <c r="J372" s="14">
        <v>101</v>
      </c>
      <c r="K372" s="14">
        <v>138</v>
      </c>
      <c r="L372" s="14">
        <v>591</v>
      </c>
      <c r="M372" s="14">
        <v>126</v>
      </c>
      <c r="N372" s="14">
        <v>318</v>
      </c>
      <c r="O372" s="14">
        <v>238</v>
      </c>
      <c r="P372" s="14">
        <v>38</v>
      </c>
      <c r="Q372" s="14">
        <v>121</v>
      </c>
      <c r="R372" s="14">
        <v>32</v>
      </c>
      <c r="S372" s="14">
        <v>0</v>
      </c>
      <c r="T372" s="18">
        <v>0</v>
      </c>
      <c r="U372" s="14">
        <v>1.175</v>
      </c>
      <c r="W372" s="38">
        <f t="shared" si="83"/>
        <v>2365.2750000000001</v>
      </c>
      <c r="AB372" s="37" t="str">
        <f t="shared" si="84"/>
        <v>Maintenance</v>
      </c>
      <c r="AC372" s="36">
        <f t="shared" si="85"/>
        <v>364.25</v>
      </c>
    </row>
    <row r="373" spans="1:29" ht="13" thickBot="1" x14ac:dyDescent="0.3">
      <c r="A373" s="7" t="s">
        <v>29</v>
      </c>
      <c r="B373" s="19" t="s">
        <v>20</v>
      </c>
      <c r="C373" s="20" t="s">
        <v>21</v>
      </c>
      <c r="D373" s="21">
        <v>0</v>
      </c>
      <c r="E373" s="21">
        <v>0</v>
      </c>
      <c r="F373" s="21">
        <v>0</v>
      </c>
      <c r="G373" s="21">
        <v>0</v>
      </c>
      <c r="H373" s="22">
        <v>204</v>
      </c>
      <c r="I373" s="23">
        <v>69</v>
      </c>
      <c r="J373" s="21">
        <v>73</v>
      </c>
      <c r="K373" s="21">
        <v>13</v>
      </c>
      <c r="L373" s="21">
        <v>9</v>
      </c>
      <c r="M373" s="21">
        <v>1</v>
      </c>
      <c r="N373" s="21">
        <v>0</v>
      </c>
      <c r="O373" s="21">
        <v>0</v>
      </c>
      <c r="P373" s="21">
        <v>0</v>
      </c>
      <c r="Q373" s="21">
        <v>36</v>
      </c>
      <c r="R373" s="21">
        <v>3</v>
      </c>
      <c r="S373" s="21">
        <v>0</v>
      </c>
      <c r="T373" s="24">
        <v>0</v>
      </c>
      <c r="U373" s="14">
        <v>1.175</v>
      </c>
      <c r="W373" s="38">
        <f t="shared" si="83"/>
        <v>239.70000000000002</v>
      </c>
      <c r="AB373" s="37" t="str">
        <f t="shared" si="84"/>
        <v>Startup</v>
      </c>
      <c r="AC373" s="36">
        <f t="shared" si="85"/>
        <v>81.075000000000003</v>
      </c>
    </row>
    <row r="374" spans="1:29" ht="13" thickBot="1" x14ac:dyDescent="0.3">
      <c r="A374" s="20" t="s">
        <v>29</v>
      </c>
      <c r="B374" s="25" t="s">
        <v>12</v>
      </c>
      <c r="C374" s="26" t="s">
        <v>21</v>
      </c>
      <c r="D374" s="27">
        <v>0</v>
      </c>
      <c r="E374" s="27">
        <v>0</v>
      </c>
      <c r="F374" s="27">
        <v>0</v>
      </c>
      <c r="G374" s="27">
        <v>0</v>
      </c>
      <c r="H374" s="28">
        <v>6196</v>
      </c>
      <c r="I374" s="29">
        <v>1260</v>
      </c>
      <c r="J374" s="27">
        <v>1040</v>
      </c>
      <c r="K374" s="27">
        <v>1137</v>
      </c>
      <c r="L374" s="27">
        <v>753</v>
      </c>
      <c r="M374" s="27">
        <v>220</v>
      </c>
      <c r="N374" s="27">
        <v>567</v>
      </c>
      <c r="O374" s="27">
        <v>266</v>
      </c>
      <c r="P374" s="27">
        <v>62</v>
      </c>
      <c r="Q374" s="27">
        <v>765</v>
      </c>
      <c r="R374" s="27">
        <v>102</v>
      </c>
      <c r="S374" s="27">
        <v>12</v>
      </c>
      <c r="T374" s="29">
        <v>12</v>
      </c>
      <c r="U374" s="14">
        <v>1.175</v>
      </c>
      <c r="W374" s="38">
        <f t="shared" si="83"/>
        <v>7280.3</v>
      </c>
      <c r="X374" s="35">
        <f>W373+W372+W369</f>
        <v>4107.8</v>
      </c>
      <c r="Y374" s="35">
        <f>W367</f>
        <v>0</v>
      </c>
      <c r="Z374" s="40">
        <f>V365/X374</f>
        <v>0</v>
      </c>
      <c r="AA374" s="40">
        <f>IF((Y374=0),0,Y366/Y374)</f>
        <v>0</v>
      </c>
      <c r="AB374" s="48"/>
      <c r="AC374" s="48"/>
    </row>
    <row r="375" spans="1:29" ht="13" thickBot="1" x14ac:dyDescent="0.3">
      <c r="A375" s="9" t="s">
        <v>23</v>
      </c>
      <c r="B375" s="30" t="s">
        <v>15</v>
      </c>
      <c r="C375" s="31" t="s">
        <v>94</v>
      </c>
      <c r="D375" s="32" t="s">
        <v>47</v>
      </c>
      <c r="E375" s="53" t="s">
        <v>104</v>
      </c>
      <c r="F375" s="53" t="s">
        <v>105</v>
      </c>
      <c r="G375" s="53" t="s">
        <v>106</v>
      </c>
      <c r="H375" s="28" t="s">
        <v>12</v>
      </c>
      <c r="I375" s="54" t="s">
        <v>107</v>
      </c>
      <c r="J375" s="53" t="s">
        <v>108</v>
      </c>
      <c r="K375" s="53" t="s">
        <v>109</v>
      </c>
      <c r="L375" s="53" t="s">
        <v>110</v>
      </c>
      <c r="M375" s="53" t="s">
        <v>111</v>
      </c>
      <c r="N375" s="53" t="s">
        <v>115</v>
      </c>
      <c r="O375" s="53" t="s">
        <v>120</v>
      </c>
      <c r="P375" s="53" t="s">
        <v>121</v>
      </c>
      <c r="Q375" s="53" t="s">
        <v>164</v>
      </c>
      <c r="R375" s="53" t="s">
        <v>173</v>
      </c>
      <c r="S375" s="53" t="s">
        <v>177</v>
      </c>
      <c r="T375" s="55" t="s">
        <v>182</v>
      </c>
      <c r="U375" s="14">
        <v>1.175</v>
      </c>
      <c r="V375" s="14" t="s">
        <v>183</v>
      </c>
      <c r="W375" s="35"/>
      <c r="X375" s="14" t="s">
        <v>37</v>
      </c>
      <c r="Y375" s="14" t="s">
        <v>38</v>
      </c>
      <c r="AB375" s="48"/>
      <c r="AC375" s="48"/>
    </row>
    <row r="376" spans="1:29" x14ac:dyDescent="0.25">
      <c r="A376" s="7" t="s">
        <v>23</v>
      </c>
      <c r="B376" s="8" t="s">
        <v>17</v>
      </c>
      <c r="C376" s="9" t="s">
        <v>18</v>
      </c>
      <c r="D376" s="10">
        <v>19644</v>
      </c>
      <c r="E376" s="10">
        <v>872</v>
      </c>
      <c r="F376" s="10">
        <v>1491</v>
      </c>
      <c r="G376" s="10">
        <v>1681</v>
      </c>
      <c r="H376" s="11">
        <v>25770</v>
      </c>
      <c r="I376" s="12">
        <v>1698</v>
      </c>
      <c r="J376" s="10">
        <v>384</v>
      </c>
      <c r="K376" s="10">
        <v>0</v>
      </c>
      <c r="L376" s="10">
        <v>0</v>
      </c>
      <c r="M376" s="10">
        <v>0</v>
      </c>
      <c r="N376" s="10">
        <v>0</v>
      </c>
      <c r="O376" s="10">
        <v>0</v>
      </c>
      <c r="P376" s="10">
        <v>0</v>
      </c>
      <c r="Q376" s="10">
        <v>0</v>
      </c>
      <c r="R376" s="10">
        <v>0</v>
      </c>
      <c r="S376" s="10">
        <v>0</v>
      </c>
      <c r="T376" s="13">
        <v>0</v>
      </c>
      <c r="U376" s="14">
        <v>1.175</v>
      </c>
      <c r="V376" s="42">
        <f>SUM(I376:T376)/H376</f>
        <v>8.0791618160651918E-2</v>
      </c>
      <c r="W376" s="39">
        <f>SUM(I376:T376)*U376</f>
        <v>2446.35</v>
      </c>
    </row>
    <row r="377" spans="1:29" x14ac:dyDescent="0.25">
      <c r="A377" s="7" t="s">
        <v>23</v>
      </c>
      <c r="B377" s="15" t="s">
        <v>66</v>
      </c>
      <c r="C377" s="7" t="s">
        <v>18</v>
      </c>
      <c r="D377" s="14">
        <v>0</v>
      </c>
      <c r="E377" s="14">
        <v>0</v>
      </c>
      <c r="F377" s="14">
        <v>0</v>
      </c>
      <c r="G377" s="14">
        <v>0</v>
      </c>
      <c r="H377" s="16">
        <v>0</v>
      </c>
      <c r="I377" s="17">
        <v>0</v>
      </c>
      <c r="J377" s="14">
        <v>0</v>
      </c>
      <c r="K377" s="14">
        <v>0</v>
      </c>
      <c r="L377" s="14">
        <v>0</v>
      </c>
      <c r="M377" s="14">
        <v>0</v>
      </c>
      <c r="N377" s="14">
        <v>0</v>
      </c>
      <c r="O377" s="14">
        <v>0</v>
      </c>
      <c r="P377" s="14">
        <v>0</v>
      </c>
      <c r="Q377" s="14">
        <v>0</v>
      </c>
      <c r="R377" s="14">
        <v>0</v>
      </c>
      <c r="S377" s="14">
        <v>0</v>
      </c>
      <c r="T377" s="18">
        <v>0</v>
      </c>
      <c r="U377" s="14">
        <v>1.175</v>
      </c>
      <c r="V377" s="44"/>
      <c r="W377" s="39">
        <f t="shared" ref="W377:W383" si="86">SUM(I377:T377)*U377</f>
        <v>0</v>
      </c>
    </row>
    <row r="378" spans="1:29" x14ac:dyDescent="0.25">
      <c r="A378" s="7" t="s">
        <v>23</v>
      </c>
      <c r="B378" s="15" t="s">
        <v>13</v>
      </c>
      <c r="C378" s="7" t="s">
        <v>18</v>
      </c>
      <c r="D378" s="14">
        <v>0</v>
      </c>
      <c r="E378" s="14">
        <v>0</v>
      </c>
      <c r="F378" s="14">
        <v>0</v>
      </c>
      <c r="G378" s="14">
        <v>0</v>
      </c>
      <c r="H378" s="16">
        <v>0</v>
      </c>
      <c r="I378" s="17">
        <v>0</v>
      </c>
      <c r="J378" s="14">
        <v>0</v>
      </c>
      <c r="K378" s="14">
        <v>0</v>
      </c>
      <c r="L378" s="14">
        <v>0</v>
      </c>
      <c r="M378" s="14">
        <v>0</v>
      </c>
      <c r="N378" s="14">
        <v>0</v>
      </c>
      <c r="O378" s="14">
        <v>0</v>
      </c>
      <c r="P378" s="14">
        <v>0</v>
      </c>
      <c r="Q378" s="14">
        <v>0</v>
      </c>
      <c r="R378" s="14">
        <v>0</v>
      </c>
      <c r="S378" s="14">
        <v>0</v>
      </c>
      <c r="T378" s="18">
        <v>0</v>
      </c>
      <c r="U378" s="14">
        <v>1.175</v>
      </c>
      <c r="V378" s="41"/>
      <c r="W378" s="39">
        <f t="shared" si="86"/>
        <v>0</v>
      </c>
    </row>
    <row r="379" spans="1:29" x14ac:dyDescent="0.25">
      <c r="A379" s="7" t="s">
        <v>23</v>
      </c>
      <c r="B379" s="15" t="s">
        <v>67</v>
      </c>
      <c r="C379" s="7" t="s">
        <v>18</v>
      </c>
      <c r="D379" s="14">
        <v>0</v>
      </c>
      <c r="E379" s="14">
        <v>0</v>
      </c>
      <c r="F379" s="14">
        <v>0</v>
      </c>
      <c r="G379" s="14">
        <v>0</v>
      </c>
      <c r="H379" s="16">
        <v>0</v>
      </c>
      <c r="I379" s="17">
        <v>0</v>
      </c>
      <c r="J379" s="14">
        <v>0</v>
      </c>
      <c r="K379" s="14">
        <v>0</v>
      </c>
      <c r="L379" s="14">
        <v>0</v>
      </c>
      <c r="M379" s="14">
        <v>0</v>
      </c>
      <c r="N379" s="14">
        <v>0</v>
      </c>
      <c r="O379" s="14">
        <v>0</v>
      </c>
      <c r="P379" s="14">
        <v>0</v>
      </c>
      <c r="Q379" s="14">
        <v>0</v>
      </c>
      <c r="R379" s="14">
        <v>0</v>
      </c>
      <c r="S379" s="14">
        <v>0</v>
      </c>
      <c r="T379" s="18">
        <v>0</v>
      </c>
      <c r="U379" s="14">
        <v>1.175</v>
      </c>
      <c r="V379" s="41"/>
      <c r="W379" s="39">
        <f t="shared" si="86"/>
        <v>0</v>
      </c>
    </row>
    <row r="380" spans="1:29" x14ac:dyDescent="0.25">
      <c r="A380" s="7" t="s">
        <v>23</v>
      </c>
      <c r="B380" s="15" t="s">
        <v>73</v>
      </c>
      <c r="C380" s="7" t="s">
        <v>18</v>
      </c>
      <c r="D380" s="14">
        <v>0</v>
      </c>
      <c r="E380" s="14">
        <v>0</v>
      </c>
      <c r="F380" s="14">
        <v>0</v>
      </c>
      <c r="G380" s="14">
        <v>0</v>
      </c>
      <c r="H380" s="16">
        <v>0</v>
      </c>
      <c r="I380" s="17">
        <v>0</v>
      </c>
      <c r="J380" s="14">
        <v>0</v>
      </c>
      <c r="K380" s="14">
        <v>0</v>
      </c>
      <c r="L380" s="14">
        <v>0</v>
      </c>
      <c r="M380" s="14">
        <v>0</v>
      </c>
      <c r="N380" s="14">
        <v>0</v>
      </c>
      <c r="O380" s="14">
        <v>0</v>
      </c>
      <c r="P380" s="14">
        <v>0</v>
      </c>
      <c r="Q380" s="14">
        <v>0</v>
      </c>
      <c r="R380" s="14">
        <v>0</v>
      </c>
      <c r="S380" s="14">
        <v>0</v>
      </c>
      <c r="T380" s="18">
        <v>0</v>
      </c>
      <c r="U380" s="14">
        <v>1.175</v>
      </c>
      <c r="V380" s="41"/>
      <c r="W380" s="39">
        <f t="shared" si="86"/>
        <v>0</v>
      </c>
    </row>
    <row r="381" spans="1:29" x14ac:dyDescent="0.25">
      <c r="A381" s="7" t="s">
        <v>23</v>
      </c>
      <c r="B381" s="15" t="s">
        <v>19</v>
      </c>
      <c r="C381" s="7" t="s">
        <v>18</v>
      </c>
      <c r="D381" s="14">
        <v>0</v>
      </c>
      <c r="E381" s="14">
        <v>0</v>
      </c>
      <c r="F381" s="14">
        <v>0</v>
      </c>
      <c r="G381" s="14">
        <v>0</v>
      </c>
      <c r="H381" s="16">
        <v>0</v>
      </c>
      <c r="I381" s="17">
        <v>0</v>
      </c>
      <c r="J381" s="14">
        <v>0</v>
      </c>
      <c r="K381" s="14">
        <v>0</v>
      </c>
      <c r="L381" s="14">
        <v>0</v>
      </c>
      <c r="M381" s="14">
        <v>0</v>
      </c>
      <c r="N381" s="14">
        <v>0</v>
      </c>
      <c r="O381" s="14">
        <v>0</v>
      </c>
      <c r="P381" s="14">
        <v>0</v>
      </c>
      <c r="Q381" s="14">
        <v>0</v>
      </c>
      <c r="R381" s="14">
        <v>0</v>
      </c>
      <c r="S381" s="14">
        <v>0</v>
      </c>
      <c r="T381" s="18">
        <v>0</v>
      </c>
      <c r="U381" s="14">
        <v>1.175</v>
      </c>
      <c r="V381" s="41"/>
      <c r="W381" s="39">
        <f t="shared" si="86"/>
        <v>0</v>
      </c>
    </row>
    <row r="382" spans="1:29" ht="13" thickBot="1" x14ac:dyDescent="0.3">
      <c r="A382" s="7" t="s">
        <v>23</v>
      </c>
      <c r="B382" s="19" t="s">
        <v>20</v>
      </c>
      <c r="C382" s="20" t="s">
        <v>18</v>
      </c>
      <c r="D382" s="21">
        <v>0</v>
      </c>
      <c r="E382" s="21">
        <v>0</v>
      </c>
      <c r="F382" s="21">
        <v>0</v>
      </c>
      <c r="G382" s="21">
        <v>0</v>
      </c>
      <c r="H382" s="22">
        <v>0</v>
      </c>
      <c r="I382" s="23">
        <v>0</v>
      </c>
      <c r="J382" s="21">
        <v>0</v>
      </c>
      <c r="K382" s="21">
        <v>0</v>
      </c>
      <c r="L382" s="21">
        <v>0</v>
      </c>
      <c r="M382" s="21">
        <v>0</v>
      </c>
      <c r="N382" s="21">
        <v>0</v>
      </c>
      <c r="O382" s="21">
        <v>0</v>
      </c>
      <c r="P382" s="21">
        <v>0</v>
      </c>
      <c r="Q382" s="21">
        <v>0</v>
      </c>
      <c r="R382" s="21">
        <v>0</v>
      </c>
      <c r="S382" s="21">
        <v>0</v>
      </c>
      <c r="T382" s="24">
        <v>0</v>
      </c>
      <c r="U382" s="14">
        <v>1.175</v>
      </c>
      <c r="V382" s="44"/>
      <c r="W382" s="39">
        <f t="shared" si="86"/>
        <v>0</v>
      </c>
    </row>
    <row r="383" spans="1:29" ht="13" thickBot="1" x14ac:dyDescent="0.3">
      <c r="A383" s="7" t="s">
        <v>23</v>
      </c>
      <c r="B383" s="25" t="s">
        <v>12</v>
      </c>
      <c r="C383" s="26" t="s">
        <v>18</v>
      </c>
      <c r="D383" s="27">
        <v>19644</v>
      </c>
      <c r="E383" s="27">
        <v>872</v>
      </c>
      <c r="F383" s="27">
        <v>1491</v>
      </c>
      <c r="G383" s="27">
        <v>1681</v>
      </c>
      <c r="H383" s="28">
        <v>25770</v>
      </c>
      <c r="I383" s="29">
        <v>1698</v>
      </c>
      <c r="J383" s="27">
        <v>384</v>
      </c>
      <c r="K383" s="27">
        <v>0</v>
      </c>
      <c r="L383" s="27">
        <v>0</v>
      </c>
      <c r="M383" s="27">
        <v>0</v>
      </c>
      <c r="N383" s="27">
        <v>0</v>
      </c>
      <c r="O383" s="27">
        <v>0</v>
      </c>
      <c r="P383" s="27">
        <v>0</v>
      </c>
      <c r="Q383" s="27">
        <v>0</v>
      </c>
      <c r="R383" s="27">
        <v>0</v>
      </c>
      <c r="S383" s="27">
        <v>0</v>
      </c>
      <c r="T383" s="29">
        <v>0</v>
      </c>
      <c r="U383" s="14">
        <v>1.175</v>
      </c>
      <c r="V383" s="43" t="e">
        <f>SUM(I378:T381)/SUM(H378:H381)</f>
        <v>#DIV/0!</v>
      </c>
      <c r="W383" s="39">
        <f t="shared" si="86"/>
        <v>2446.35</v>
      </c>
      <c r="X383" s="35">
        <f>W381+W378</f>
        <v>0</v>
      </c>
      <c r="Y383" s="35">
        <f>W376</f>
        <v>2446.35</v>
      </c>
    </row>
    <row r="384" spans="1:29" x14ac:dyDescent="0.25">
      <c r="A384" s="7" t="s">
        <v>23</v>
      </c>
      <c r="B384" s="8" t="s">
        <v>17</v>
      </c>
      <c r="C384" s="9" t="s">
        <v>21</v>
      </c>
      <c r="D384" s="10">
        <v>0</v>
      </c>
      <c r="E384" s="10">
        <v>0</v>
      </c>
      <c r="F384" s="10">
        <v>0</v>
      </c>
      <c r="G384" s="10">
        <v>0</v>
      </c>
      <c r="H384" s="11">
        <v>916</v>
      </c>
      <c r="I384" s="12">
        <v>746</v>
      </c>
      <c r="J384" s="10">
        <v>140</v>
      </c>
      <c r="K384" s="10">
        <v>15</v>
      </c>
      <c r="L384" s="10">
        <v>11</v>
      </c>
      <c r="M384" s="10">
        <v>4</v>
      </c>
      <c r="N384" s="10">
        <v>0</v>
      </c>
      <c r="O384" s="10">
        <v>0</v>
      </c>
      <c r="P384" s="10">
        <v>0</v>
      </c>
      <c r="Q384" s="10">
        <v>0</v>
      </c>
      <c r="R384" s="10">
        <v>0</v>
      </c>
      <c r="S384" s="10">
        <v>0</v>
      </c>
      <c r="T384" s="13">
        <v>0</v>
      </c>
      <c r="U384" s="14">
        <v>1.175</v>
      </c>
      <c r="W384" s="38">
        <f t="shared" si="72"/>
        <v>1076.3</v>
      </c>
      <c r="AB384" s="37" t="str">
        <f t="shared" ref="AB384:AB390" si="87">B384</f>
        <v>Parts-OTC</v>
      </c>
      <c r="AC384" s="36">
        <f t="shared" ref="AC384:AC390" si="88">I384*U384</f>
        <v>876.55000000000007</v>
      </c>
    </row>
    <row r="385" spans="1:29" x14ac:dyDescent="0.25">
      <c r="A385" s="7" t="s">
        <v>23</v>
      </c>
      <c r="B385" s="15" t="s">
        <v>66</v>
      </c>
      <c r="C385" s="7" t="s">
        <v>21</v>
      </c>
      <c r="D385" s="14">
        <v>0</v>
      </c>
      <c r="E385" s="14">
        <v>0</v>
      </c>
      <c r="F385" s="14">
        <v>0</v>
      </c>
      <c r="G385" s="14">
        <v>0</v>
      </c>
      <c r="H385" s="16">
        <v>0</v>
      </c>
      <c r="I385" s="17">
        <v>0</v>
      </c>
      <c r="J385" s="14">
        <v>0</v>
      </c>
      <c r="K385" s="14">
        <v>0</v>
      </c>
      <c r="L385" s="14">
        <v>0</v>
      </c>
      <c r="M385" s="14">
        <v>0</v>
      </c>
      <c r="N385" s="14">
        <v>0</v>
      </c>
      <c r="O385" s="14">
        <v>0</v>
      </c>
      <c r="P385" s="14">
        <v>0</v>
      </c>
      <c r="Q385" s="14">
        <v>0</v>
      </c>
      <c r="R385" s="14">
        <v>0</v>
      </c>
      <c r="S385" s="14">
        <v>0</v>
      </c>
      <c r="T385" s="18">
        <v>0</v>
      </c>
      <c r="U385" s="14">
        <v>1.175</v>
      </c>
      <c r="W385" s="38">
        <f t="shared" si="72"/>
        <v>0</v>
      </c>
      <c r="AB385" s="37" t="str">
        <f t="shared" si="87"/>
        <v>CTKS</v>
      </c>
      <c r="AC385" s="36">
        <f t="shared" si="88"/>
        <v>0</v>
      </c>
    </row>
    <row r="386" spans="1:29" x14ac:dyDescent="0.25">
      <c r="A386" s="7" t="s">
        <v>23</v>
      </c>
      <c r="B386" s="15" t="s">
        <v>13</v>
      </c>
      <c r="C386" s="7" t="s">
        <v>21</v>
      </c>
      <c r="D386" s="14">
        <v>0</v>
      </c>
      <c r="E386" s="14">
        <v>0</v>
      </c>
      <c r="F386" s="14">
        <v>0</v>
      </c>
      <c r="G386" s="14">
        <v>0</v>
      </c>
      <c r="H386" s="16">
        <v>0</v>
      </c>
      <c r="I386" s="17">
        <v>0</v>
      </c>
      <c r="J386" s="14">
        <v>0</v>
      </c>
      <c r="K386" s="14">
        <v>0</v>
      </c>
      <c r="L386" s="14">
        <v>0</v>
      </c>
      <c r="M386" s="14">
        <v>0</v>
      </c>
      <c r="N386" s="14">
        <v>0</v>
      </c>
      <c r="O386" s="14">
        <v>0</v>
      </c>
      <c r="P386" s="14">
        <v>0</v>
      </c>
      <c r="Q386" s="14">
        <v>0</v>
      </c>
      <c r="R386" s="14">
        <v>0</v>
      </c>
      <c r="S386" s="14">
        <v>0</v>
      </c>
      <c r="T386" s="18">
        <v>0</v>
      </c>
      <c r="U386" s="14">
        <v>1.175</v>
      </c>
      <c r="W386" s="38">
        <f t="shared" si="72"/>
        <v>0</v>
      </c>
      <c r="AB386" s="37" t="str">
        <f t="shared" si="87"/>
        <v>Repair</v>
      </c>
      <c r="AC386" s="36">
        <f t="shared" si="88"/>
        <v>0</v>
      </c>
    </row>
    <row r="387" spans="1:29" x14ac:dyDescent="0.25">
      <c r="A387" s="7" t="s">
        <v>23</v>
      </c>
      <c r="B387" s="15" t="s">
        <v>67</v>
      </c>
      <c r="C387" s="7" t="s">
        <v>21</v>
      </c>
      <c r="D387" s="14">
        <v>0</v>
      </c>
      <c r="E387" s="14">
        <v>0</v>
      </c>
      <c r="F387" s="14">
        <v>0</v>
      </c>
      <c r="G387" s="14">
        <v>0</v>
      </c>
      <c r="H387" s="16">
        <v>0</v>
      </c>
      <c r="I387" s="17">
        <v>0</v>
      </c>
      <c r="J387" s="14">
        <v>0</v>
      </c>
      <c r="K387" s="14">
        <v>0</v>
      </c>
      <c r="L387" s="14">
        <v>0</v>
      </c>
      <c r="M387" s="14">
        <v>0</v>
      </c>
      <c r="N387" s="14">
        <v>0</v>
      </c>
      <c r="O387" s="14">
        <v>0</v>
      </c>
      <c r="P387" s="14">
        <v>0</v>
      </c>
      <c r="Q387" s="14">
        <v>0</v>
      </c>
      <c r="R387" s="14">
        <v>0</v>
      </c>
      <c r="S387" s="14">
        <v>0</v>
      </c>
      <c r="T387" s="18">
        <v>0</v>
      </c>
      <c r="U387" s="14">
        <v>1.175</v>
      </c>
      <c r="W387" s="38">
        <f t="shared" si="72"/>
        <v>0</v>
      </c>
      <c r="AB387" s="37" t="str">
        <f t="shared" si="87"/>
        <v>Rental</v>
      </c>
      <c r="AC387" s="36">
        <f t="shared" si="88"/>
        <v>0</v>
      </c>
    </row>
    <row r="388" spans="1:29" x14ac:dyDescent="0.25">
      <c r="A388" s="7" t="s">
        <v>23</v>
      </c>
      <c r="B388" s="15" t="s">
        <v>73</v>
      </c>
      <c r="C388" s="7" t="s">
        <v>21</v>
      </c>
      <c r="D388" s="14">
        <v>0</v>
      </c>
      <c r="E388" s="14">
        <v>0</v>
      </c>
      <c r="F388" s="14">
        <v>0</v>
      </c>
      <c r="G388" s="14">
        <v>0</v>
      </c>
      <c r="H388" s="16">
        <v>0</v>
      </c>
      <c r="I388" s="17">
        <v>0</v>
      </c>
      <c r="J388" s="14">
        <v>0</v>
      </c>
      <c r="K388" s="14">
        <v>0</v>
      </c>
      <c r="L388" s="14">
        <v>0</v>
      </c>
      <c r="M388" s="14">
        <v>0</v>
      </c>
      <c r="N388" s="14">
        <v>0</v>
      </c>
      <c r="O388" s="14">
        <v>0</v>
      </c>
      <c r="P388" s="14">
        <v>0</v>
      </c>
      <c r="Q388" s="14">
        <v>0</v>
      </c>
      <c r="R388" s="14">
        <v>0</v>
      </c>
      <c r="S388" s="14">
        <v>0</v>
      </c>
      <c r="T388" s="18">
        <v>0</v>
      </c>
      <c r="U388" s="14">
        <v>1.175</v>
      </c>
      <c r="W388" s="38">
        <f t="shared" si="72"/>
        <v>0</v>
      </c>
      <c r="AB388" s="37"/>
    </row>
    <row r="389" spans="1:29" x14ac:dyDescent="0.25">
      <c r="A389" s="7" t="s">
        <v>23</v>
      </c>
      <c r="B389" s="15" t="s">
        <v>19</v>
      </c>
      <c r="C389" s="7" t="s">
        <v>21</v>
      </c>
      <c r="D389" s="14">
        <v>0</v>
      </c>
      <c r="E389" s="14">
        <v>0</v>
      </c>
      <c r="F389" s="14">
        <v>0</v>
      </c>
      <c r="G389" s="14">
        <v>0</v>
      </c>
      <c r="H389" s="16">
        <v>0</v>
      </c>
      <c r="I389" s="17">
        <v>0</v>
      </c>
      <c r="J389" s="14">
        <v>0</v>
      </c>
      <c r="K389" s="14">
        <v>0</v>
      </c>
      <c r="L389" s="14">
        <v>0</v>
      </c>
      <c r="M389" s="14">
        <v>0</v>
      </c>
      <c r="N389" s="14">
        <v>0</v>
      </c>
      <c r="O389" s="14">
        <v>0</v>
      </c>
      <c r="P389" s="14">
        <v>0</v>
      </c>
      <c r="Q389" s="14">
        <v>0</v>
      </c>
      <c r="R389" s="14">
        <v>0</v>
      </c>
      <c r="S389" s="14">
        <v>0</v>
      </c>
      <c r="T389" s="18">
        <v>0</v>
      </c>
      <c r="U389" s="14">
        <v>1.175</v>
      </c>
      <c r="W389" s="38">
        <f t="shared" si="72"/>
        <v>0</v>
      </c>
      <c r="AB389" s="37" t="str">
        <f t="shared" si="87"/>
        <v>Maintenance</v>
      </c>
      <c r="AC389" s="36">
        <f t="shared" si="88"/>
        <v>0</v>
      </c>
    </row>
    <row r="390" spans="1:29" ht="13" thickBot="1" x14ac:dyDescent="0.3">
      <c r="A390" s="7" t="s">
        <v>23</v>
      </c>
      <c r="B390" s="19" t="s">
        <v>20</v>
      </c>
      <c r="C390" s="20" t="s">
        <v>21</v>
      </c>
      <c r="D390" s="21">
        <v>0</v>
      </c>
      <c r="E390" s="21">
        <v>0</v>
      </c>
      <c r="F390" s="21">
        <v>0</v>
      </c>
      <c r="G390" s="21">
        <v>0</v>
      </c>
      <c r="H390" s="22">
        <v>0</v>
      </c>
      <c r="I390" s="23">
        <v>0</v>
      </c>
      <c r="J390" s="21">
        <v>0</v>
      </c>
      <c r="K390" s="21">
        <v>0</v>
      </c>
      <c r="L390" s="21">
        <v>0</v>
      </c>
      <c r="M390" s="21">
        <v>0</v>
      </c>
      <c r="N390" s="21">
        <v>0</v>
      </c>
      <c r="O390" s="21">
        <v>0</v>
      </c>
      <c r="P390" s="21">
        <v>0</v>
      </c>
      <c r="Q390" s="21">
        <v>0</v>
      </c>
      <c r="R390" s="21">
        <v>0</v>
      </c>
      <c r="S390" s="21">
        <v>0</v>
      </c>
      <c r="T390" s="24">
        <v>0</v>
      </c>
      <c r="U390" s="14">
        <v>1.175</v>
      </c>
      <c r="W390" s="38">
        <f t="shared" si="72"/>
        <v>0</v>
      </c>
      <c r="AB390" s="37" t="str">
        <f t="shared" si="87"/>
        <v>Startup</v>
      </c>
      <c r="AC390" s="36">
        <f t="shared" si="88"/>
        <v>0</v>
      </c>
    </row>
    <row r="391" spans="1:29" ht="13" thickBot="1" x14ac:dyDescent="0.3">
      <c r="A391" s="20" t="s">
        <v>23</v>
      </c>
      <c r="B391" s="25" t="s">
        <v>12</v>
      </c>
      <c r="C391" s="26" t="s">
        <v>21</v>
      </c>
      <c r="D391" s="27">
        <v>0</v>
      </c>
      <c r="E391" s="27">
        <v>0</v>
      </c>
      <c r="F391" s="27">
        <v>0</v>
      </c>
      <c r="G391" s="27">
        <v>0</v>
      </c>
      <c r="H391" s="28">
        <v>916</v>
      </c>
      <c r="I391" s="29">
        <v>746</v>
      </c>
      <c r="J391" s="27">
        <v>140</v>
      </c>
      <c r="K391" s="27">
        <v>15</v>
      </c>
      <c r="L391" s="27">
        <v>11</v>
      </c>
      <c r="M391" s="27">
        <v>4</v>
      </c>
      <c r="N391" s="27">
        <v>0</v>
      </c>
      <c r="O391" s="27">
        <v>0</v>
      </c>
      <c r="P391" s="27">
        <v>0</v>
      </c>
      <c r="Q391" s="27">
        <v>0</v>
      </c>
      <c r="R391" s="27">
        <v>0</v>
      </c>
      <c r="S391" s="27">
        <v>0</v>
      </c>
      <c r="T391" s="29">
        <v>0</v>
      </c>
      <c r="U391" s="14">
        <v>1.175</v>
      </c>
      <c r="W391" s="38">
        <f t="shared" si="72"/>
        <v>1076.3</v>
      </c>
      <c r="X391" s="35">
        <f>W390+W389+W386</f>
        <v>0</v>
      </c>
      <c r="Y391" s="35">
        <f>W384</f>
        <v>1076.3</v>
      </c>
      <c r="Z391" s="40" t="e">
        <f>V382/X391</f>
        <v>#DIV/0!</v>
      </c>
      <c r="AA391" s="40">
        <f>IF((Y391=0),0,Y383/Y391)</f>
        <v>2.2729257641921397</v>
      </c>
      <c r="AB391" s="48"/>
      <c r="AC391" s="48"/>
    </row>
    <row r="392" spans="1:29" ht="13" thickBot="1" x14ac:dyDescent="0.3">
      <c r="A392" s="9" t="s">
        <v>6</v>
      </c>
      <c r="B392" s="30" t="s">
        <v>15</v>
      </c>
      <c r="C392" s="31" t="s">
        <v>94</v>
      </c>
      <c r="D392" s="32" t="s">
        <v>47</v>
      </c>
      <c r="E392" s="53" t="s">
        <v>104</v>
      </c>
      <c r="F392" s="53" t="s">
        <v>105</v>
      </c>
      <c r="G392" s="53" t="s">
        <v>106</v>
      </c>
      <c r="H392" s="28" t="s">
        <v>12</v>
      </c>
      <c r="I392" s="54" t="s">
        <v>107</v>
      </c>
      <c r="J392" s="53" t="s">
        <v>108</v>
      </c>
      <c r="K392" s="53" t="s">
        <v>109</v>
      </c>
      <c r="L392" s="53" t="s">
        <v>110</v>
      </c>
      <c r="M392" s="53" t="s">
        <v>111</v>
      </c>
      <c r="N392" s="53" t="s">
        <v>115</v>
      </c>
      <c r="O392" s="53" t="s">
        <v>120</v>
      </c>
      <c r="P392" s="53" t="s">
        <v>121</v>
      </c>
      <c r="Q392" s="53" t="s">
        <v>164</v>
      </c>
      <c r="R392" s="53" t="s">
        <v>173</v>
      </c>
      <c r="S392" s="53" t="s">
        <v>177</v>
      </c>
      <c r="T392" s="55" t="s">
        <v>182</v>
      </c>
      <c r="U392" s="14">
        <v>1.175</v>
      </c>
      <c r="V392" s="14" t="s">
        <v>183</v>
      </c>
      <c r="W392" s="35"/>
      <c r="X392" s="14" t="s">
        <v>37</v>
      </c>
      <c r="Y392" s="14" t="s">
        <v>38</v>
      </c>
      <c r="AB392" s="48"/>
      <c r="AC392" s="48"/>
    </row>
    <row r="393" spans="1:29" x14ac:dyDescent="0.25">
      <c r="A393" s="7" t="s">
        <v>6</v>
      </c>
      <c r="B393" s="8" t="s">
        <v>17</v>
      </c>
      <c r="C393" s="9" t="s">
        <v>18</v>
      </c>
      <c r="D393" s="10">
        <v>0</v>
      </c>
      <c r="E393" s="10">
        <v>0</v>
      </c>
      <c r="F393" s="10">
        <v>0</v>
      </c>
      <c r="G393" s="10">
        <v>1</v>
      </c>
      <c r="H393" s="11">
        <v>274</v>
      </c>
      <c r="I393" s="12">
        <v>272</v>
      </c>
      <c r="J393" s="10">
        <v>1</v>
      </c>
      <c r="K393" s="10">
        <v>0</v>
      </c>
      <c r="L393" s="10">
        <v>0</v>
      </c>
      <c r="M393" s="10">
        <v>0</v>
      </c>
      <c r="N393" s="10">
        <v>0</v>
      </c>
      <c r="O393" s="10">
        <v>0</v>
      </c>
      <c r="P393" s="10">
        <v>0</v>
      </c>
      <c r="Q393" s="10">
        <v>0</v>
      </c>
      <c r="R393" s="10">
        <v>0</v>
      </c>
      <c r="S393" s="10">
        <v>0</v>
      </c>
      <c r="T393" s="13">
        <v>0</v>
      </c>
      <c r="U393" s="14">
        <v>1.175</v>
      </c>
      <c r="V393" s="42">
        <f>SUM(I393:T393)/H393</f>
        <v>0.9963503649635036</v>
      </c>
      <c r="W393" s="39">
        <f>SUM(I393:T393)*U393</f>
        <v>320.77500000000003</v>
      </c>
    </row>
    <row r="394" spans="1:29" x14ac:dyDescent="0.25">
      <c r="A394" s="7" t="s">
        <v>6</v>
      </c>
      <c r="B394" s="15" t="s">
        <v>66</v>
      </c>
      <c r="C394" s="7" t="s">
        <v>18</v>
      </c>
      <c r="D394" s="14">
        <v>0</v>
      </c>
      <c r="E394" s="14">
        <v>0</v>
      </c>
      <c r="F394" s="14">
        <v>0</v>
      </c>
      <c r="G394" s="14">
        <v>0</v>
      </c>
      <c r="H394" s="16">
        <v>0</v>
      </c>
      <c r="I394" s="17">
        <v>0</v>
      </c>
      <c r="J394" s="14">
        <v>0</v>
      </c>
      <c r="K394" s="14">
        <v>0</v>
      </c>
      <c r="L394" s="14">
        <v>0</v>
      </c>
      <c r="M394" s="14">
        <v>0</v>
      </c>
      <c r="N394" s="14">
        <v>0</v>
      </c>
      <c r="O394" s="14">
        <v>0</v>
      </c>
      <c r="P394" s="14">
        <v>0</v>
      </c>
      <c r="Q394" s="14">
        <v>0</v>
      </c>
      <c r="R394" s="14">
        <v>0</v>
      </c>
      <c r="S394" s="14">
        <v>0</v>
      </c>
      <c r="T394" s="18">
        <v>0</v>
      </c>
      <c r="U394" s="14">
        <v>1.175</v>
      </c>
      <c r="V394" s="44"/>
      <c r="W394" s="39">
        <f t="shared" ref="W394:W400" si="89">SUM(I394:T394)*U394</f>
        <v>0</v>
      </c>
    </row>
    <row r="395" spans="1:29" x14ac:dyDescent="0.25">
      <c r="A395" s="7" t="s">
        <v>6</v>
      </c>
      <c r="B395" s="15" t="s">
        <v>13</v>
      </c>
      <c r="C395" s="7" t="s">
        <v>18</v>
      </c>
      <c r="D395" s="14">
        <v>0</v>
      </c>
      <c r="E395" s="14">
        <v>0</v>
      </c>
      <c r="F395" s="14">
        <v>0</v>
      </c>
      <c r="G395" s="14">
        <v>0</v>
      </c>
      <c r="H395" s="16">
        <v>668</v>
      </c>
      <c r="I395" s="17">
        <v>172</v>
      </c>
      <c r="J395" s="14">
        <v>446</v>
      </c>
      <c r="K395" s="14">
        <v>22</v>
      </c>
      <c r="L395" s="14">
        <v>0</v>
      </c>
      <c r="M395" s="14">
        <v>1</v>
      </c>
      <c r="N395" s="14">
        <v>0</v>
      </c>
      <c r="O395" s="14">
        <v>0</v>
      </c>
      <c r="P395" s="14">
        <v>7</v>
      </c>
      <c r="Q395" s="14">
        <v>5</v>
      </c>
      <c r="R395" s="14">
        <v>15</v>
      </c>
      <c r="S395" s="14">
        <v>0</v>
      </c>
      <c r="T395" s="18">
        <v>0</v>
      </c>
      <c r="U395" s="14">
        <v>1.175</v>
      </c>
      <c r="V395" s="41"/>
      <c r="W395" s="39">
        <f t="shared" si="89"/>
        <v>784.9</v>
      </c>
    </row>
    <row r="396" spans="1:29" x14ac:dyDescent="0.25">
      <c r="A396" s="7" t="s">
        <v>6</v>
      </c>
      <c r="B396" s="15" t="s">
        <v>67</v>
      </c>
      <c r="C396" s="7" t="s">
        <v>18</v>
      </c>
      <c r="D396" s="14">
        <v>0</v>
      </c>
      <c r="E396" s="14">
        <v>0</v>
      </c>
      <c r="F396" s="14">
        <v>0</v>
      </c>
      <c r="G396" s="14">
        <v>0</v>
      </c>
      <c r="H396" s="16">
        <v>2128</v>
      </c>
      <c r="I396" s="17">
        <v>1983</v>
      </c>
      <c r="J396" s="14">
        <v>100</v>
      </c>
      <c r="K396" s="14">
        <v>0</v>
      </c>
      <c r="L396" s="14">
        <v>2</v>
      </c>
      <c r="M396" s="14">
        <v>7</v>
      </c>
      <c r="N396" s="14">
        <v>36</v>
      </c>
      <c r="O396" s="14">
        <v>0</v>
      </c>
      <c r="P396" s="14">
        <v>0</v>
      </c>
      <c r="Q396" s="14">
        <v>0</v>
      </c>
      <c r="R396" s="14">
        <v>0</v>
      </c>
      <c r="S396" s="14">
        <v>0</v>
      </c>
      <c r="T396" s="18">
        <v>0</v>
      </c>
      <c r="U396" s="14">
        <v>1.175</v>
      </c>
      <c r="V396" s="41"/>
      <c r="W396" s="39">
        <f t="shared" si="89"/>
        <v>2500.4</v>
      </c>
    </row>
    <row r="397" spans="1:29" x14ac:dyDescent="0.25">
      <c r="A397" s="7" t="s">
        <v>6</v>
      </c>
      <c r="B397" s="15" t="s">
        <v>73</v>
      </c>
      <c r="C397" s="7" t="s">
        <v>18</v>
      </c>
      <c r="D397" s="14">
        <v>0</v>
      </c>
      <c r="E397" s="14">
        <v>0</v>
      </c>
      <c r="F397" s="14">
        <v>0</v>
      </c>
      <c r="G397" s="14">
        <v>0</v>
      </c>
      <c r="H397" s="16">
        <v>616</v>
      </c>
      <c r="I397" s="17">
        <v>308</v>
      </c>
      <c r="J397" s="14">
        <v>222</v>
      </c>
      <c r="K397" s="14">
        <v>0</v>
      </c>
      <c r="L397" s="14">
        <v>50</v>
      </c>
      <c r="M397" s="14">
        <v>0</v>
      </c>
      <c r="N397" s="14">
        <v>0</v>
      </c>
      <c r="O397" s="14">
        <v>0</v>
      </c>
      <c r="P397" s="14">
        <v>0</v>
      </c>
      <c r="Q397" s="14">
        <v>36</v>
      </c>
      <c r="R397" s="14">
        <v>0</v>
      </c>
      <c r="S397" s="14">
        <v>0</v>
      </c>
      <c r="T397" s="18">
        <v>0</v>
      </c>
      <c r="U397" s="14">
        <v>1.175</v>
      </c>
      <c r="V397" s="41"/>
      <c r="W397" s="39">
        <f t="shared" si="89"/>
        <v>723.80000000000007</v>
      </c>
    </row>
    <row r="398" spans="1:29" x14ac:dyDescent="0.25">
      <c r="A398" s="7" t="s">
        <v>6</v>
      </c>
      <c r="B398" s="15" t="s">
        <v>19</v>
      </c>
      <c r="C398" s="7" t="s">
        <v>18</v>
      </c>
      <c r="D398" s="14">
        <v>0</v>
      </c>
      <c r="E398" s="14">
        <v>0</v>
      </c>
      <c r="F398" s="14">
        <v>0</v>
      </c>
      <c r="G398" s="14">
        <v>0</v>
      </c>
      <c r="H398" s="16">
        <v>355</v>
      </c>
      <c r="I398" s="17">
        <v>33</v>
      </c>
      <c r="J398" s="14">
        <v>315</v>
      </c>
      <c r="K398" s="14">
        <v>3</v>
      </c>
      <c r="L398" s="14">
        <v>0</v>
      </c>
      <c r="M398" s="14">
        <v>0</v>
      </c>
      <c r="N398" s="14">
        <v>0</v>
      </c>
      <c r="O398" s="14">
        <v>0</v>
      </c>
      <c r="P398" s="14">
        <v>0</v>
      </c>
      <c r="Q398" s="14">
        <v>0</v>
      </c>
      <c r="R398" s="14">
        <v>4</v>
      </c>
      <c r="S398" s="14">
        <v>0</v>
      </c>
      <c r="T398" s="18">
        <v>0</v>
      </c>
      <c r="U398" s="14">
        <v>1.175</v>
      </c>
      <c r="V398" s="41"/>
      <c r="W398" s="39">
        <f t="shared" si="89"/>
        <v>417.125</v>
      </c>
    </row>
    <row r="399" spans="1:29" ht="13" thickBot="1" x14ac:dyDescent="0.3">
      <c r="A399" s="7" t="s">
        <v>6</v>
      </c>
      <c r="B399" s="19" t="s">
        <v>20</v>
      </c>
      <c r="C399" s="20" t="s">
        <v>18</v>
      </c>
      <c r="D399" s="21">
        <v>0</v>
      </c>
      <c r="E399" s="21">
        <v>0</v>
      </c>
      <c r="F399" s="21">
        <v>0</v>
      </c>
      <c r="G399" s="21">
        <v>0</v>
      </c>
      <c r="H399" s="22">
        <v>0</v>
      </c>
      <c r="I399" s="23">
        <v>0</v>
      </c>
      <c r="J399" s="21">
        <v>0</v>
      </c>
      <c r="K399" s="21">
        <v>0</v>
      </c>
      <c r="L399" s="21">
        <v>0</v>
      </c>
      <c r="M399" s="21">
        <v>0</v>
      </c>
      <c r="N399" s="21">
        <v>0</v>
      </c>
      <c r="O399" s="21">
        <v>0</v>
      </c>
      <c r="P399" s="21">
        <v>0</v>
      </c>
      <c r="Q399" s="21">
        <v>0</v>
      </c>
      <c r="R399" s="21">
        <v>0</v>
      </c>
      <c r="S399" s="21">
        <v>0</v>
      </c>
      <c r="T399" s="24">
        <v>0</v>
      </c>
      <c r="U399" s="14">
        <v>1.175</v>
      </c>
      <c r="V399" s="44"/>
      <c r="W399" s="39">
        <f t="shared" si="89"/>
        <v>0</v>
      </c>
    </row>
    <row r="400" spans="1:29" ht="13" thickBot="1" x14ac:dyDescent="0.3">
      <c r="A400" s="7" t="s">
        <v>6</v>
      </c>
      <c r="B400" s="25" t="s">
        <v>12</v>
      </c>
      <c r="C400" s="26" t="s">
        <v>18</v>
      </c>
      <c r="D400" s="27">
        <v>0</v>
      </c>
      <c r="E400" s="27">
        <v>0</v>
      </c>
      <c r="F400" s="27">
        <v>0</v>
      </c>
      <c r="G400" s="27">
        <v>1</v>
      </c>
      <c r="H400" s="28">
        <v>4041</v>
      </c>
      <c r="I400" s="29">
        <v>2768</v>
      </c>
      <c r="J400" s="27">
        <v>1084</v>
      </c>
      <c r="K400" s="27">
        <v>25</v>
      </c>
      <c r="L400" s="27">
        <v>52</v>
      </c>
      <c r="M400" s="27">
        <v>8</v>
      </c>
      <c r="N400" s="27">
        <v>36</v>
      </c>
      <c r="O400" s="27">
        <v>0</v>
      </c>
      <c r="P400" s="27">
        <v>7</v>
      </c>
      <c r="Q400" s="27">
        <v>41</v>
      </c>
      <c r="R400" s="27">
        <v>19</v>
      </c>
      <c r="S400" s="27">
        <v>0</v>
      </c>
      <c r="T400" s="29">
        <v>0</v>
      </c>
      <c r="U400" s="14">
        <v>1.175</v>
      </c>
      <c r="V400" s="43">
        <f>SUM(I395:T398)/SUM(H395:H398)</f>
        <v>1</v>
      </c>
      <c r="W400" s="39">
        <f t="shared" si="89"/>
        <v>4747</v>
      </c>
      <c r="X400" s="35">
        <f>W398+W395</f>
        <v>1202.0250000000001</v>
      </c>
      <c r="Y400" s="35">
        <f>W393</f>
        <v>320.77500000000003</v>
      </c>
    </row>
    <row r="401" spans="1:29" x14ac:dyDescent="0.25">
      <c r="A401" s="7" t="s">
        <v>6</v>
      </c>
      <c r="B401" s="8" t="s">
        <v>17</v>
      </c>
      <c r="C401" s="9" t="s">
        <v>21</v>
      </c>
      <c r="D401" s="10">
        <v>0</v>
      </c>
      <c r="E401" s="10">
        <v>0</v>
      </c>
      <c r="F401" s="10">
        <v>0</v>
      </c>
      <c r="G401" s="10">
        <v>0</v>
      </c>
      <c r="H401" s="11">
        <v>29</v>
      </c>
      <c r="I401" s="12">
        <v>18</v>
      </c>
      <c r="J401" s="10">
        <v>7</v>
      </c>
      <c r="K401" s="10">
        <v>0</v>
      </c>
      <c r="L401" s="10">
        <v>4</v>
      </c>
      <c r="M401" s="10">
        <v>0</v>
      </c>
      <c r="N401" s="10">
        <v>0</v>
      </c>
      <c r="O401" s="10">
        <v>0</v>
      </c>
      <c r="P401" s="10">
        <v>0</v>
      </c>
      <c r="Q401" s="10">
        <v>0</v>
      </c>
      <c r="R401" s="10">
        <v>0</v>
      </c>
      <c r="S401" s="10">
        <v>0</v>
      </c>
      <c r="T401" s="13">
        <v>0</v>
      </c>
      <c r="U401" s="14">
        <v>1.175</v>
      </c>
      <c r="W401" s="38">
        <f t="shared" ref="W401:W408" si="90">H401*U401</f>
        <v>34.075000000000003</v>
      </c>
      <c r="AB401" s="37" t="str">
        <f t="shared" ref="AB401:AB407" si="91">B401</f>
        <v>Parts-OTC</v>
      </c>
      <c r="AC401" s="36">
        <f t="shared" ref="AC401:AC407" si="92">I401*U401</f>
        <v>21.150000000000002</v>
      </c>
    </row>
    <row r="402" spans="1:29" x14ac:dyDescent="0.25">
      <c r="A402" s="7" t="s">
        <v>6</v>
      </c>
      <c r="B402" s="15" t="s">
        <v>66</v>
      </c>
      <c r="C402" s="7" t="s">
        <v>21</v>
      </c>
      <c r="D402" s="14">
        <v>0</v>
      </c>
      <c r="E402" s="14">
        <v>0</v>
      </c>
      <c r="F402" s="14">
        <v>0</v>
      </c>
      <c r="G402" s="14">
        <v>0</v>
      </c>
      <c r="H402" s="16">
        <v>0</v>
      </c>
      <c r="I402" s="17">
        <v>0</v>
      </c>
      <c r="J402" s="14">
        <v>0</v>
      </c>
      <c r="K402" s="14">
        <v>0</v>
      </c>
      <c r="L402" s="14">
        <v>0</v>
      </c>
      <c r="M402" s="14">
        <v>0</v>
      </c>
      <c r="N402" s="14">
        <v>0</v>
      </c>
      <c r="O402" s="14">
        <v>0</v>
      </c>
      <c r="P402" s="14">
        <v>0</v>
      </c>
      <c r="Q402" s="14">
        <v>0</v>
      </c>
      <c r="R402" s="14">
        <v>0</v>
      </c>
      <c r="S402" s="14">
        <v>0</v>
      </c>
      <c r="T402" s="18">
        <v>0</v>
      </c>
      <c r="U402" s="14">
        <v>1.175</v>
      </c>
      <c r="W402" s="38">
        <f t="shared" si="90"/>
        <v>0</v>
      </c>
      <c r="AB402" s="37" t="str">
        <f t="shared" si="91"/>
        <v>CTKS</v>
      </c>
      <c r="AC402" s="36">
        <f t="shared" si="92"/>
        <v>0</v>
      </c>
    </row>
    <row r="403" spans="1:29" x14ac:dyDescent="0.25">
      <c r="A403" s="7" t="s">
        <v>6</v>
      </c>
      <c r="B403" s="15" t="s">
        <v>13</v>
      </c>
      <c r="C403" s="7" t="s">
        <v>21</v>
      </c>
      <c r="D403" s="14">
        <v>0</v>
      </c>
      <c r="E403" s="14">
        <v>0</v>
      </c>
      <c r="F403" s="14">
        <v>0</v>
      </c>
      <c r="G403" s="14">
        <v>0</v>
      </c>
      <c r="H403" s="16">
        <v>326</v>
      </c>
      <c r="I403" s="17">
        <v>168</v>
      </c>
      <c r="J403" s="14">
        <v>142</v>
      </c>
      <c r="K403" s="14">
        <v>0</v>
      </c>
      <c r="L403" s="14">
        <v>0</v>
      </c>
      <c r="M403" s="14">
        <v>0</v>
      </c>
      <c r="N403" s="14">
        <v>16</v>
      </c>
      <c r="O403" s="14">
        <v>0</v>
      </c>
      <c r="P403" s="14">
        <v>0</v>
      </c>
      <c r="Q403" s="14">
        <v>0</v>
      </c>
      <c r="R403" s="14">
        <v>0</v>
      </c>
      <c r="S403" s="14">
        <v>0</v>
      </c>
      <c r="T403" s="18">
        <v>0</v>
      </c>
      <c r="U403" s="14">
        <v>1.175</v>
      </c>
      <c r="W403" s="38">
        <f t="shared" si="90"/>
        <v>383.05</v>
      </c>
      <c r="AB403" s="37" t="str">
        <f t="shared" si="91"/>
        <v>Repair</v>
      </c>
      <c r="AC403" s="36">
        <f t="shared" si="92"/>
        <v>197.4</v>
      </c>
    </row>
    <row r="404" spans="1:29" x14ac:dyDescent="0.25">
      <c r="A404" s="7" t="s">
        <v>6</v>
      </c>
      <c r="B404" s="15" t="s">
        <v>67</v>
      </c>
      <c r="C404" s="7" t="s">
        <v>21</v>
      </c>
      <c r="D404" s="14">
        <v>0</v>
      </c>
      <c r="E404" s="14">
        <v>0</v>
      </c>
      <c r="F404" s="14">
        <v>0</v>
      </c>
      <c r="G404" s="14">
        <v>0</v>
      </c>
      <c r="H404" s="16">
        <v>525</v>
      </c>
      <c r="I404" s="17">
        <v>97</v>
      </c>
      <c r="J404" s="14">
        <v>85</v>
      </c>
      <c r="K404" s="14">
        <v>80</v>
      </c>
      <c r="L404" s="14">
        <v>57</v>
      </c>
      <c r="M404" s="14">
        <v>46</v>
      </c>
      <c r="N404" s="14">
        <v>41</v>
      </c>
      <c r="O404" s="14">
        <v>38</v>
      </c>
      <c r="P404" s="14">
        <v>41</v>
      </c>
      <c r="Q404" s="14">
        <v>40</v>
      </c>
      <c r="R404" s="14">
        <v>0</v>
      </c>
      <c r="S404" s="14">
        <v>0</v>
      </c>
      <c r="T404" s="18">
        <v>0</v>
      </c>
      <c r="U404" s="14">
        <v>1.175</v>
      </c>
      <c r="W404" s="38">
        <f t="shared" si="90"/>
        <v>616.875</v>
      </c>
      <c r="AB404" s="37" t="str">
        <f t="shared" si="91"/>
        <v>Rental</v>
      </c>
      <c r="AC404" s="36">
        <f t="shared" si="92"/>
        <v>113.97500000000001</v>
      </c>
    </row>
    <row r="405" spans="1:29" x14ac:dyDescent="0.25">
      <c r="A405" s="7" t="s">
        <v>6</v>
      </c>
      <c r="B405" s="15" t="s">
        <v>73</v>
      </c>
      <c r="C405" s="7" t="s">
        <v>21</v>
      </c>
      <c r="D405" s="14">
        <v>0</v>
      </c>
      <c r="E405" s="14">
        <v>0</v>
      </c>
      <c r="F405" s="14">
        <v>0</v>
      </c>
      <c r="G405" s="14">
        <v>0</v>
      </c>
      <c r="H405" s="16">
        <v>322</v>
      </c>
      <c r="I405" s="17">
        <v>261</v>
      </c>
      <c r="J405" s="14">
        <v>61</v>
      </c>
      <c r="K405" s="14">
        <v>0</v>
      </c>
      <c r="L405" s="14">
        <v>0</v>
      </c>
      <c r="M405" s="14">
        <v>0</v>
      </c>
      <c r="N405" s="14">
        <v>0</v>
      </c>
      <c r="O405" s="14">
        <v>0</v>
      </c>
      <c r="P405" s="14">
        <v>0</v>
      </c>
      <c r="Q405" s="14">
        <v>0</v>
      </c>
      <c r="R405" s="14">
        <v>0</v>
      </c>
      <c r="S405" s="14">
        <v>0</v>
      </c>
      <c r="T405" s="18">
        <v>0</v>
      </c>
      <c r="U405" s="14">
        <v>1.175</v>
      </c>
      <c r="W405" s="38">
        <f t="shared" si="90"/>
        <v>378.35</v>
      </c>
      <c r="AB405" s="37"/>
    </row>
    <row r="406" spans="1:29" x14ac:dyDescent="0.25">
      <c r="A406" s="7" t="s">
        <v>6</v>
      </c>
      <c r="B406" s="15" t="s">
        <v>19</v>
      </c>
      <c r="C406" s="7" t="s">
        <v>21</v>
      </c>
      <c r="D406" s="14">
        <v>0</v>
      </c>
      <c r="E406" s="14">
        <v>0</v>
      </c>
      <c r="F406" s="14">
        <v>0</v>
      </c>
      <c r="G406" s="14">
        <v>0</v>
      </c>
      <c r="H406" s="16">
        <v>1547</v>
      </c>
      <c r="I406" s="17">
        <v>355</v>
      </c>
      <c r="J406" s="14">
        <v>328</v>
      </c>
      <c r="K406" s="14">
        <v>173</v>
      </c>
      <c r="L406" s="14">
        <v>79</v>
      </c>
      <c r="M406" s="14">
        <v>87</v>
      </c>
      <c r="N406" s="14">
        <v>143</v>
      </c>
      <c r="O406" s="14">
        <v>224</v>
      </c>
      <c r="P406" s="14">
        <v>81</v>
      </c>
      <c r="Q406" s="14">
        <v>61</v>
      </c>
      <c r="R406" s="14">
        <v>0</v>
      </c>
      <c r="S406" s="14">
        <v>2</v>
      </c>
      <c r="T406" s="18">
        <v>14</v>
      </c>
      <c r="U406" s="14">
        <v>1.175</v>
      </c>
      <c r="W406" s="38">
        <f t="shared" si="90"/>
        <v>1817.7250000000001</v>
      </c>
      <c r="AB406" s="37" t="str">
        <f t="shared" si="91"/>
        <v>Maintenance</v>
      </c>
      <c r="AC406" s="36">
        <f t="shared" si="92"/>
        <v>417.125</v>
      </c>
    </row>
    <row r="407" spans="1:29" ht="13" thickBot="1" x14ac:dyDescent="0.3">
      <c r="A407" s="7" t="s">
        <v>6</v>
      </c>
      <c r="B407" s="19" t="s">
        <v>20</v>
      </c>
      <c r="C407" s="20" t="s">
        <v>21</v>
      </c>
      <c r="D407" s="21">
        <v>0</v>
      </c>
      <c r="E407" s="21">
        <v>0</v>
      </c>
      <c r="F407" s="21">
        <v>0</v>
      </c>
      <c r="G407" s="21">
        <v>0</v>
      </c>
      <c r="H407" s="22">
        <v>124</v>
      </c>
      <c r="I407" s="23">
        <v>106</v>
      </c>
      <c r="J407" s="21">
        <v>12</v>
      </c>
      <c r="K407" s="21">
        <v>6</v>
      </c>
      <c r="L407" s="21">
        <v>0</v>
      </c>
      <c r="M407" s="21">
        <v>0</v>
      </c>
      <c r="N407" s="21">
        <v>0</v>
      </c>
      <c r="O407" s="21">
        <v>0</v>
      </c>
      <c r="P407" s="21">
        <v>0</v>
      </c>
      <c r="Q407" s="21">
        <v>0</v>
      </c>
      <c r="R407" s="21">
        <v>0</v>
      </c>
      <c r="S407" s="21">
        <v>0</v>
      </c>
      <c r="T407" s="24">
        <v>0</v>
      </c>
      <c r="U407" s="14">
        <v>1.175</v>
      </c>
      <c r="W407" s="38">
        <f t="shared" si="90"/>
        <v>145.70000000000002</v>
      </c>
      <c r="AB407" s="37" t="str">
        <f t="shared" si="91"/>
        <v>Startup</v>
      </c>
      <c r="AC407" s="36">
        <f t="shared" si="92"/>
        <v>124.55000000000001</v>
      </c>
    </row>
    <row r="408" spans="1:29" ht="13" thickBot="1" x14ac:dyDescent="0.3">
      <c r="A408" s="20" t="s">
        <v>6</v>
      </c>
      <c r="B408" s="25" t="s">
        <v>12</v>
      </c>
      <c r="C408" s="26" t="s">
        <v>21</v>
      </c>
      <c r="D408" s="27">
        <v>0</v>
      </c>
      <c r="E408" s="27">
        <v>0</v>
      </c>
      <c r="F408" s="27">
        <v>0</v>
      </c>
      <c r="G408" s="27">
        <v>0</v>
      </c>
      <c r="H408" s="28">
        <v>2873</v>
      </c>
      <c r="I408" s="29">
        <v>1005</v>
      </c>
      <c r="J408" s="27">
        <v>635</v>
      </c>
      <c r="K408" s="27">
        <v>259</v>
      </c>
      <c r="L408" s="27">
        <v>140</v>
      </c>
      <c r="M408" s="27">
        <v>133</v>
      </c>
      <c r="N408" s="27">
        <v>200</v>
      </c>
      <c r="O408" s="27">
        <v>262</v>
      </c>
      <c r="P408" s="27">
        <v>122</v>
      </c>
      <c r="Q408" s="27">
        <v>101</v>
      </c>
      <c r="R408" s="27">
        <v>0</v>
      </c>
      <c r="S408" s="27">
        <v>2</v>
      </c>
      <c r="T408" s="29">
        <v>14</v>
      </c>
      <c r="U408" s="14">
        <v>1.175</v>
      </c>
      <c r="W408" s="38">
        <f t="shared" si="90"/>
        <v>3375.7750000000001</v>
      </c>
      <c r="X408" s="35">
        <f>W407+W406+W403</f>
        <v>2346.4750000000004</v>
      </c>
      <c r="Y408" s="35">
        <f>W401</f>
        <v>34.075000000000003</v>
      </c>
      <c r="Z408" s="40">
        <f>V399/X408</f>
        <v>0</v>
      </c>
      <c r="AA408" s="40">
        <f>IF((Y408=0),0,Y400/Y408)</f>
        <v>9.4137931034482758</v>
      </c>
      <c r="AB408" s="48"/>
      <c r="AC408" s="48"/>
    </row>
    <row r="409" spans="1:29" ht="13" thickBot="1" x14ac:dyDescent="0.3">
      <c r="A409" s="9" t="s">
        <v>5</v>
      </c>
      <c r="B409" s="30" t="s">
        <v>15</v>
      </c>
      <c r="C409" s="31" t="s">
        <v>94</v>
      </c>
      <c r="D409" s="32" t="s">
        <v>47</v>
      </c>
      <c r="E409" s="53" t="s">
        <v>104</v>
      </c>
      <c r="F409" s="53" t="s">
        <v>105</v>
      </c>
      <c r="G409" s="53" t="s">
        <v>106</v>
      </c>
      <c r="H409" s="28" t="s">
        <v>12</v>
      </c>
      <c r="I409" s="54" t="s">
        <v>107</v>
      </c>
      <c r="J409" s="53" t="s">
        <v>108</v>
      </c>
      <c r="K409" s="53" t="s">
        <v>109</v>
      </c>
      <c r="L409" s="53" t="s">
        <v>110</v>
      </c>
      <c r="M409" s="53" t="s">
        <v>111</v>
      </c>
      <c r="N409" s="53" t="s">
        <v>115</v>
      </c>
      <c r="O409" s="53" t="s">
        <v>120</v>
      </c>
      <c r="P409" s="53" t="s">
        <v>121</v>
      </c>
      <c r="Q409" s="53" t="s">
        <v>164</v>
      </c>
      <c r="R409" s="53" t="s">
        <v>173</v>
      </c>
      <c r="S409" s="53" t="s">
        <v>177</v>
      </c>
      <c r="T409" s="55" t="s">
        <v>182</v>
      </c>
      <c r="U409" s="14">
        <v>1.175</v>
      </c>
      <c r="V409" s="14" t="s">
        <v>183</v>
      </c>
      <c r="W409" s="35"/>
      <c r="X409" s="14" t="s">
        <v>37</v>
      </c>
      <c r="Y409" s="14" t="s">
        <v>38</v>
      </c>
      <c r="AB409" s="48"/>
      <c r="AC409" s="48"/>
    </row>
    <row r="410" spans="1:29" x14ac:dyDescent="0.25">
      <c r="A410" s="7" t="s">
        <v>5</v>
      </c>
      <c r="B410" s="8" t="s">
        <v>17</v>
      </c>
      <c r="C410" s="9" t="s">
        <v>18</v>
      </c>
      <c r="D410" s="10">
        <v>0</v>
      </c>
      <c r="E410" s="10">
        <v>0</v>
      </c>
      <c r="F410" s="10">
        <v>0</v>
      </c>
      <c r="G410" s="10">
        <v>1368</v>
      </c>
      <c r="H410" s="11">
        <v>2231</v>
      </c>
      <c r="I410" s="12">
        <v>582</v>
      </c>
      <c r="J410" s="10">
        <v>229</v>
      </c>
      <c r="K410" s="10">
        <v>47</v>
      </c>
      <c r="L410" s="10">
        <v>5</v>
      </c>
      <c r="M410" s="10">
        <v>0</v>
      </c>
      <c r="N410" s="10">
        <v>0</v>
      </c>
      <c r="O410" s="10">
        <v>0</v>
      </c>
      <c r="P410" s="10">
        <v>0</v>
      </c>
      <c r="Q410" s="10">
        <v>0</v>
      </c>
      <c r="R410" s="10">
        <v>0</v>
      </c>
      <c r="S410" s="10">
        <v>0</v>
      </c>
      <c r="T410" s="13">
        <v>0</v>
      </c>
      <c r="U410" s="14">
        <v>1.175</v>
      </c>
      <c r="V410" s="42">
        <f>SUM(I410:T410)/H410</f>
        <v>0.38682205289108024</v>
      </c>
      <c r="W410" s="39">
        <f>SUM(I410:T410)*U410</f>
        <v>1014.0250000000001</v>
      </c>
    </row>
    <row r="411" spans="1:29" x14ac:dyDescent="0.25">
      <c r="A411" s="7" t="s">
        <v>5</v>
      </c>
      <c r="B411" s="15" t="s">
        <v>66</v>
      </c>
      <c r="C411" s="7" t="s">
        <v>18</v>
      </c>
      <c r="D411" s="14">
        <v>0</v>
      </c>
      <c r="E411" s="14">
        <v>0</v>
      </c>
      <c r="F411" s="14">
        <v>0</v>
      </c>
      <c r="G411" s="14">
        <v>0</v>
      </c>
      <c r="H411" s="16">
        <v>75</v>
      </c>
      <c r="I411" s="17">
        <v>0</v>
      </c>
      <c r="J411" s="14">
        <v>0</v>
      </c>
      <c r="K411" s="14">
        <v>0</v>
      </c>
      <c r="L411" s="14">
        <v>8</v>
      </c>
      <c r="M411" s="14">
        <v>67</v>
      </c>
      <c r="N411" s="14">
        <v>0</v>
      </c>
      <c r="O411" s="14">
        <v>0</v>
      </c>
      <c r="P411" s="14">
        <v>0</v>
      </c>
      <c r="Q411" s="14">
        <v>0</v>
      </c>
      <c r="R411" s="14">
        <v>0</v>
      </c>
      <c r="S411" s="14">
        <v>0</v>
      </c>
      <c r="T411" s="18">
        <v>0</v>
      </c>
      <c r="U411" s="14">
        <v>1.175</v>
      </c>
      <c r="V411" s="44"/>
      <c r="W411" s="39">
        <f t="shared" ref="W411:W417" si="93">SUM(I411:T411)*U411</f>
        <v>88.125</v>
      </c>
    </row>
    <row r="412" spans="1:29" x14ac:dyDescent="0.25">
      <c r="A412" s="7" t="s">
        <v>5</v>
      </c>
      <c r="B412" s="15" t="s">
        <v>13</v>
      </c>
      <c r="C412" s="7" t="s">
        <v>18</v>
      </c>
      <c r="D412" s="14">
        <v>2</v>
      </c>
      <c r="E412" s="14">
        <v>0</v>
      </c>
      <c r="F412" s="14">
        <v>95</v>
      </c>
      <c r="G412" s="14">
        <v>189</v>
      </c>
      <c r="H412" s="16">
        <v>3671</v>
      </c>
      <c r="I412" s="17">
        <v>548</v>
      </c>
      <c r="J412" s="14">
        <v>1101</v>
      </c>
      <c r="K412" s="14">
        <v>598</v>
      </c>
      <c r="L412" s="14">
        <v>380</v>
      </c>
      <c r="M412" s="14">
        <v>431</v>
      </c>
      <c r="N412" s="14">
        <v>136</v>
      </c>
      <c r="O412" s="14">
        <v>42</v>
      </c>
      <c r="P412" s="14">
        <v>144</v>
      </c>
      <c r="Q412" s="14">
        <v>5</v>
      </c>
      <c r="R412" s="14">
        <v>0</v>
      </c>
      <c r="S412" s="14">
        <v>0</v>
      </c>
      <c r="T412" s="18">
        <v>0</v>
      </c>
      <c r="U412" s="14">
        <v>1.175</v>
      </c>
      <c r="V412" s="41"/>
      <c r="W412" s="39">
        <f t="shared" si="93"/>
        <v>3977.375</v>
      </c>
    </row>
    <row r="413" spans="1:29" x14ac:dyDescent="0.25">
      <c r="A413" s="7" t="s">
        <v>5</v>
      </c>
      <c r="B413" s="15" t="s">
        <v>67</v>
      </c>
      <c r="C413" s="7" t="s">
        <v>18</v>
      </c>
      <c r="D413" s="14">
        <v>15</v>
      </c>
      <c r="E413" s="14">
        <v>0</v>
      </c>
      <c r="F413" s="14">
        <v>0</v>
      </c>
      <c r="G413" s="14">
        <v>1474</v>
      </c>
      <c r="H413" s="16">
        <v>10500</v>
      </c>
      <c r="I413" s="17">
        <v>2983</v>
      </c>
      <c r="J413" s="14">
        <v>1123</v>
      </c>
      <c r="K413" s="14">
        <v>3096</v>
      </c>
      <c r="L413" s="14">
        <v>530</v>
      </c>
      <c r="M413" s="14">
        <v>88</v>
      </c>
      <c r="N413" s="14">
        <v>534</v>
      </c>
      <c r="O413" s="14">
        <v>615</v>
      </c>
      <c r="P413" s="14">
        <v>0</v>
      </c>
      <c r="Q413" s="14">
        <v>5</v>
      </c>
      <c r="R413" s="14">
        <v>13</v>
      </c>
      <c r="S413" s="14">
        <v>24</v>
      </c>
      <c r="T413" s="18">
        <v>0</v>
      </c>
      <c r="U413" s="14">
        <v>1.175</v>
      </c>
      <c r="V413" s="41"/>
      <c r="W413" s="39">
        <f t="shared" si="93"/>
        <v>10587.925000000001</v>
      </c>
    </row>
    <row r="414" spans="1:29" x14ac:dyDescent="0.25">
      <c r="A414" s="7" t="s">
        <v>5</v>
      </c>
      <c r="B414" s="15" t="s">
        <v>73</v>
      </c>
      <c r="C414" s="7" t="s">
        <v>18</v>
      </c>
      <c r="D414" s="14">
        <v>36</v>
      </c>
      <c r="E414" s="14">
        <v>0</v>
      </c>
      <c r="F414" s="14">
        <v>121</v>
      </c>
      <c r="G414" s="14">
        <v>425</v>
      </c>
      <c r="H414" s="16">
        <v>12633</v>
      </c>
      <c r="I414" s="17">
        <v>1957</v>
      </c>
      <c r="J414" s="14">
        <v>3410</v>
      </c>
      <c r="K414" s="14">
        <v>1621</v>
      </c>
      <c r="L414" s="14">
        <v>885</v>
      </c>
      <c r="M414" s="14">
        <v>591</v>
      </c>
      <c r="N414" s="14">
        <v>955</v>
      </c>
      <c r="O414" s="14">
        <v>656</v>
      </c>
      <c r="P414" s="14">
        <v>952</v>
      </c>
      <c r="Q414" s="14">
        <v>919</v>
      </c>
      <c r="R414" s="14">
        <v>25</v>
      </c>
      <c r="S414" s="14">
        <v>80</v>
      </c>
      <c r="T414" s="18">
        <v>0</v>
      </c>
      <c r="U414" s="14">
        <v>1.175</v>
      </c>
      <c r="V414" s="41"/>
      <c r="W414" s="39">
        <f t="shared" si="93"/>
        <v>14159.925000000001</v>
      </c>
    </row>
    <row r="415" spans="1:29" x14ac:dyDescent="0.25">
      <c r="A415" s="7" t="s">
        <v>5</v>
      </c>
      <c r="B415" s="15" t="s">
        <v>19</v>
      </c>
      <c r="C415" s="7" t="s">
        <v>18</v>
      </c>
      <c r="D415" s="14">
        <v>25</v>
      </c>
      <c r="E415" s="14">
        <v>0</v>
      </c>
      <c r="F415" s="14">
        <v>0</v>
      </c>
      <c r="G415" s="14">
        <v>97</v>
      </c>
      <c r="H415" s="16">
        <v>3888</v>
      </c>
      <c r="I415" s="17">
        <v>1123</v>
      </c>
      <c r="J415" s="14">
        <v>937</v>
      </c>
      <c r="K415" s="14">
        <v>428</v>
      </c>
      <c r="L415" s="14">
        <v>219</v>
      </c>
      <c r="M415" s="14">
        <v>142</v>
      </c>
      <c r="N415" s="14">
        <v>117</v>
      </c>
      <c r="O415" s="14">
        <v>96</v>
      </c>
      <c r="P415" s="14">
        <v>204</v>
      </c>
      <c r="Q415" s="14">
        <v>148</v>
      </c>
      <c r="R415" s="14">
        <v>75</v>
      </c>
      <c r="S415" s="14">
        <v>168</v>
      </c>
      <c r="T415" s="18">
        <v>109</v>
      </c>
      <c r="U415" s="14">
        <v>1.175</v>
      </c>
      <c r="V415" s="41"/>
      <c r="W415" s="39">
        <f t="shared" si="93"/>
        <v>4425.05</v>
      </c>
    </row>
    <row r="416" spans="1:29" ht="13" thickBot="1" x14ac:dyDescent="0.3">
      <c r="A416" s="7" t="s">
        <v>5</v>
      </c>
      <c r="B416" s="19" t="s">
        <v>20</v>
      </c>
      <c r="C416" s="20" t="s">
        <v>18</v>
      </c>
      <c r="D416" s="21">
        <v>0</v>
      </c>
      <c r="E416" s="21">
        <v>0</v>
      </c>
      <c r="F416" s="21">
        <v>0</v>
      </c>
      <c r="G416" s="21">
        <v>0</v>
      </c>
      <c r="H416" s="22">
        <v>70</v>
      </c>
      <c r="I416" s="23">
        <v>4</v>
      </c>
      <c r="J416" s="21">
        <v>48</v>
      </c>
      <c r="K416" s="21">
        <v>12</v>
      </c>
      <c r="L416" s="21">
        <v>0</v>
      </c>
      <c r="M416" s="21">
        <v>0</v>
      </c>
      <c r="N416" s="21">
        <v>0</v>
      </c>
      <c r="O416" s="21">
        <v>0</v>
      </c>
      <c r="P416" s="21">
        <v>0</v>
      </c>
      <c r="Q416" s="21">
        <v>0</v>
      </c>
      <c r="R416" s="21">
        <v>0</v>
      </c>
      <c r="S416" s="21">
        <v>0</v>
      </c>
      <c r="T416" s="24">
        <v>6</v>
      </c>
      <c r="U416" s="14">
        <v>1.175</v>
      </c>
      <c r="V416" s="44"/>
      <c r="W416" s="39">
        <f t="shared" si="93"/>
        <v>82.25</v>
      </c>
    </row>
    <row r="417" spans="1:29" ht="13" thickBot="1" x14ac:dyDescent="0.3">
      <c r="A417" s="7" t="s">
        <v>5</v>
      </c>
      <c r="B417" s="25" t="s">
        <v>12</v>
      </c>
      <c r="C417" s="26" t="s">
        <v>18</v>
      </c>
      <c r="D417" s="27">
        <v>78</v>
      </c>
      <c r="E417" s="27">
        <v>0</v>
      </c>
      <c r="F417" s="27">
        <v>216</v>
      </c>
      <c r="G417" s="27">
        <v>3553</v>
      </c>
      <c r="H417" s="28">
        <v>33068</v>
      </c>
      <c r="I417" s="29">
        <v>7197</v>
      </c>
      <c r="J417" s="27">
        <v>6848</v>
      </c>
      <c r="K417" s="27">
        <v>5802</v>
      </c>
      <c r="L417" s="27">
        <v>2027</v>
      </c>
      <c r="M417" s="27">
        <v>1319</v>
      </c>
      <c r="N417" s="27">
        <v>1742</v>
      </c>
      <c r="O417" s="27">
        <v>1409</v>
      </c>
      <c r="P417" s="27">
        <v>1300</v>
      </c>
      <c r="Q417" s="27">
        <v>1077</v>
      </c>
      <c r="R417" s="27">
        <v>113</v>
      </c>
      <c r="S417" s="27">
        <v>272</v>
      </c>
      <c r="T417" s="29">
        <v>115</v>
      </c>
      <c r="U417" s="14">
        <v>1.175</v>
      </c>
      <c r="V417" s="43">
        <f>SUM(I412:T415)/SUM(H412:H415)</f>
        <v>0.91922976671445322</v>
      </c>
      <c r="W417" s="39">
        <f t="shared" si="93"/>
        <v>34334.675000000003</v>
      </c>
      <c r="X417" s="35">
        <f>W415+W412</f>
        <v>8402.4249999999993</v>
      </c>
      <c r="Y417" s="35">
        <f>W410</f>
        <v>1014.0250000000001</v>
      </c>
    </row>
    <row r="418" spans="1:29" x14ac:dyDescent="0.25">
      <c r="A418" s="7" t="s">
        <v>5</v>
      </c>
      <c r="B418" s="8" t="s">
        <v>17</v>
      </c>
      <c r="C418" s="9" t="s">
        <v>21</v>
      </c>
      <c r="D418" s="10">
        <v>0</v>
      </c>
      <c r="E418" s="10">
        <v>0</v>
      </c>
      <c r="F418" s="10">
        <v>0</v>
      </c>
      <c r="G418" s="10">
        <v>0</v>
      </c>
      <c r="H418" s="11">
        <v>220</v>
      </c>
      <c r="I418" s="12">
        <v>197</v>
      </c>
      <c r="J418" s="10">
        <v>23</v>
      </c>
      <c r="K418" s="10">
        <v>0</v>
      </c>
      <c r="L418" s="10">
        <v>0</v>
      </c>
      <c r="M418" s="10">
        <v>0</v>
      </c>
      <c r="N418" s="10">
        <v>0</v>
      </c>
      <c r="O418" s="10">
        <v>0</v>
      </c>
      <c r="P418" s="10">
        <v>0</v>
      </c>
      <c r="Q418" s="10">
        <v>0</v>
      </c>
      <c r="R418" s="10">
        <v>0</v>
      </c>
      <c r="S418" s="10">
        <v>0</v>
      </c>
      <c r="T418" s="13">
        <v>0</v>
      </c>
      <c r="U418" s="14">
        <v>1.175</v>
      </c>
      <c r="W418" s="38">
        <f t="shared" ref="W418:W442" si="94">H418*U418</f>
        <v>258.5</v>
      </c>
      <c r="AB418" s="37" t="str">
        <f t="shared" ref="AB418:AB424" si="95">B418</f>
        <v>Parts-OTC</v>
      </c>
      <c r="AC418" s="36">
        <f t="shared" ref="AC418:AC424" si="96">I418*U418</f>
        <v>231.47500000000002</v>
      </c>
    </row>
    <row r="419" spans="1:29" x14ac:dyDescent="0.25">
      <c r="A419" s="7" t="s">
        <v>5</v>
      </c>
      <c r="B419" s="15" t="s">
        <v>66</v>
      </c>
      <c r="C419" s="7" t="s">
        <v>21</v>
      </c>
      <c r="D419" s="14">
        <v>0</v>
      </c>
      <c r="E419" s="14">
        <v>0</v>
      </c>
      <c r="F419" s="14">
        <v>0</v>
      </c>
      <c r="G419" s="14">
        <v>0</v>
      </c>
      <c r="H419" s="16">
        <v>327</v>
      </c>
      <c r="I419" s="17">
        <v>11</v>
      </c>
      <c r="J419" s="14">
        <v>150</v>
      </c>
      <c r="K419" s="14">
        <v>96</v>
      </c>
      <c r="L419" s="14">
        <v>70</v>
      </c>
      <c r="M419" s="14">
        <v>0</v>
      </c>
      <c r="N419" s="14">
        <v>0</v>
      </c>
      <c r="O419" s="14">
        <v>0</v>
      </c>
      <c r="P419" s="14">
        <v>0</v>
      </c>
      <c r="Q419" s="14">
        <v>0</v>
      </c>
      <c r="R419" s="14">
        <v>0</v>
      </c>
      <c r="S419" s="14">
        <v>0</v>
      </c>
      <c r="T419" s="18">
        <v>0</v>
      </c>
      <c r="U419" s="14">
        <v>1.175</v>
      </c>
      <c r="W419" s="38">
        <f t="shared" si="94"/>
        <v>384.22500000000002</v>
      </c>
      <c r="AB419" s="37" t="str">
        <f t="shared" si="95"/>
        <v>CTKS</v>
      </c>
      <c r="AC419" s="36">
        <f t="shared" si="96"/>
        <v>12.925000000000001</v>
      </c>
    </row>
    <row r="420" spans="1:29" x14ac:dyDescent="0.25">
      <c r="A420" s="7" t="s">
        <v>5</v>
      </c>
      <c r="B420" s="15" t="s">
        <v>13</v>
      </c>
      <c r="C420" s="7" t="s">
        <v>21</v>
      </c>
      <c r="D420" s="14">
        <v>0</v>
      </c>
      <c r="E420" s="14">
        <v>0</v>
      </c>
      <c r="F420" s="14">
        <v>0</v>
      </c>
      <c r="G420" s="14">
        <v>0</v>
      </c>
      <c r="H420" s="16">
        <v>1090</v>
      </c>
      <c r="I420" s="17">
        <v>516</v>
      </c>
      <c r="J420" s="14">
        <v>326</v>
      </c>
      <c r="K420" s="14">
        <v>163</v>
      </c>
      <c r="L420" s="14">
        <v>41</v>
      </c>
      <c r="M420" s="14">
        <v>35</v>
      </c>
      <c r="N420" s="14">
        <v>4</v>
      </c>
      <c r="O420" s="14">
        <v>4</v>
      </c>
      <c r="P420" s="14">
        <v>1</v>
      </c>
      <c r="Q420" s="14">
        <v>0</v>
      </c>
      <c r="R420" s="14">
        <v>0</v>
      </c>
      <c r="S420" s="14">
        <v>0</v>
      </c>
      <c r="T420" s="18">
        <v>0</v>
      </c>
      <c r="U420" s="14">
        <v>1.175</v>
      </c>
      <c r="W420" s="38">
        <f t="shared" si="94"/>
        <v>1280.75</v>
      </c>
      <c r="AB420" s="37" t="str">
        <f t="shared" si="95"/>
        <v>Repair</v>
      </c>
      <c r="AC420" s="36">
        <f t="shared" si="96"/>
        <v>606.30000000000007</v>
      </c>
    </row>
    <row r="421" spans="1:29" x14ac:dyDescent="0.25">
      <c r="A421" s="7" t="s">
        <v>5</v>
      </c>
      <c r="B421" s="15" t="s">
        <v>67</v>
      </c>
      <c r="C421" s="7" t="s">
        <v>21</v>
      </c>
      <c r="D421" s="14">
        <v>0</v>
      </c>
      <c r="E421" s="14">
        <v>0</v>
      </c>
      <c r="F421" s="14">
        <v>0</v>
      </c>
      <c r="G421" s="14">
        <v>0</v>
      </c>
      <c r="H421" s="16">
        <v>7491</v>
      </c>
      <c r="I421" s="17">
        <v>1586</v>
      </c>
      <c r="J421" s="14">
        <v>1072</v>
      </c>
      <c r="K421" s="14">
        <v>1052</v>
      </c>
      <c r="L421" s="14">
        <v>998</v>
      </c>
      <c r="M421" s="14">
        <v>897</v>
      </c>
      <c r="N421" s="14">
        <v>965</v>
      </c>
      <c r="O421" s="14">
        <v>284</v>
      </c>
      <c r="P421" s="14">
        <v>161</v>
      </c>
      <c r="Q421" s="14">
        <v>157</v>
      </c>
      <c r="R421" s="14">
        <v>138</v>
      </c>
      <c r="S421" s="14">
        <v>93</v>
      </c>
      <c r="T421" s="18">
        <v>88</v>
      </c>
      <c r="U421" s="14">
        <v>1.175</v>
      </c>
      <c r="W421" s="38">
        <f t="shared" si="94"/>
        <v>8801.9250000000011</v>
      </c>
      <c r="AB421" s="37" t="str">
        <f t="shared" si="95"/>
        <v>Rental</v>
      </c>
      <c r="AC421" s="36">
        <f t="shared" si="96"/>
        <v>1863.5500000000002</v>
      </c>
    </row>
    <row r="422" spans="1:29" x14ac:dyDescent="0.25">
      <c r="A422" s="7" t="s">
        <v>5</v>
      </c>
      <c r="B422" s="15" t="s">
        <v>73</v>
      </c>
      <c r="C422" s="7" t="s">
        <v>21</v>
      </c>
      <c r="D422" s="14">
        <v>0</v>
      </c>
      <c r="E422" s="14">
        <v>0</v>
      </c>
      <c r="F422" s="14">
        <v>0</v>
      </c>
      <c r="G422" s="14">
        <v>0</v>
      </c>
      <c r="H422" s="16">
        <v>4135</v>
      </c>
      <c r="I422" s="17">
        <v>1313</v>
      </c>
      <c r="J422" s="14">
        <v>1084</v>
      </c>
      <c r="K422" s="14">
        <v>676</v>
      </c>
      <c r="L422" s="14">
        <v>503</v>
      </c>
      <c r="M422" s="14">
        <v>33</v>
      </c>
      <c r="N422" s="14">
        <v>20</v>
      </c>
      <c r="O422" s="14">
        <v>493</v>
      </c>
      <c r="P422" s="14">
        <v>0</v>
      </c>
      <c r="Q422" s="14">
        <v>13</v>
      </c>
      <c r="R422" s="14">
        <v>0</v>
      </c>
      <c r="S422" s="14">
        <v>0</v>
      </c>
      <c r="T422" s="18">
        <v>0</v>
      </c>
      <c r="U422" s="14">
        <v>1.175</v>
      </c>
      <c r="W422" s="38">
        <f t="shared" si="94"/>
        <v>4858.625</v>
      </c>
      <c r="AB422" s="37"/>
    </row>
    <row r="423" spans="1:29" x14ac:dyDescent="0.25">
      <c r="A423" s="7" t="s">
        <v>5</v>
      </c>
      <c r="B423" s="15" t="s">
        <v>19</v>
      </c>
      <c r="C423" s="7" t="s">
        <v>21</v>
      </c>
      <c r="D423" s="14">
        <v>0</v>
      </c>
      <c r="E423" s="14">
        <v>0</v>
      </c>
      <c r="F423" s="14">
        <v>0</v>
      </c>
      <c r="G423" s="14">
        <v>0</v>
      </c>
      <c r="H423" s="16">
        <v>10809</v>
      </c>
      <c r="I423" s="17">
        <v>3411</v>
      </c>
      <c r="J423" s="14">
        <v>1740</v>
      </c>
      <c r="K423" s="14">
        <v>918</v>
      </c>
      <c r="L423" s="14">
        <v>690</v>
      </c>
      <c r="M423" s="14">
        <v>593</v>
      </c>
      <c r="N423" s="14">
        <v>891</v>
      </c>
      <c r="O423" s="14">
        <v>1506</v>
      </c>
      <c r="P423" s="14">
        <v>728</v>
      </c>
      <c r="Q423" s="14">
        <v>315</v>
      </c>
      <c r="R423" s="14">
        <v>0</v>
      </c>
      <c r="S423" s="14">
        <v>3</v>
      </c>
      <c r="T423" s="18">
        <v>14</v>
      </c>
      <c r="U423" s="14">
        <v>1.175</v>
      </c>
      <c r="W423" s="38">
        <f t="shared" si="94"/>
        <v>12700.575000000001</v>
      </c>
      <c r="AB423" s="37" t="str">
        <f t="shared" si="95"/>
        <v>Maintenance</v>
      </c>
      <c r="AC423" s="36">
        <f t="shared" si="96"/>
        <v>4007.9250000000002</v>
      </c>
    </row>
    <row r="424" spans="1:29" ht="13" thickBot="1" x14ac:dyDescent="0.3">
      <c r="A424" s="7" t="s">
        <v>5</v>
      </c>
      <c r="B424" s="19" t="s">
        <v>20</v>
      </c>
      <c r="C424" s="20" t="s">
        <v>21</v>
      </c>
      <c r="D424" s="21">
        <v>0</v>
      </c>
      <c r="E424" s="21">
        <v>0</v>
      </c>
      <c r="F424" s="21">
        <v>0</v>
      </c>
      <c r="G424" s="21">
        <v>0</v>
      </c>
      <c r="H424" s="22">
        <v>808</v>
      </c>
      <c r="I424" s="23">
        <v>153</v>
      </c>
      <c r="J424" s="21">
        <v>175</v>
      </c>
      <c r="K424" s="21">
        <v>218</v>
      </c>
      <c r="L424" s="21">
        <v>48</v>
      </c>
      <c r="M424" s="21">
        <v>22</v>
      </c>
      <c r="N424" s="21">
        <v>17</v>
      </c>
      <c r="O424" s="21">
        <v>0</v>
      </c>
      <c r="P424" s="21">
        <v>5</v>
      </c>
      <c r="Q424" s="21">
        <v>170</v>
      </c>
      <c r="R424" s="21">
        <v>0</v>
      </c>
      <c r="S424" s="21">
        <v>0</v>
      </c>
      <c r="T424" s="24">
        <v>0</v>
      </c>
      <c r="U424" s="14">
        <v>1.175</v>
      </c>
      <c r="W424" s="38">
        <f t="shared" si="94"/>
        <v>949.40000000000009</v>
      </c>
      <c r="AB424" s="37" t="str">
        <f t="shared" si="95"/>
        <v>Startup</v>
      </c>
      <c r="AC424" s="36">
        <f t="shared" si="96"/>
        <v>179.77500000000001</v>
      </c>
    </row>
    <row r="425" spans="1:29" ht="13" thickBot="1" x14ac:dyDescent="0.3">
      <c r="A425" s="20" t="s">
        <v>5</v>
      </c>
      <c r="B425" s="25" t="s">
        <v>12</v>
      </c>
      <c r="C425" s="26" t="s">
        <v>21</v>
      </c>
      <c r="D425" s="27">
        <v>0</v>
      </c>
      <c r="E425" s="27">
        <v>0</v>
      </c>
      <c r="F425" s="27">
        <v>0</v>
      </c>
      <c r="G425" s="27">
        <v>0</v>
      </c>
      <c r="H425" s="28">
        <v>24880</v>
      </c>
      <c r="I425" s="29">
        <v>7187</v>
      </c>
      <c r="J425" s="27">
        <v>4570</v>
      </c>
      <c r="K425" s="27">
        <v>3123</v>
      </c>
      <c r="L425" s="27">
        <v>2350</v>
      </c>
      <c r="M425" s="27">
        <v>1580</v>
      </c>
      <c r="N425" s="27">
        <v>1897</v>
      </c>
      <c r="O425" s="27">
        <v>2287</v>
      </c>
      <c r="P425" s="27">
        <v>895</v>
      </c>
      <c r="Q425" s="27">
        <v>655</v>
      </c>
      <c r="R425" s="27">
        <v>138</v>
      </c>
      <c r="S425" s="27">
        <v>96</v>
      </c>
      <c r="T425" s="29">
        <v>102</v>
      </c>
      <c r="U425" s="14">
        <v>1.175</v>
      </c>
      <c r="W425" s="38">
        <f t="shared" si="94"/>
        <v>29234</v>
      </c>
      <c r="X425" s="35">
        <f>W424+W423+W420</f>
        <v>14930.725</v>
      </c>
      <c r="Y425" s="35">
        <f>W418</f>
        <v>258.5</v>
      </c>
      <c r="Z425" s="40">
        <f>V416/X425</f>
        <v>0</v>
      </c>
      <c r="AA425" s="40">
        <f>IF((Y425=0),0,Y417/Y425)</f>
        <v>3.9227272727272733</v>
      </c>
      <c r="AB425" s="48"/>
      <c r="AC425" s="48"/>
    </row>
    <row r="426" spans="1:29" ht="13" thickBot="1" x14ac:dyDescent="0.3">
      <c r="A426" s="9" t="s">
        <v>30</v>
      </c>
      <c r="B426" s="30" t="s">
        <v>15</v>
      </c>
      <c r="C426" s="31" t="s">
        <v>94</v>
      </c>
      <c r="D426" s="32" t="s">
        <v>47</v>
      </c>
      <c r="E426" s="53" t="s">
        <v>104</v>
      </c>
      <c r="F426" s="53" t="s">
        <v>105</v>
      </c>
      <c r="G426" s="53" t="s">
        <v>106</v>
      </c>
      <c r="H426" s="28" t="s">
        <v>12</v>
      </c>
      <c r="I426" s="54" t="s">
        <v>107</v>
      </c>
      <c r="J426" s="53" t="s">
        <v>108</v>
      </c>
      <c r="K426" s="53" t="s">
        <v>109</v>
      </c>
      <c r="L426" s="53" t="s">
        <v>110</v>
      </c>
      <c r="M426" s="53" t="s">
        <v>111</v>
      </c>
      <c r="N426" s="53" t="s">
        <v>115</v>
      </c>
      <c r="O426" s="53" t="s">
        <v>120</v>
      </c>
      <c r="P426" s="53" t="s">
        <v>121</v>
      </c>
      <c r="Q426" s="53" t="s">
        <v>164</v>
      </c>
      <c r="R426" s="53" t="s">
        <v>173</v>
      </c>
      <c r="S426" s="53" t="s">
        <v>177</v>
      </c>
      <c r="T426" s="55" t="s">
        <v>182</v>
      </c>
      <c r="U426" s="14">
        <v>1.2543345350999999</v>
      </c>
      <c r="V426" s="14" t="s">
        <v>183</v>
      </c>
      <c r="W426" s="35"/>
      <c r="X426" s="14" t="s">
        <v>37</v>
      </c>
      <c r="Y426" s="14" t="s">
        <v>38</v>
      </c>
      <c r="AB426" s="48"/>
      <c r="AC426" s="48"/>
    </row>
    <row r="427" spans="1:29" x14ac:dyDescent="0.25">
      <c r="A427" s="7" t="s">
        <v>30</v>
      </c>
      <c r="B427" s="8" t="s">
        <v>17</v>
      </c>
      <c r="C427" s="9" t="s">
        <v>18</v>
      </c>
      <c r="D427" s="10">
        <v>5</v>
      </c>
      <c r="E427" s="10">
        <v>0</v>
      </c>
      <c r="F427" s="10">
        <v>0</v>
      </c>
      <c r="G427" s="10">
        <v>0</v>
      </c>
      <c r="H427" s="11">
        <v>161</v>
      </c>
      <c r="I427" s="12">
        <v>148</v>
      </c>
      <c r="J427" s="10">
        <v>0</v>
      </c>
      <c r="K427" s="10">
        <v>7</v>
      </c>
      <c r="L427" s="10">
        <v>1</v>
      </c>
      <c r="M427" s="10">
        <v>0</v>
      </c>
      <c r="N427" s="10">
        <v>0</v>
      </c>
      <c r="O427" s="10">
        <v>0</v>
      </c>
      <c r="P427" s="10">
        <v>0</v>
      </c>
      <c r="Q427" s="10">
        <v>0</v>
      </c>
      <c r="R427" s="10">
        <v>0</v>
      </c>
      <c r="S427" s="10">
        <v>0</v>
      </c>
      <c r="T427" s="13">
        <v>0</v>
      </c>
      <c r="U427" s="14">
        <v>1.2543345350999999</v>
      </c>
      <c r="V427" s="42">
        <f>SUM(I427:T427)/H427</f>
        <v>0.96894409937888204</v>
      </c>
      <c r="W427" s="39">
        <f>SUM(I427:T427)*U427</f>
        <v>195.67618747559999</v>
      </c>
    </row>
    <row r="428" spans="1:29" x14ac:dyDescent="0.25">
      <c r="A428" s="7" t="s">
        <v>30</v>
      </c>
      <c r="B428" s="15" t="s">
        <v>66</v>
      </c>
      <c r="C428" s="7" t="s">
        <v>18</v>
      </c>
      <c r="D428" s="14">
        <v>0</v>
      </c>
      <c r="E428" s="14">
        <v>0</v>
      </c>
      <c r="F428" s="14">
        <v>0</v>
      </c>
      <c r="G428" s="14">
        <v>0</v>
      </c>
      <c r="H428" s="16">
        <v>261</v>
      </c>
      <c r="I428" s="17">
        <v>4</v>
      </c>
      <c r="J428" s="14">
        <v>198</v>
      </c>
      <c r="K428" s="14">
        <v>35</v>
      </c>
      <c r="L428" s="14">
        <v>0</v>
      </c>
      <c r="M428" s="14">
        <v>0</v>
      </c>
      <c r="N428" s="14">
        <v>24</v>
      </c>
      <c r="O428" s="14">
        <v>0</v>
      </c>
      <c r="P428" s="14">
        <v>0</v>
      </c>
      <c r="Q428" s="14">
        <v>0</v>
      </c>
      <c r="R428" s="14">
        <v>0</v>
      </c>
      <c r="S428" s="14">
        <v>0</v>
      </c>
      <c r="T428" s="18">
        <v>0</v>
      </c>
      <c r="U428" s="14">
        <v>1.2543345350999999</v>
      </c>
      <c r="V428" s="44"/>
      <c r="W428" s="39">
        <f t="shared" ref="W428:W434" si="97">SUM(I428:T428)*U428</f>
        <v>327.38131366109997</v>
      </c>
    </row>
    <row r="429" spans="1:29" x14ac:dyDescent="0.25">
      <c r="A429" s="7" t="s">
        <v>30</v>
      </c>
      <c r="B429" s="15" t="s">
        <v>13</v>
      </c>
      <c r="C429" s="7" t="s">
        <v>18</v>
      </c>
      <c r="D429" s="14">
        <v>40</v>
      </c>
      <c r="E429" s="14">
        <v>0</v>
      </c>
      <c r="F429" s="14">
        <v>0</v>
      </c>
      <c r="G429" s="14">
        <v>15</v>
      </c>
      <c r="H429" s="16">
        <v>664</v>
      </c>
      <c r="I429" s="17">
        <v>58</v>
      </c>
      <c r="J429" s="14">
        <v>332</v>
      </c>
      <c r="K429" s="14">
        <v>46</v>
      </c>
      <c r="L429" s="14">
        <v>0</v>
      </c>
      <c r="M429" s="14">
        <v>0</v>
      </c>
      <c r="N429" s="14">
        <v>20</v>
      </c>
      <c r="O429" s="14">
        <v>0</v>
      </c>
      <c r="P429" s="14">
        <v>0</v>
      </c>
      <c r="Q429" s="14">
        <v>153</v>
      </c>
      <c r="R429" s="14">
        <v>0</v>
      </c>
      <c r="S429" s="14">
        <v>0</v>
      </c>
      <c r="T429" s="18">
        <v>0</v>
      </c>
      <c r="U429" s="14">
        <v>1.2543345350999999</v>
      </c>
      <c r="V429" s="41"/>
      <c r="W429" s="39">
        <f t="shared" si="97"/>
        <v>763.8897318759</v>
      </c>
    </row>
    <row r="430" spans="1:29" x14ac:dyDescent="0.25">
      <c r="A430" s="7" t="s">
        <v>30</v>
      </c>
      <c r="B430" s="15" t="s">
        <v>67</v>
      </c>
      <c r="C430" s="7" t="s">
        <v>18</v>
      </c>
      <c r="D430" s="14">
        <v>62</v>
      </c>
      <c r="E430" s="14">
        <v>0</v>
      </c>
      <c r="F430" s="14">
        <v>0</v>
      </c>
      <c r="G430" s="14">
        <v>59</v>
      </c>
      <c r="H430" s="16">
        <v>3057</v>
      </c>
      <c r="I430" s="17">
        <v>174</v>
      </c>
      <c r="J430" s="14">
        <v>2243</v>
      </c>
      <c r="K430" s="14">
        <v>81</v>
      </c>
      <c r="L430" s="14">
        <v>0</v>
      </c>
      <c r="M430" s="14">
        <v>34</v>
      </c>
      <c r="N430" s="14">
        <v>0</v>
      </c>
      <c r="O430" s="14">
        <v>10</v>
      </c>
      <c r="P430" s="14">
        <v>0</v>
      </c>
      <c r="Q430" s="14">
        <v>394</v>
      </c>
      <c r="R430" s="14">
        <v>0</v>
      </c>
      <c r="S430" s="14">
        <v>0</v>
      </c>
      <c r="T430" s="18">
        <v>0</v>
      </c>
      <c r="U430" s="14">
        <v>1.2543345350999999</v>
      </c>
      <c r="V430" s="41"/>
      <c r="W430" s="39">
        <f t="shared" si="97"/>
        <v>3682.7261950535999</v>
      </c>
    </row>
    <row r="431" spans="1:29" x14ac:dyDescent="0.25">
      <c r="A431" s="7" t="s">
        <v>30</v>
      </c>
      <c r="B431" s="15" t="s">
        <v>73</v>
      </c>
      <c r="C431" s="7" t="s">
        <v>18</v>
      </c>
      <c r="D431" s="14">
        <v>33</v>
      </c>
      <c r="E431" s="14">
        <v>0</v>
      </c>
      <c r="F431" s="14">
        <v>0</v>
      </c>
      <c r="G431" s="14">
        <v>0</v>
      </c>
      <c r="H431" s="16">
        <v>783</v>
      </c>
      <c r="I431" s="17">
        <v>54</v>
      </c>
      <c r="J431" s="14">
        <v>557</v>
      </c>
      <c r="K431" s="14">
        <v>5</v>
      </c>
      <c r="L431" s="14">
        <v>0</v>
      </c>
      <c r="M431" s="14">
        <v>0</v>
      </c>
      <c r="N431" s="14">
        <v>0</v>
      </c>
      <c r="O431" s="14">
        <v>0</v>
      </c>
      <c r="P431" s="14">
        <v>0</v>
      </c>
      <c r="Q431" s="14">
        <v>134</v>
      </c>
      <c r="R431" s="14">
        <v>0</v>
      </c>
      <c r="S431" s="14">
        <v>0</v>
      </c>
      <c r="T431" s="18">
        <v>0</v>
      </c>
      <c r="U431" s="14">
        <v>1.2543345350999999</v>
      </c>
      <c r="V431" s="41"/>
      <c r="W431" s="39">
        <f t="shared" si="97"/>
        <v>940.75090132499997</v>
      </c>
    </row>
    <row r="432" spans="1:29" x14ac:dyDescent="0.25">
      <c r="A432" s="7" t="s">
        <v>30</v>
      </c>
      <c r="B432" s="15" t="s">
        <v>19</v>
      </c>
      <c r="C432" s="7" t="s">
        <v>18</v>
      </c>
      <c r="D432" s="14">
        <v>5</v>
      </c>
      <c r="E432" s="14">
        <v>0</v>
      </c>
      <c r="F432" s="14">
        <v>0</v>
      </c>
      <c r="G432" s="14">
        <v>0</v>
      </c>
      <c r="H432" s="16">
        <v>479</v>
      </c>
      <c r="I432" s="17">
        <v>177</v>
      </c>
      <c r="J432" s="14">
        <v>108</v>
      </c>
      <c r="K432" s="14">
        <v>12</v>
      </c>
      <c r="L432" s="14">
        <v>36</v>
      </c>
      <c r="M432" s="14">
        <v>40</v>
      </c>
      <c r="N432" s="14">
        <v>42</v>
      </c>
      <c r="O432" s="14">
        <v>27</v>
      </c>
      <c r="P432" s="14">
        <v>32</v>
      </c>
      <c r="Q432" s="14">
        <v>0</v>
      </c>
      <c r="R432" s="14">
        <v>0</v>
      </c>
      <c r="S432" s="14">
        <v>0</v>
      </c>
      <c r="T432" s="18">
        <v>0</v>
      </c>
      <c r="U432" s="14">
        <v>1.2543345350999999</v>
      </c>
      <c r="V432" s="41"/>
      <c r="W432" s="39">
        <f t="shared" si="97"/>
        <v>594.55456963739994</v>
      </c>
    </row>
    <row r="433" spans="1:29" ht="13" thickBot="1" x14ac:dyDescent="0.3">
      <c r="A433" s="7" t="s">
        <v>30</v>
      </c>
      <c r="B433" s="19" t="s">
        <v>20</v>
      </c>
      <c r="C433" s="20" t="s">
        <v>18</v>
      </c>
      <c r="D433" s="21">
        <v>0</v>
      </c>
      <c r="E433" s="21">
        <v>0</v>
      </c>
      <c r="F433" s="21">
        <v>0</v>
      </c>
      <c r="G433" s="21">
        <v>0</v>
      </c>
      <c r="H433" s="22">
        <v>14</v>
      </c>
      <c r="I433" s="23">
        <v>0</v>
      </c>
      <c r="J433" s="21">
        <v>14</v>
      </c>
      <c r="K433" s="21">
        <v>0</v>
      </c>
      <c r="L433" s="21">
        <v>0</v>
      </c>
      <c r="M433" s="21">
        <v>0</v>
      </c>
      <c r="N433" s="21">
        <v>0</v>
      </c>
      <c r="O433" s="21">
        <v>0</v>
      </c>
      <c r="P433" s="21">
        <v>0</v>
      </c>
      <c r="Q433" s="21">
        <v>0</v>
      </c>
      <c r="R433" s="21">
        <v>0</v>
      </c>
      <c r="S433" s="21">
        <v>0</v>
      </c>
      <c r="T433" s="24">
        <v>0</v>
      </c>
      <c r="U433" s="14">
        <v>1.2543345350999999</v>
      </c>
      <c r="V433" s="44"/>
      <c r="W433" s="39">
        <f t="shared" si="97"/>
        <v>17.560683491399999</v>
      </c>
    </row>
    <row r="434" spans="1:29" ht="13" thickBot="1" x14ac:dyDescent="0.3">
      <c r="A434" s="7" t="s">
        <v>30</v>
      </c>
      <c r="B434" s="25" t="s">
        <v>12</v>
      </c>
      <c r="C434" s="26" t="s">
        <v>18</v>
      </c>
      <c r="D434" s="27">
        <v>145</v>
      </c>
      <c r="E434" s="27">
        <v>0</v>
      </c>
      <c r="F434" s="27">
        <v>0</v>
      </c>
      <c r="G434" s="27">
        <v>74</v>
      </c>
      <c r="H434" s="28">
        <v>5419</v>
      </c>
      <c r="I434" s="29">
        <v>615</v>
      </c>
      <c r="J434" s="27">
        <v>3452</v>
      </c>
      <c r="K434" s="27">
        <v>186</v>
      </c>
      <c r="L434" s="27">
        <v>37</v>
      </c>
      <c r="M434" s="27">
        <v>74</v>
      </c>
      <c r="N434" s="27">
        <v>86</v>
      </c>
      <c r="O434" s="27">
        <v>37</v>
      </c>
      <c r="P434" s="27">
        <v>32</v>
      </c>
      <c r="Q434" s="27">
        <v>681</v>
      </c>
      <c r="R434" s="27">
        <v>0</v>
      </c>
      <c r="S434" s="27">
        <v>0</v>
      </c>
      <c r="T434" s="29">
        <v>0</v>
      </c>
      <c r="U434" s="14">
        <v>1.2543345350999999</v>
      </c>
      <c r="V434" s="43">
        <f>SUM(I429:T432)/SUM(H429:H432)</f>
        <v>0.9570539835440498</v>
      </c>
      <c r="W434" s="39">
        <f t="shared" si="97"/>
        <v>6522.5395825199994</v>
      </c>
      <c r="X434" s="35">
        <f>W432+W429</f>
        <v>1358.4443015132999</v>
      </c>
      <c r="Y434" s="35">
        <f>W427</f>
        <v>195.67618747559999</v>
      </c>
    </row>
    <row r="435" spans="1:29" x14ac:dyDescent="0.25">
      <c r="A435" s="7" t="s">
        <v>30</v>
      </c>
      <c r="B435" s="8" t="s">
        <v>17</v>
      </c>
      <c r="C435" s="9" t="s">
        <v>21</v>
      </c>
      <c r="D435" s="10">
        <v>0</v>
      </c>
      <c r="E435" s="10">
        <v>0</v>
      </c>
      <c r="F435" s="10">
        <v>0</v>
      </c>
      <c r="G435" s="10">
        <v>0</v>
      </c>
      <c r="H435" s="11">
        <v>53</v>
      </c>
      <c r="I435" s="12">
        <v>12</v>
      </c>
      <c r="J435" s="10">
        <v>7</v>
      </c>
      <c r="K435" s="10">
        <v>10</v>
      </c>
      <c r="L435" s="10">
        <v>23</v>
      </c>
      <c r="M435" s="10">
        <v>0</v>
      </c>
      <c r="N435" s="10">
        <v>1</v>
      </c>
      <c r="O435" s="10">
        <v>0</v>
      </c>
      <c r="P435" s="10">
        <v>0</v>
      </c>
      <c r="Q435" s="10">
        <v>0</v>
      </c>
      <c r="R435" s="10">
        <v>0</v>
      </c>
      <c r="S435" s="10">
        <v>0</v>
      </c>
      <c r="T435" s="13">
        <v>0</v>
      </c>
      <c r="U435" s="14">
        <v>1.2543345350999999</v>
      </c>
      <c r="W435" s="38">
        <f t="shared" si="94"/>
        <v>66.479730360299996</v>
      </c>
      <c r="AB435" s="37" t="str">
        <f t="shared" ref="AB435:AB441" si="98">B435</f>
        <v>Parts-OTC</v>
      </c>
      <c r="AC435" s="36">
        <f t="shared" ref="AC435:AC441" si="99">I435*U435</f>
        <v>15.052014421199999</v>
      </c>
    </row>
    <row r="436" spans="1:29" x14ac:dyDescent="0.25">
      <c r="A436" s="7" t="s">
        <v>30</v>
      </c>
      <c r="B436" s="15" t="s">
        <v>66</v>
      </c>
      <c r="C436" s="7" t="s">
        <v>21</v>
      </c>
      <c r="D436" s="14">
        <v>0</v>
      </c>
      <c r="E436" s="14">
        <v>0</v>
      </c>
      <c r="F436" s="14">
        <v>0</v>
      </c>
      <c r="G436" s="14">
        <v>0</v>
      </c>
      <c r="H436" s="16">
        <v>56</v>
      </c>
      <c r="I436" s="17">
        <v>16</v>
      </c>
      <c r="J436" s="14">
        <v>3</v>
      </c>
      <c r="K436" s="14">
        <v>17</v>
      </c>
      <c r="L436" s="14">
        <v>16</v>
      </c>
      <c r="M436" s="14">
        <v>4</v>
      </c>
      <c r="N436" s="14">
        <v>0</v>
      </c>
      <c r="O436" s="14">
        <v>0</v>
      </c>
      <c r="P436" s="14">
        <v>0</v>
      </c>
      <c r="Q436" s="14">
        <v>0</v>
      </c>
      <c r="R436" s="14">
        <v>0</v>
      </c>
      <c r="S436" s="14">
        <v>0</v>
      </c>
      <c r="T436" s="18">
        <v>0</v>
      </c>
      <c r="U436" s="14">
        <v>1.2543345350999999</v>
      </c>
      <c r="W436" s="38">
        <f t="shared" si="94"/>
        <v>70.242733965599996</v>
      </c>
      <c r="AB436" s="37" t="str">
        <f t="shared" si="98"/>
        <v>CTKS</v>
      </c>
      <c r="AC436" s="36">
        <f t="shared" si="99"/>
        <v>20.069352561599999</v>
      </c>
    </row>
    <row r="437" spans="1:29" x14ac:dyDescent="0.25">
      <c r="A437" s="7" t="s">
        <v>30</v>
      </c>
      <c r="B437" s="15" t="s">
        <v>13</v>
      </c>
      <c r="C437" s="7" t="s">
        <v>21</v>
      </c>
      <c r="D437" s="14">
        <v>0</v>
      </c>
      <c r="E437" s="14">
        <v>0</v>
      </c>
      <c r="F437" s="14">
        <v>0</v>
      </c>
      <c r="G437" s="14">
        <v>0</v>
      </c>
      <c r="H437" s="16">
        <v>581</v>
      </c>
      <c r="I437" s="17">
        <v>122</v>
      </c>
      <c r="J437" s="14">
        <v>215</v>
      </c>
      <c r="K437" s="14">
        <v>70</v>
      </c>
      <c r="L437" s="14">
        <v>66</v>
      </c>
      <c r="M437" s="14">
        <v>65</v>
      </c>
      <c r="N437" s="14">
        <v>0</v>
      </c>
      <c r="O437" s="14">
        <v>41</v>
      </c>
      <c r="P437" s="14">
        <v>0</v>
      </c>
      <c r="Q437" s="14">
        <v>2</v>
      </c>
      <c r="R437" s="14">
        <v>0</v>
      </c>
      <c r="S437" s="14">
        <v>0</v>
      </c>
      <c r="T437" s="18">
        <v>0</v>
      </c>
      <c r="U437" s="14">
        <v>1.2543345350999999</v>
      </c>
      <c r="W437" s="38">
        <f t="shared" si="94"/>
        <v>728.76836489309994</v>
      </c>
      <c r="AB437" s="37" t="str">
        <f t="shared" si="98"/>
        <v>Repair</v>
      </c>
      <c r="AC437" s="36">
        <f t="shared" si="99"/>
        <v>153.02881328219999</v>
      </c>
    </row>
    <row r="438" spans="1:29" x14ac:dyDescent="0.25">
      <c r="A438" s="7" t="s">
        <v>30</v>
      </c>
      <c r="B438" s="15" t="s">
        <v>67</v>
      </c>
      <c r="C438" s="7" t="s">
        <v>21</v>
      </c>
      <c r="D438" s="14">
        <v>0</v>
      </c>
      <c r="E438" s="14">
        <v>0</v>
      </c>
      <c r="F438" s="14">
        <v>0</v>
      </c>
      <c r="G438" s="14">
        <v>0</v>
      </c>
      <c r="H438" s="16">
        <v>1058</v>
      </c>
      <c r="I438" s="17">
        <v>153</v>
      </c>
      <c r="J438" s="14">
        <v>191</v>
      </c>
      <c r="K438" s="14">
        <v>184</v>
      </c>
      <c r="L438" s="14">
        <v>118</v>
      </c>
      <c r="M438" s="14">
        <v>89</v>
      </c>
      <c r="N438" s="14">
        <v>84</v>
      </c>
      <c r="O438" s="14">
        <v>77</v>
      </c>
      <c r="P438" s="14">
        <v>40</v>
      </c>
      <c r="Q438" s="14">
        <v>32</v>
      </c>
      <c r="R438" s="14">
        <v>30</v>
      </c>
      <c r="S438" s="14">
        <v>30</v>
      </c>
      <c r="T438" s="18">
        <v>30</v>
      </c>
      <c r="U438" s="14">
        <v>1.2543345350999999</v>
      </c>
      <c r="W438" s="38">
        <f t="shared" si="94"/>
        <v>1327.0859381358</v>
      </c>
      <c r="AB438" s="37" t="str">
        <f t="shared" si="98"/>
        <v>Rental</v>
      </c>
      <c r="AC438" s="36">
        <f t="shared" si="99"/>
        <v>191.91318387029997</v>
      </c>
    </row>
    <row r="439" spans="1:29" x14ac:dyDescent="0.25">
      <c r="A439" s="7" t="s">
        <v>30</v>
      </c>
      <c r="B439" s="15" t="s">
        <v>73</v>
      </c>
      <c r="C439" s="7" t="s">
        <v>21</v>
      </c>
      <c r="D439" s="14">
        <v>0</v>
      </c>
      <c r="E439" s="14">
        <v>0</v>
      </c>
      <c r="F439" s="14">
        <v>0</v>
      </c>
      <c r="G439" s="14">
        <v>0</v>
      </c>
      <c r="H439" s="16">
        <v>362</v>
      </c>
      <c r="I439" s="17">
        <v>69</v>
      </c>
      <c r="J439" s="14">
        <v>96</v>
      </c>
      <c r="K439" s="14">
        <v>75</v>
      </c>
      <c r="L439" s="14">
        <v>2</v>
      </c>
      <c r="M439" s="14">
        <v>5</v>
      </c>
      <c r="N439" s="14">
        <v>0</v>
      </c>
      <c r="O439" s="14">
        <v>0</v>
      </c>
      <c r="P439" s="14">
        <v>115</v>
      </c>
      <c r="Q439" s="14">
        <v>0</v>
      </c>
      <c r="R439" s="14">
        <v>0</v>
      </c>
      <c r="S439" s="14">
        <v>0</v>
      </c>
      <c r="T439" s="18">
        <v>0</v>
      </c>
      <c r="U439" s="14">
        <v>1.2543345350999999</v>
      </c>
      <c r="W439" s="38">
        <f t="shared" si="94"/>
        <v>454.06910170619994</v>
      </c>
      <c r="AB439" s="37"/>
    </row>
    <row r="440" spans="1:29" x14ac:dyDescent="0.25">
      <c r="A440" s="7" t="s">
        <v>30</v>
      </c>
      <c r="B440" s="15" t="s">
        <v>19</v>
      </c>
      <c r="C440" s="7" t="s">
        <v>21</v>
      </c>
      <c r="D440" s="14">
        <v>0</v>
      </c>
      <c r="E440" s="14">
        <v>0</v>
      </c>
      <c r="F440" s="14">
        <v>0</v>
      </c>
      <c r="G440" s="14">
        <v>0</v>
      </c>
      <c r="H440" s="16">
        <v>2792</v>
      </c>
      <c r="I440" s="17">
        <v>322</v>
      </c>
      <c r="J440" s="14">
        <v>763</v>
      </c>
      <c r="K440" s="14">
        <v>228</v>
      </c>
      <c r="L440" s="14">
        <v>203</v>
      </c>
      <c r="M440" s="14">
        <v>92</v>
      </c>
      <c r="N440" s="14">
        <v>609</v>
      </c>
      <c r="O440" s="14">
        <v>483</v>
      </c>
      <c r="P440" s="14">
        <v>65</v>
      </c>
      <c r="Q440" s="14">
        <v>10</v>
      </c>
      <c r="R440" s="14">
        <v>0</v>
      </c>
      <c r="S440" s="14">
        <v>9</v>
      </c>
      <c r="T440" s="18">
        <v>8</v>
      </c>
      <c r="U440" s="14">
        <v>1.2543345350999999</v>
      </c>
      <c r="W440" s="38">
        <f t="shared" si="94"/>
        <v>3502.1020219991997</v>
      </c>
      <c r="AB440" s="37" t="str">
        <f t="shared" si="98"/>
        <v>Maintenance</v>
      </c>
      <c r="AC440" s="36">
        <f t="shared" si="99"/>
        <v>403.89572030219995</v>
      </c>
    </row>
    <row r="441" spans="1:29" ht="13" thickBot="1" x14ac:dyDescent="0.3">
      <c r="A441" s="7" t="s">
        <v>30</v>
      </c>
      <c r="B441" s="19" t="s">
        <v>20</v>
      </c>
      <c r="C441" s="20" t="s">
        <v>21</v>
      </c>
      <c r="D441" s="21">
        <v>0</v>
      </c>
      <c r="E441" s="21">
        <v>0</v>
      </c>
      <c r="F441" s="21">
        <v>0</v>
      </c>
      <c r="G441" s="21">
        <v>0</v>
      </c>
      <c r="H441" s="22">
        <v>246</v>
      </c>
      <c r="I441" s="23">
        <v>63</v>
      </c>
      <c r="J441" s="21">
        <v>114</v>
      </c>
      <c r="K441" s="21">
        <v>41</v>
      </c>
      <c r="L441" s="21">
        <v>16</v>
      </c>
      <c r="M441" s="21">
        <v>2</v>
      </c>
      <c r="N441" s="21">
        <v>1</v>
      </c>
      <c r="O441" s="21">
        <v>2</v>
      </c>
      <c r="P441" s="21">
        <v>3</v>
      </c>
      <c r="Q441" s="21">
        <v>3</v>
      </c>
      <c r="R441" s="21">
        <v>1</v>
      </c>
      <c r="S441" s="21">
        <v>0</v>
      </c>
      <c r="T441" s="24">
        <v>0</v>
      </c>
      <c r="U441" s="14">
        <v>1.2543345350999999</v>
      </c>
      <c r="W441" s="38">
        <f t="shared" si="94"/>
        <v>308.56629563460001</v>
      </c>
      <c r="AB441" s="37" t="str">
        <f t="shared" si="98"/>
        <v>Startup</v>
      </c>
      <c r="AC441" s="36">
        <f t="shared" si="99"/>
        <v>79.023075711299995</v>
      </c>
    </row>
    <row r="442" spans="1:29" ht="13" thickBot="1" x14ac:dyDescent="0.3">
      <c r="A442" s="20" t="s">
        <v>30</v>
      </c>
      <c r="B442" s="25" t="s">
        <v>12</v>
      </c>
      <c r="C442" s="26" t="s">
        <v>21</v>
      </c>
      <c r="D442" s="27">
        <v>0</v>
      </c>
      <c r="E442" s="27">
        <v>0</v>
      </c>
      <c r="F442" s="27">
        <v>0</v>
      </c>
      <c r="G442" s="27">
        <v>0</v>
      </c>
      <c r="H442" s="28">
        <v>5148</v>
      </c>
      <c r="I442" s="29">
        <v>757</v>
      </c>
      <c r="J442" s="27">
        <v>1389</v>
      </c>
      <c r="K442" s="27">
        <v>625</v>
      </c>
      <c r="L442" s="27">
        <v>444</v>
      </c>
      <c r="M442" s="27">
        <v>257</v>
      </c>
      <c r="N442" s="27">
        <v>695</v>
      </c>
      <c r="O442" s="27">
        <v>603</v>
      </c>
      <c r="P442" s="27">
        <v>223</v>
      </c>
      <c r="Q442" s="27">
        <v>47</v>
      </c>
      <c r="R442" s="27">
        <v>31</v>
      </c>
      <c r="S442" s="27">
        <v>39</v>
      </c>
      <c r="T442" s="29">
        <v>38</v>
      </c>
      <c r="U442" s="14">
        <v>1.2543345350999999</v>
      </c>
      <c r="W442" s="38">
        <f t="shared" si="94"/>
        <v>6457.3141866947999</v>
      </c>
      <c r="X442" s="35">
        <f>W441+W440+W437</f>
        <v>4539.4366825268999</v>
      </c>
      <c r="Y442" s="35">
        <f>W435</f>
        <v>66.479730360299996</v>
      </c>
      <c r="Z442" s="40">
        <f>V433/X442</f>
        <v>0</v>
      </c>
      <c r="AA442" s="40">
        <f>IF((Y442=0),0,Y434/Y442)</f>
        <v>2.9433962264150941</v>
      </c>
      <c r="AB442" s="48"/>
      <c r="AC442" s="48"/>
    </row>
    <row r="443" spans="1:29" ht="13" thickBot="1" x14ac:dyDescent="0.3">
      <c r="A443" s="9" t="s">
        <v>65</v>
      </c>
      <c r="B443" s="30" t="s">
        <v>15</v>
      </c>
      <c r="C443" s="31" t="s">
        <v>94</v>
      </c>
      <c r="D443" s="32" t="s">
        <v>47</v>
      </c>
      <c r="E443" s="53" t="s">
        <v>104</v>
      </c>
      <c r="F443" s="53" t="s">
        <v>105</v>
      </c>
      <c r="G443" s="53" t="s">
        <v>106</v>
      </c>
      <c r="H443" s="28" t="s">
        <v>12</v>
      </c>
      <c r="I443" s="54" t="s">
        <v>107</v>
      </c>
      <c r="J443" s="53" t="s">
        <v>108</v>
      </c>
      <c r="K443" s="53" t="s">
        <v>109</v>
      </c>
      <c r="L443" s="53" t="s">
        <v>110</v>
      </c>
      <c r="M443" s="53" t="s">
        <v>111</v>
      </c>
      <c r="N443" s="53" t="s">
        <v>115</v>
      </c>
      <c r="O443" s="53" t="s">
        <v>120</v>
      </c>
      <c r="P443" s="53" t="s">
        <v>121</v>
      </c>
      <c r="Q443" s="53" t="s">
        <v>164</v>
      </c>
      <c r="R443" s="53" t="s">
        <v>173</v>
      </c>
      <c r="S443" s="53" t="s">
        <v>177</v>
      </c>
      <c r="T443" s="55" t="s">
        <v>182</v>
      </c>
      <c r="U443" s="14">
        <v>0.27227135790000001</v>
      </c>
      <c r="V443" s="14" t="s">
        <v>183</v>
      </c>
      <c r="W443" s="35"/>
      <c r="X443" s="14" t="s">
        <v>37</v>
      </c>
      <c r="Y443" s="14" t="s">
        <v>38</v>
      </c>
      <c r="AB443" s="48"/>
      <c r="AC443" s="48"/>
    </row>
    <row r="444" spans="1:29" x14ac:dyDescent="0.25">
      <c r="A444" s="7" t="s">
        <v>65</v>
      </c>
      <c r="B444" s="8" t="s">
        <v>17</v>
      </c>
      <c r="C444" s="9" t="s">
        <v>18</v>
      </c>
      <c r="D444" s="10">
        <v>0</v>
      </c>
      <c r="E444" s="10">
        <v>314</v>
      </c>
      <c r="F444" s="10">
        <v>0</v>
      </c>
      <c r="G444" s="10">
        <v>0</v>
      </c>
      <c r="H444" s="11">
        <v>7266</v>
      </c>
      <c r="I444" s="12">
        <v>2862</v>
      </c>
      <c r="J444" s="10">
        <v>432</v>
      </c>
      <c r="K444" s="10">
        <v>2034</v>
      </c>
      <c r="L444" s="10">
        <v>1007</v>
      </c>
      <c r="M444" s="10">
        <v>350</v>
      </c>
      <c r="N444" s="10">
        <v>113</v>
      </c>
      <c r="O444" s="10">
        <v>0</v>
      </c>
      <c r="P444" s="10">
        <v>154</v>
      </c>
      <c r="Q444" s="10">
        <v>0</v>
      </c>
      <c r="R444" s="10">
        <v>0</v>
      </c>
      <c r="S444" s="10">
        <v>0</v>
      </c>
      <c r="T444" s="13">
        <v>0</v>
      </c>
      <c r="U444" s="14">
        <v>0.27227135790000001</v>
      </c>
      <c r="V444" s="42">
        <f>SUM(I444:T444)/H444</f>
        <v>0.95678502614918803</v>
      </c>
      <c r="W444" s="39">
        <f>SUM(I444:T444)*U444</f>
        <v>1892.8304801208001</v>
      </c>
    </row>
    <row r="445" spans="1:29" x14ac:dyDescent="0.25">
      <c r="A445" s="7" t="s">
        <v>65</v>
      </c>
      <c r="B445" s="15" t="s">
        <v>66</v>
      </c>
      <c r="C445" s="7" t="s">
        <v>18</v>
      </c>
      <c r="D445" s="14">
        <v>0</v>
      </c>
      <c r="E445" s="14">
        <v>0</v>
      </c>
      <c r="F445" s="14">
        <v>0</v>
      </c>
      <c r="G445" s="14">
        <v>0</v>
      </c>
      <c r="H445" s="16">
        <v>135866</v>
      </c>
      <c r="I445" s="17">
        <v>6779</v>
      </c>
      <c r="J445" s="14">
        <v>9848</v>
      </c>
      <c r="K445" s="14">
        <v>20024</v>
      </c>
      <c r="L445" s="14">
        <v>53549</v>
      </c>
      <c r="M445" s="14">
        <v>19030</v>
      </c>
      <c r="N445" s="14">
        <v>22501</v>
      </c>
      <c r="O445" s="14">
        <v>4135</v>
      </c>
      <c r="P445" s="14">
        <v>0</v>
      </c>
      <c r="Q445" s="14">
        <v>0</v>
      </c>
      <c r="R445" s="14">
        <v>0</v>
      </c>
      <c r="S445" s="14">
        <v>0</v>
      </c>
      <c r="T445" s="18">
        <v>0</v>
      </c>
      <c r="U445" s="14">
        <v>0.27227135790000001</v>
      </c>
      <c r="V445" s="44"/>
      <c r="W445" s="39">
        <f t="shared" ref="W445:W451" si="100">SUM(I445:T445)*U445</f>
        <v>36992.420312441398</v>
      </c>
    </row>
    <row r="446" spans="1:29" x14ac:dyDescent="0.25">
      <c r="A446" s="7" t="s">
        <v>65</v>
      </c>
      <c r="B446" s="15" t="s">
        <v>13</v>
      </c>
      <c r="C446" s="7" t="s">
        <v>18</v>
      </c>
      <c r="D446" s="14">
        <v>0</v>
      </c>
      <c r="E446" s="14">
        <v>0</v>
      </c>
      <c r="F446" s="14">
        <v>0</v>
      </c>
      <c r="G446" s="14">
        <v>0</v>
      </c>
      <c r="H446" s="16">
        <v>15771</v>
      </c>
      <c r="I446" s="17">
        <v>0</v>
      </c>
      <c r="J446" s="14">
        <v>5665</v>
      </c>
      <c r="K446" s="14">
        <v>5594</v>
      </c>
      <c r="L446" s="14">
        <v>2004</v>
      </c>
      <c r="M446" s="14">
        <v>2508</v>
      </c>
      <c r="N446" s="14">
        <v>0</v>
      </c>
      <c r="O446" s="14">
        <v>0</v>
      </c>
      <c r="P446" s="14">
        <v>0</v>
      </c>
      <c r="Q446" s="14">
        <v>0</v>
      </c>
      <c r="R446" s="14">
        <v>0</v>
      </c>
      <c r="S446" s="14">
        <v>0</v>
      </c>
      <c r="T446" s="18">
        <v>0</v>
      </c>
      <c r="U446" s="14">
        <v>0.27227135790000001</v>
      </c>
      <c r="V446" s="41"/>
      <c r="W446" s="39">
        <f t="shared" si="100"/>
        <v>4293.9915854409001</v>
      </c>
    </row>
    <row r="447" spans="1:29" x14ac:dyDescent="0.25">
      <c r="A447" s="7" t="s">
        <v>65</v>
      </c>
      <c r="B447" s="15" t="s">
        <v>67</v>
      </c>
      <c r="C447" s="7" t="s">
        <v>18</v>
      </c>
      <c r="D447" s="14">
        <v>0</v>
      </c>
      <c r="E447" s="14">
        <v>0</v>
      </c>
      <c r="F447" s="14">
        <v>0</v>
      </c>
      <c r="G447" s="14">
        <v>56</v>
      </c>
      <c r="H447" s="16">
        <v>28399</v>
      </c>
      <c r="I447" s="17">
        <v>14</v>
      </c>
      <c r="J447" s="14">
        <v>203</v>
      </c>
      <c r="K447" s="14">
        <v>6154</v>
      </c>
      <c r="L447" s="14">
        <v>10937</v>
      </c>
      <c r="M447" s="14">
        <v>2587</v>
      </c>
      <c r="N447" s="14">
        <v>6510</v>
      </c>
      <c r="O447" s="14">
        <v>266</v>
      </c>
      <c r="P447" s="14">
        <v>255</v>
      </c>
      <c r="Q447" s="14">
        <v>1417</v>
      </c>
      <c r="R447" s="14">
        <v>0</v>
      </c>
      <c r="S447" s="14">
        <v>0</v>
      </c>
      <c r="T447" s="18">
        <v>0</v>
      </c>
      <c r="U447" s="14">
        <v>0.27227135790000001</v>
      </c>
      <c r="V447" s="41"/>
      <c r="W447" s="39">
        <f t="shared" si="100"/>
        <v>7716.9870969597005</v>
      </c>
    </row>
    <row r="448" spans="1:29" x14ac:dyDescent="0.25">
      <c r="A448" s="7" t="s">
        <v>65</v>
      </c>
      <c r="B448" s="15" t="s">
        <v>73</v>
      </c>
      <c r="C448" s="7" t="s">
        <v>18</v>
      </c>
      <c r="D448" s="14">
        <v>0</v>
      </c>
      <c r="E448" s="14">
        <v>0</v>
      </c>
      <c r="F448" s="14">
        <v>0</v>
      </c>
      <c r="G448" s="14">
        <v>0</v>
      </c>
      <c r="H448" s="16">
        <v>23743</v>
      </c>
      <c r="I448" s="17">
        <v>3202</v>
      </c>
      <c r="J448" s="14">
        <v>8135</v>
      </c>
      <c r="K448" s="14">
        <v>5320</v>
      </c>
      <c r="L448" s="14">
        <v>2027</v>
      </c>
      <c r="M448" s="14">
        <v>5059</v>
      </c>
      <c r="N448" s="14">
        <v>0</v>
      </c>
      <c r="O448" s="14">
        <v>0</v>
      </c>
      <c r="P448" s="14">
        <v>0</v>
      </c>
      <c r="Q448" s="14">
        <v>0</v>
      </c>
      <c r="R448" s="14">
        <v>0</v>
      </c>
      <c r="S448" s="14">
        <v>0</v>
      </c>
      <c r="T448" s="18">
        <v>0</v>
      </c>
      <c r="U448" s="14">
        <v>0.27227135790000001</v>
      </c>
      <c r="V448" s="41"/>
      <c r="W448" s="39">
        <f t="shared" si="100"/>
        <v>6464.5388506197005</v>
      </c>
    </row>
    <row r="449" spans="1:29" x14ac:dyDescent="0.25">
      <c r="A449" s="7" t="s">
        <v>65</v>
      </c>
      <c r="B449" s="15" t="s">
        <v>19</v>
      </c>
      <c r="C449" s="7" t="s">
        <v>18</v>
      </c>
      <c r="D449" s="14">
        <v>0</v>
      </c>
      <c r="E449" s="14">
        <v>0</v>
      </c>
      <c r="F449" s="14">
        <v>0</v>
      </c>
      <c r="G449" s="14">
        <v>19</v>
      </c>
      <c r="H449" s="16">
        <v>3227</v>
      </c>
      <c r="I449" s="17">
        <v>0</v>
      </c>
      <c r="J449" s="14">
        <v>692</v>
      </c>
      <c r="K449" s="14">
        <v>545</v>
      </c>
      <c r="L449" s="14">
        <v>407</v>
      </c>
      <c r="M449" s="14">
        <v>68</v>
      </c>
      <c r="N449" s="14">
        <v>1496</v>
      </c>
      <c r="O449" s="14">
        <v>0</v>
      </c>
      <c r="P449" s="14">
        <v>0</v>
      </c>
      <c r="Q449" s="14">
        <v>0</v>
      </c>
      <c r="R449" s="14">
        <v>0</v>
      </c>
      <c r="S449" s="14">
        <v>0</v>
      </c>
      <c r="T449" s="18">
        <v>0</v>
      </c>
      <c r="U449" s="14">
        <v>0.27227135790000001</v>
      </c>
      <c r="V449" s="41"/>
      <c r="W449" s="39">
        <f t="shared" si="100"/>
        <v>873.44651614320003</v>
      </c>
    </row>
    <row r="450" spans="1:29" ht="13" thickBot="1" x14ac:dyDescent="0.3">
      <c r="A450" s="7" t="s">
        <v>65</v>
      </c>
      <c r="B450" s="19" t="s">
        <v>20</v>
      </c>
      <c r="C450" s="20" t="s">
        <v>18</v>
      </c>
      <c r="D450" s="21">
        <v>0</v>
      </c>
      <c r="E450" s="21">
        <v>0</v>
      </c>
      <c r="F450" s="21">
        <v>0</v>
      </c>
      <c r="G450" s="21">
        <v>0</v>
      </c>
      <c r="H450" s="22">
        <v>0</v>
      </c>
      <c r="I450" s="23">
        <v>0</v>
      </c>
      <c r="J450" s="21">
        <v>0</v>
      </c>
      <c r="K450" s="21">
        <v>0</v>
      </c>
      <c r="L450" s="21">
        <v>0</v>
      </c>
      <c r="M450" s="21">
        <v>0</v>
      </c>
      <c r="N450" s="21">
        <v>0</v>
      </c>
      <c r="O450" s="21">
        <v>0</v>
      </c>
      <c r="P450" s="21">
        <v>0</v>
      </c>
      <c r="Q450" s="21">
        <v>0</v>
      </c>
      <c r="R450" s="21">
        <v>0</v>
      </c>
      <c r="S450" s="21">
        <v>0</v>
      </c>
      <c r="T450" s="24">
        <v>0</v>
      </c>
      <c r="U450" s="14">
        <v>0.27227135790000001</v>
      </c>
      <c r="V450" s="44"/>
      <c r="W450" s="39">
        <f t="shared" si="100"/>
        <v>0</v>
      </c>
    </row>
    <row r="451" spans="1:29" ht="13" thickBot="1" x14ac:dyDescent="0.3">
      <c r="A451" s="7" t="s">
        <v>65</v>
      </c>
      <c r="B451" s="25" t="s">
        <v>12</v>
      </c>
      <c r="C451" s="26" t="s">
        <v>18</v>
      </c>
      <c r="D451" s="27">
        <v>0</v>
      </c>
      <c r="E451" s="27">
        <v>314</v>
      </c>
      <c r="F451" s="27">
        <v>0</v>
      </c>
      <c r="G451" s="27">
        <v>75</v>
      </c>
      <c r="H451" s="28">
        <v>214272</v>
      </c>
      <c r="I451" s="29">
        <v>12857</v>
      </c>
      <c r="J451" s="27">
        <v>24975</v>
      </c>
      <c r="K451" s="27">
        <v>39671</v>
      </c>
      <c r="L451" s="27">
        <v>69931</v>
      </c>
      <c r="M451" s="27">
        <v>29602</v>
      </c>
      <c r="N451" s="27">
        <v>30620</v>
      </c>
      <c r="O451" s="27">
        <v>4401</v>
      </c>
      <c r="P451" s="27">
        <v>409</v>
      </c>
      <c r="Q451" s="27">
        <v>1417</v>
      </c>
      <c r="R451" s="27">
        <v>0</v>
      </c>
      <c r="S451" s="27">
        <v>0</v>
      </c>
      <c r="T451" s="29">
        <v>0</v>
      </c>
      <c r="U451" s="14">
        <v>0.27227135790000001</v>
      </c>
      <c r="V451" s="43">
        <f>SUM(I446:T449)/SUM(H446:H449)</f>
        <v>0.99894574079280296</v>
      </c>
      <c r="W451" s="39">
        <f t="shared" si="100"/>
        <v>58234.214841725705</v>
      </c>
      <c r="X451" s="35">
        <f>W449+W446</f>
        <v>5167.4381015841</v>
      </c>
      <c r="Y451" s="35">
        <f>W444</f>
        <v>1892.8304801208001</v>
      </c>
    </row>
    <row r="452" spans="1:29" x14ac:dyDescent="0.25">
      <c r="A452" s="7" t="s">
        <v>65</v>
      </c>
      <c r="B452" s="8" t="s">
        <v>17</v>
      </c>
      <c r="C452" s="9" t="s">
        <v>21</v>
      </c>
      <c r="D452" s="10">
        <v>0</v>
      </c>
      <c r="E452" s="10">
        <v>0</v>
      </c>
      <c r="F452" s="10">
        <v>0</v>
      </c>
      <c r="G452" s="10">
        <v>0</v>
      </c>
      <c r="H452" s="11">
        <v>597</v>
      </c>
      <c r="I452" s="12">
        <v>307</v>
      </c>
      <c r="J452" s="10">
        <v>290</v>
      </c>
      <c r="K452" s="10">
        <v>0</v>
      </c>
      <c r="L452" s="10">
        <v>0</v>
      </c>
      <c r="M452" s="10">
        <v>0</v>
      </c>
      <c r="N452" s="10">
        <v>0</v>
      </c>
      <c r="O452" s="10">
        <v>0</v>
      </c>
      <c r="P452" s="10">
        <v>0</v>
      </c>
      <c r="Q452" s="10">
        <v>0</v>
      </c>
      <c r="R452" s="10">
        <v>0</v>
      </c>
      <c r="S452" s="10">
        <v>0</v>
      </c>
      <c r="T452" s="13">
        <v>0</v>
      </c>
      <c r="U452" s="14">
        <v>0.27227135790000001</v>
      </c>
      <c r="W452" s="38">
        <f t="shared" ref="W452:W459" si="101">H452*U452</f>
        <v>162.54600066630002</v>
      </c>
      <c r="AB452" s="37" t="str">
        <f t="shared" ref="AB452:AB458" si="102">B452</f>
        <v>Parts-OTC</v>
      </c>
      <c r="AC452" s="36">
        <f t="shared" ref="AC452:AC458" si="103">I452*U452</f>
        <v>83.587306875300001</v>
      </c>
    </row>
    <row r="453" spans="1:29" x14ac:dyDescent="0.25">
      <c r="A453" s="7" t="s">
        <v>65</v>
      </c>
      <c r="B453" s="15" t="s">
        <v>66</v>
      </c>
      <c r="C453" s="7" t="s">
        <v>21</v>
      </c>
      <c r="D453" s="14">
        <v>0</v>
      </c>
      <c r="E453" s="14">
        <v>0</v>
      </c>
      <c r="F453" s="14">
        <v>0</v>
      </c>
      <c r="G453" s="14">
        <v>0</v>
      </c>
      <c r="H453" s="16">
        <v>29850</v>
      </c>
      <c r="I453" s="17">
        <v>820</v>
      </c>
      <c r="J453" s="14">
        <v>2491</v>
      </c>
      <c r="K453" s="14">
        <v>5416</v>
      </c>
      <c r="L453" s="14">
        <v>5521</v>
      </c>
      <c r="M453" s="14">
        <v>2691</v>
      </c>
      <c r="N453" s="14">
        <v>370</v>
      </c>
      <c r="O453" s="14">
        <v>5025</v>
      </c>
      <c r="P453" s="14">
        <v>2261</v>
      </c>
      <c r="Q453" s="14">
        <v>1166</v>
      </c>
      <c r="R453" s="14">
        <v>1546</v>
      </c>
      <c r="S453" s="14">
        <v>399</v>
      </c>
      <c r="T453" s="18">
        <v>2144</v>
      </c>
      <c r="U453" s="14">
        <v>0.27227135790000001</v>
      </c>
      <c r="W453" s="38">
        <f t="shared" si="101"/>
        <v>8127.3000333150003</v>
      </c>
      <c r="AB453" s="37" t="str">
        <f t="shared" si="102"/>
        <v>CTKS</v>
      </c>
      <c r="AC453" s="36">
        <f t="shared" si="103"/>
        <v>223.26251347800002</v>
      </c>
    </row>
    <row r="454" spans="1:29" x14ac:dyDescent="0.25">
      <c r="A454" s="7" t="s">
        <v>65</v>
      </c>
      <c r="B454" s="15" t="s">
        <v>13</v>
      </c>
      <c r="C454" s="7" t="s">
        <v>21</v>
      </c>
      <c r="D454" s="14">
        <v>0</v>
      </c>
      <c r="E454" s="14">
        <v>0</v>
      </c>
      <c r="F454" s="14">
        <v>0</v>
      </c>
      <c r="G454" s="14">
        <v>0</v>
      </c>
      <c r="H454" s="16">
        <v>1309</v>
      </c>
      <c r="I454" s="17">
        <v>351</v>
      </c>
      <c r="J454" s="14">
        <v>936</v>
      </c>
      <c r="K454" s="14">
        <v>12</v>
      </c>
      <c r="L454" s="14">
        <v>0</v>
      </c>
      <c r="M454" s="14">
        <v>0</v>
      </c>
      <c r="N454" s="14">
        <v>0</v>
      </c>
      <c r="O454" s="14">
        <v>0</v>
      </c>
      <c r="P454" s="14">
        <v>0</v>
      </c>
      <c r="Q454" s="14">
        <v>0</v>
      </c>
      <c r="R454" s="14">
        <v>10</v>
      </c>
      <c r="S454" s="14">
        <v>0</v>
      </c>
      <c r="T454" s="18">
        <v>0</v>
      </c>
      <c r="U454" s="14">
        <v>0.27227135790000001</v>
      </c>
      <c r="W454" s="38">
        <f t="shared" si="101"/>
        <v>356.40320749110003</v>
      </c>
      <c r="AB454" s="37" t="str">
        <f t="shared" si="102"/>
        <v>Repair</v>
      </c>
      <c r="AC454" s="36">
        <f t="shared" si="103"/>
        <v>95.567246622900001</v>
      </c>
    </row>
    <row r="455" spans="1:29" x14ac:dyDescent="0.25">
      <c r="A455" s="7" t="s">
        <v>65</v>
      </c>
      <c r="B455" s="15" t="s">
        <v>67</v>
      </c>
      <c r="C455" s="7" t="s">
        <v>21</v>
      </c>
      <c r="D455" s="14">
        <v>0</v>
      </c>
      <c r="E455" s="14">
        <v>0</v>
      </c>
      <c r="F455" s="14">
        <v>0</v>
      </c>
      <c r="G455" s="14">
        <v>0</v>
      </c>
      <c r="H455" s="16">
        <v>6604</v>
      </c>
      <c r="I455" s="17">
        <v>1033</v>
      </c>
      <c r="J455" s="14">
        <v>499</v>
      </c>
      <c r="K455" s="14">
        <v>1237</v>
      </c>
      <c r="L455" s="14">
        <v>859</v>
      </c>
      <c r="M455" s="14">
        <v>818</v>
      </c>
      <c r="N455" s="14">
        <v>896</v>
      </c>
      <c r="O455" s="14">
        <v>194</v>
      </c>
      <c r="P455" s="14">
        <v>186</v>
      </c>
      <c r="Q455" s="14">
        <v>172</v>
      </c>
      <c r="R455" s="14">
        <v>133</v>
      </c>
      <c r="S455" s="14">
        <v>133</v>
      </c>
      <c r="T455" s="18">
        <v>444</v>
      </c>
      <c r="U455" s="14">
        <v>0.27227135790000001</v>
      </c>
      <c r="W455" s="38">
        <f t="shared" si="101"/>
        <v>1798.0800475716001</v>
      </c>
      <c r="AB455" s="37" t="str">
        <f t="shared" si="102"/>
        <v>Rental</v>
      </c>
      <c r="AC455" s="36">
        <f t="shared" si="103"/>
        <v>281.2563127107</v>
      </c>
    </row>
    <row r="456" spans="1:29" x14ac:dyDescent="0.25">
      <c r="A456" s="7" t="s">
        <v>65</v>
      </c>
      <c r="B456" s="15" t="s">
        <v>73</v>
      </c>
      <c r="C456" s="7" t="s">
        <v>21</v>
      </c>
      <c r="D456" s="14">
        <v>0</v>
      </c>
      <c r="E456" s="14">
        <v>0</v>
      </c>
      <c r="F456" s="14">
        <v>0</v>
      </c>
      <c r="G456" s="14">
        <v>0</v>
      </c>
      <c r="H456" s="16">
        <v>5556</v>
      </c>
      <c r="I456" s="17">
        <v>1059</v>
      </c>
      <c r="J456" s="14">
        <v>827</v>
      </c>
      <c r="K456" s="14">
        <v>899</v>
      </c>
      <c r="L456" s="14">
        <v>1776</v>
      </c>
      <c r="M456" s="14">
        <v>995</v>
      </c>
      <c r="N456" s="14">
        <v>0</v>
      </c>
      <c r="O456" s="14">
        <v>0</v>
      </c>
      <c r="P456" s="14">
        <v>0</v>
      </c>
      <c r="Q456" s="14">
        <v>0</v>
      </c>
      <c r="R456" s="14">
        <v>0</v>
      </c>
      <c r="S456" s="14">
        <v>0</v>
      </c>
      <c r="T456" s="18">
        <v>0</v>
      </c>
      <c r="U456" s="14">
        <v>0.27227135790000001</v>
      </c>
      <c r="W456" s="38">
        <f t="shared" si="101"/>
        <v>1512.7396644924002</v>
      </c>
      <c r="AB456" s="37"/>
    </row>
    <row r="457" spans="1:29" x14ac:dyDescent="0.25">
      <c r="A457" s="7" t="s">
        <v>65</v>
      </c>
      <c r="B457" s="15" t="s">
        <v>19</v>
      </c>
      <c r="C457" s="7" t="s">
        <v>21</v>
      </c>
      <c r="D457" s="14">
        <v>0</v>
      </c>
      <c r="E457" s="14">
        <v>0</v>
      </c>
      <c r="F457" s="14">
        <v>0</v>
      </c>
      <c r="G457" s="14">
        <v>0</v>
      </c>
      <c r="H457" s="16">
        <v>5065</v>
      </c>
      <c r="I457" s="17">
        <v>597</v>
      </c>
      <c r="J457" s="14">
        <v>341</v>
      </c>
      <c r="K457" s="14">
        <v>1284</v>
      </c>
      <c r="L457" s="14">
        <v>360</v>
      </c>
      <c r="M457" s="14">
        <v>183</v>
      </c>
      <c r="N457" s="14">
        <v>985</v>
      </c>
      <c r="O457" s="14">
        <v>214</v>
      </c>
      <c r="P457" s="14">
        <v>144</v>
      </c>
      <c r="Q457" s="14">
        <v>788</v>
      </c>
      <c r="R457" s="14">
        <v>119</v>
      </c>
      <c r="S457" s="14">
        <v>0</v>
      </c>
      <c r="T457" s="18">
        <v>50</v>
      </c>
      <c r="U457" s="14">
        <v>0.27227135790000001</v>
      </c>
      <c r="W457" s="38">
        <f t="shared" si="101"/>
        <v>1379.0544277635001</v>
      </c>
      <c r="AB457" s="37" t="str">
        <f t="shared" si="102"/>
        <v>Maintenance</v>
      </c>
      <c r="AC457" s="36">
        <f t="shared" si="103"/>
        <v>162.54600066630002</v>
      </c>
    </row>
    <row r="458" spans="1:29" ht="13" thickBot="1" x14ac:dyDescent="0.3">
      <c r="A458" s="7" t="s">
        <v>65</v>
      </c>
      <c r="B458" s="19" t="s">
        <v>20</v>
      </c>
      <c r="C458" s="20" t="s">
        <v>21</v>
      </c>
      <c r="D458" s="21">
        <v>0</v>
      </c>
      <c r="E458" s="21">
        <v>0</v>
      </c>
      <c r="F458" s="21">
        <v>0</v>
      </c>
      <c r="G458" s="21">
        <v>0</v>
      </c>
      <c r="H458" s="22">
        <v>123</v>
      </c>
      <c r="I458" s="23">
        <v>0</v>
      </c>
      <c r="J458" s="21">
        <v>0</v>
      </c>
      <c r="K458" s="21">
        <v>0</v>
      </c>
      <c r="L458" s="21">
        <v>0</v>
      </c>
      <c r="M458" s="21">
        <v>0</v>
      </c>
      <c r="N458" s="21">
        <v>0</v>
      </c>
      <c r="O458" s="21">
        <v>0</v>
      </c>
      <c r="P458" s="21">
        <v>0</v>
      </c>
      <c r="Q458" s="21">
        <v>123</v>
      </c>
      <c r="R458" s="21">
        <v>0</v>
      </c>
      <c r="S458" s="21">
        <v>0</v>
      </c>
      <c r="T458" s="24">
        <v>0</v>
      </c>
      <c r="U458" s="14">
        <v>0.27227135790000001</v>
      </c>
      <c r="W458" s="38">
        <f t="shared" si="101"/>
        <v>33.489377021700001</v>
      </c>
      <c r="AB458" s="37" t="str">
        <f t="shared" si="102"/>
        <v>Startup</v>
      </c>
      <c r="AC458" s="36">
        <f t="shared" si="103"/>
        <v>0</v>
      </c>
    </row>
    <row r="459" spans="1:29" ht="13" thickBot="1" x14ac:dyDescent="0.3">
      <c r="A459" s="20" t="s">
        <v>65</v>
      </c>
      <c r="B459" s="25" t="s">
        <v>12</v>
      </c>
      <c r="C459" s="26" t="s">
        <v>21</v>
      </c>
      <c r="D459" s="27">
        <v>0</v>
      </c>
      <c r="E459" s="27">
        <v>0</v>
      </c>
      <c r="F459" s="27">
        <v>0</v>
      </c>
      <c r="G459" s="27">
        <v>0</v>
      </c>
      <c r="H459" s="28">
        <v>49104</v>
      </c>
      <c r="I459" s="29">
        <v>4167</v>
      </c>
      <c r="J459" s="27">
        <v>5384</v>
      </c>
      <c r="K459" s="27">
        <v>8848</v>
      </c>
      <c r="L459" s="27">
        <v>8516</v>
      </c>
      <c r="M459" s="27">
        <v>4687</v>
      </c>
      <c r="N459" s="27">
        <v>2251</v>
      </c>
      <c r="O459" s="27">
        <v>5433</v>
      </c>
      <c r="P459" s="27">
        <v>2591</v>
      </c>
      <c r="Q459" s="27">
        <v>2249</v>
      </c>
      <c r="R459" s="27">
        <v>1808</v>
      </c>
      <c r="S459" s="27">
        <v>532</v>
      </c>
      <c r="T459" s="29">
        <v>2638</v>
      </c>
      <c r="U459" s="14">
        <v>0.27227135790000001</v>
      </c>
      <c r="W459" s="38">
        <f t="shared" si="101"/>
        <v>13369.6127583216</v>
      </c>
      <c r="X459" s="35">
        <f>W458+W457+W454</f>
        <v>1768.9470122763</v>
      </c>
      <c r="Y459" s="35">
        <f>W452</f>
        <v>162.54600066630002</v>
      </c>
      <c r="Z459" s="40">
        <f>V450/X459</f>
        <v>0</v>
      </c>
      <c r="AA459" s="40">
        <f>IF((Y459=0),0,Y451/Y459)</f>
        <v>11.644891122278056</v>
      </c>
      <c r="AB459" s="48"/>
      <c r="AC459" s="48"/>
    </row>
    <row r="460" spans="1:29" ht="13" thickBot="1" x14ac:dyDescent="0.3">
      <c r="A460" s="9" t="s">
        <v>60</v>
      </c>
      <c r="B460" s="30" t="s">
        <v>15</v>
      </c>
      <c r="C460" s="31" t="s">
        <v>94</v>
      </c>
      <c r="D460" s="32" t="s">
        <v>47</v>
      </c>
      <c r="E460" s="53" t="s">
        <v>104</v>
      </c>
      <c r="F460" s="53" t="s">
        <v>105</v>
      </c>
      <c r="G460" s="53" t="s">
        <v>106</v>
      </c>
      <c r="H460" s="28" t="s">
        <v>12</v>
      </c>
      <c r="I460" s="54" t="s">
        <v>107</v>
      </c>
      <c r="J460" s="53" t="s">
        <v>108</v>
      </c>
      <c r="K460" s="53" t="s">
        <v>109</v>
      </c>
      <c r="L460" s="53" t="s">
        <v>110</v>
      </c>
      <c r="M460" s="53" t="s">
        <v>111</v>
      </c>
      <c r="N460" s="53" t="s">
        <v>115</v>
      </c>
      <c r="O460" s="53" t="s">
        <v>120</v>
      </c>
      <c r="P460" s="53" t="s">
        <v>121</v>
      </c>
      <c r="Q460" s="53" t="s">
        <v>164</v>
      </c>
      <c r="R460" s="53" t="s">
        <v>173</v>
      </c>
      <c r="S460" s="53" t="s">
        <v>177</v>
      </c>
      <c r="T460" s="55" t="s">
        <v>182</v>
      </c>
      <c r="U460" s="14">
        <v>0.27227135790000001</v>
      </c>
      <c r="V460" s="14" t="s">
        <v>183</v>
      </c>
      <c r="W460" s="35"/>
      <c r="X460" s="14" t="s">
        <v>37</v>
      </c>
      <c r="Y460" s="14" t="s">
        <v>38</v>
      </c>
      <c r="AB460" s="48"/>
      <c r="AC460" s="48"/>
    </row>
    <row r="461" spans="1:29" x14ac:dyDescent="0.25">
      <c r="A461" s="7" t="s">
        <v>60</v>
      </c>
      <c r="B461" s="8" t="s">
        <v>17</v>
      </c>
      <c r="C461" s="9" t="s">
        <v>18</v>
      </c>
      <c r="D461" s="10">
        <v>0</v>
      </c>
      <c r="E461" s="10">
        <v>0</v>
      </c>
      <c r="F461" s="10">
        <v>0</v>
      </c>
      <c r="G461" s="10">
        <v>0</v>
      </c>
      <c r="H461" s="11">
        <v>15293</v>
      </c>
      <c r="I461" s="12">
        <v>11783</v>
      </c>
      <c r="J461" s="10">
        <v>221</v>
      </c>
      <c r="K461" s="10">
        <v>3289</v>
      </c>
      <c r="L461" s="10">
        <v>0</v>
      </c>
      <c r="M461" s="10">
        <v>0</v>
      </c>
      <c r="N461" s="10">
        <v>0</v>
      </c>
      <c r="O461" s="10">
        <v>0</v>
      </c>
      <c r="P461" s="10">
        <v>0</v>
      </c>
      <c r="Q461" s="10">
        <v>0</v>
      </c>
      <c r="R461" s="10">
        <v>0</v>
      </c>
      <c r="S461" s="10">
        <v>0</v>
      </c>
      <c r="T461" s="13">
        <v>0</v>
      </c>
      <c r="U461" s="14">
        <v>0.27227135790000001</v>
      </c>
      <c r="V461" s="42">
        <f>SUM(I461:T461)/H461</f>
        <v>1</v>
      </c>
      <c r="W461" s="39">
        <f>SUM(I461:T461)*U461</f>
        <v>4163.8458763647004</v>
      </c>
    </row>
    <row r="462" spans="1:29" x14ac:dyDescent="0.25">
      <c r="A462" s="7" t="s">
        <v>60</v>
      </c>
      <c r="B462" s="15" t="s">
        <v>66</v>
      </c>
      <c r="C462" s="7" t="s">
        <v>18</v>
      </c>
      <c r="D462" s="14">
        <v>0</v>
      </c>
      <c r="E462" s="14">
        <v>0</v>
      </c>
      <c r="F462" s="14">
        <v>0</v>
      </c>
      <c r="G462" s="14">
        <v>0</v>
      </c>
      <c r="H462" s="16">
        <v>193461</v>
      </c>
      <c r="I462" s="17">
        <v>111741</v>
      </c>
      <c r="J462" s="14">
        <v>30331</v>
      </c>
      <c r="K462" s="14">
        <v>11147</v>
      </c>
      <c r="L462" s="14">
        <v>10230</v>
      </c>
      <c r="M462" s="14">
        <v>0</v>
      </c>
      <c r="N462" s="14">
        <v>0</v>
      </c>
      <c r="O462" s="14">
        <v>0</v>
      </c>
      <c r="P462" s="14">
        <v>0</v>
      </c>
      <c r="Q462" s="14">
        <v>30012</v>
      </c>
      <c r="R462" s="14">
        <v>0</v>
      </c>
      <c r="S462" s="14">
        <v>0</v>
      </c>
      <c r="T462" s="18">
        <v>0</v>
      </c>
      <c r="U462" s="14">
        <v>0.27227135790000001</v>
      </c>
      <c r="V462" s="44"/>
      <c r="W462" s="39">
        <f t="shared" ref="W462:W468" si="104">SUM(I462:T462)*U462</f>
        <v>52673.889170691902</v>
      </c>
    </row>
    <row r="463" spans="1:29" x14ac:dyDescent="0.25">
      <c r="A463" s="7" t="s">
        <v>60</v>
      </c>
      <c r="B463" s="15" t="s">
        <v>13</v>
      </c>
      <c r="C463" s="7" t="s">
        <v>18</v>
      </c>
      <c r="D463" s="14">
        <v>0</v>
      </c>
      <c r="E463" s="14">
        <v>0</v>
      </c>
      <c r="F463" s="14">
        <v>0</v>
      </c>
      <c r="G463" s="14">
        <v>0</v>
      </c>
      <c r="H463" s="16">
        <v>104471</v>
      </c>
      <c r="I463" s="17">
        <v>90230</v>
      </c>
      <c r="J463" s="14">
        <v>8244</v>
      </c>
      <c r="K463" s="14">
        <v>5995</v>
      </c>
      <c r="L463" s="14">
        <v>0</v>
      </c>
      <c r="M463" s="14">
        <v>0</v>
      </c>
      <c r="N463" s="14">
        <v>0</v>
      </c>
      <c r="O463" s="14">
        <v>0</v>
      </c>
      <c r="P463" s="14">
        <v>0</v>
      </c>
      <c r="Q463" s="14">
        <v>2</v>
      </c>
      <c r="R463" s="14">
        <v>0</v>
      </c>
      <c r="S463" s="14">
        <v>0</v>
      </c>
      <c r="T463" s="18">
        <v>0</v>
      </c>
      <c r="U463" s="14">
        <v>0.27227135790000001</v>
      </c>
      <c r="V463" s="41"/>
      <c r="W463" s="39">
        <f t="shared" si="104"/>
        <v>28444.4610311709</v>
      </c>
    </row>
    <row r="464" spans="1:29" x14ac:dyDescent="0.25">
      <c r="A464" s="7" t="s">
        <v>60</v>
      </c>
      <c r="B464" s="15" t="s">
        <v>67</v>
      </c>
      <c r="C464" s="7" t="s">
        <v>18</v>
      </c>
      <c r="D464" s="14">
        <v>0</v>
      </c>
      <c r="E464" s="14">
        <v>0</v>
      </c>
      <c r="F464" s="14">
        <v>0</v>
      </c>
      <c r="G464" s="14">
        <v>0</v>
      </c>
      <c r="H464" s="16">
        <v>25762</v>
      </c>
      <c r="I464" s="17">
        <v>12552</v>
      </c>
      <c r="J464" s="14">
        <v>9636</v>
      </c>
      <c r="K464" s="14">
        <v>3574</v>
      </c>
      <c r="L464" s="14">
        <v>0</v>
      </c>
      <c r="M464" s="14">
        <v>0</v>
      </c>
      <c r="N464" s="14">
        <v>0</v>
      </c>
      <c r="O464" s="14">
        <v>0</v>
      </c>
      <c r="P464" s="14">
        <v>0</v>
      </c>
      <c r="Q464" s="14">
        <v>0</v>
      </c>
      <c r="R464" s="14">
        <v>0</v>
      </c>
      <c r="S464" s="14">
        <v>0</v>
      </c>
      <c r="T464" s="18">
        <v>0</v>
      </c>
      <c r="U464" s="14">
        <v>0.27227135790000001</v>
      </c>
      <c r="V464" s="41"/>
      <c r="W464" s="39">
        <f t="shared" si="104"/>
        <v>7014.2547222198</v>
      </c>
    </row>
    <row r="465" spans="1:29" x14ac:dyDescent="0.25">
      <c r="A465" s="7" t="s">
        <v>60</v>
      </c>
      <c r="B465" s="15" t="s">
        <v>73</v>
      </c>
      <c r="C465" s="7" t="s">
        <v>18</v>
      </c>
      <c r="D465" s="14">
        <v>0</v>
      </c>
      <c r="E465" s="14">
        <v>0</v>
      </c>
      <c r="F465" s="14">
        <v>0</v>
      </c>
      <c r="G465" s="14">
        <v>0</v>
      </c>
      <c r="H465" s="16">
        <v>121388</v>
      </c>
      <c r="I465" s="17">
        <v>86942</v>
      </c>
      <c r="J465" s="14">
        <v>15326</v>
      </c>
      <c r="K465" s="14">
        <v>19120</v>
      </c>
      <c r="L465" s="14">
        <v>0</v>
      </c>
      <c r="M465" s="14">
        <v>0</v>
      </c>
      <c r="N465" s="14">
        <v>0</v>
      </c>
      <c r="O465" s="14">
        <v>0</v>
      </c>
      <c r="P465" s="14">
        <v>0</v>
      </c>
      <c r="Q465" s="14">
        <v>0</v>
      </c>
      <c r="R465" s="14">
        <v>0</v>
      </c>
      <c r="S465" s="14">
        <v>0</v>
      </c>
      <c r="T465" s="18">
        <v>0</v>
      </c>
      <c r="U465" s="14">
        <v>0.27227135790000001</v>
      </c>
      <c r="V465" s="41"/>
      <c r="W465" s="39">
        <f t="shared" si="104"/>
        <v>33050.4755927652</v>
      </c>
    </row>
    <row r="466" spans="1:29" x14ac:dyDescent="0.25">
      <c r="A466" s="7" t="s">
        <v>60</v>
      </c>
      <c r="B466" s="15" t="s">
        <v>19</v>
      </c>
      <c r="C466" s="7" t="s">
        <v>18</v>
      </c>
      <c r="D466" s="14">
        <v>0</v>
      </c>
      <c r="E466" s="14">
        <v>0</v>
      </c>
      <c r="F466" s="14">
        <v>0</v>
      </c>
      <c r="G466" s="14">
        <v>0</v>
      </c>
      <c r="H466" s="16">
        <v>28116</v>
      </c>
      <c r="I466" s="17">
        <v>16950</v>
      </c>
      <c r="J466" s="14">
        <v>3179</v>
      </c>
      <c r="K466" s="14">
        <v>6517</v>
      </c>
      <c r="L466" s="14">
        <v>103</v>
      </c>
      <c r="M466" s="14">
        <v>0</v>
      </c>
      <c r="N466" s="14">
        <v>0</v>
      </c>
      <c r="O466" s="14">
        <v>0</v>
      </c>
      <c r="P466" s="14">
        <v>66</v>
      </c>
      <c r="Q466" s="14">
        <v>1301</v>
      </c>
      <c r="R466" s="14">
        <v>0</v>
      </c>
      <c r="S466" s="14">
        <v>0</v>
      </c>
      <c r="T466" s="18">
        <v>0</v>
      </c>
      <c r="U466" s="14">
        <v>0.27227135790000001</v>
      </c>
      <c r="V466" s="41"/>
      <c r="W466" s="39">
        <f t="shared" si="104"/>
        <v>7655.1814987164007</v>
      </c>
    </row>
    <row r="467" spans="1:29" ht="13" thickBot="1" x14ac:dyDescent="0.3">
      <c r="A467" s="7" t="s">
        <v>60</v>
      </c>
      <c r="B467" s="19" t="s">
        <v>20</v>
      </c>
      <c r="C467" s="20" t="s">
        <v>18</v>
      </c>
      <c r="D467" s="21">
        <v>0</v>
      </c>
      <c r="E467" s="21">
        <v>0</v>
      </c>
      <c r="F467" s="21">
        <v>0</v>
      </c>
      <c r="G467" s="21">
        <v>0</v>
      </c>
      <c r="H467" s="22">
        <v>57</v>
      </c>
      <c r="I467" s="23">
        <v>57</v>
      </c>
      <c r="J467" s="21">
        <v>0</v>
      </c>
      <c r="K467" s="21">
        <v>0</v>
      </c>
      <c r="L467" s="21">
        <v>0</v>
      </c>
      <c r="M467" s="21">
        <v>0</v>
      </c>
      <c r="N467" s="21">
        <v>0</v>
      </c>
      <c r="O467" s="21">
        <v>0</v>
      </c>
      <c r="P467" s="21">
        <v>0</v>
      </c>
      <c r="Q467" s="21">
        <v>0</v>
      </c>
      <c r="R467" s="21">
        <v>0</v>
      </c>
      <c r="S467" s="21">
        <v>0</v>
      </c>
      <c r="T467" s="24">
        <v>0</v>
      </c>
      <c r="U467" s="14">
        <v>0.27227135790000001</v>
      </c>
      <c r="V467" s="44"/>
      <c r="W467" s="39">
        <f t="shared" si="104"/>
        <v>15.5194674003</v>
      </c>
    </row>
    <row r="468" spans="1:29" ht="13" thickBot="1" x14ac:dyDescent="0.3">
      <c r="A468" s="7" t="s">
        <v>60</v>
      </c>
      <c r="B468" s="25" t="s">
        <v>12</v>
      </c>
      <c r="C468" s="26" t="s">
        <v>18</v>
      </c>
      <c r="D468" s="27">
        <v>0</v>
      </c>
      <c r="E468" s="27">
        <v>0</v>
      </c>
      <c r="F468" s="27">
        <v>0</v>
      </c>
      <c r="G468" s="27">
        <v>0</v>
      </c>
      <c r="H468" s="28">
        <v>488548</v>
      </c>
      <c r="I468" s="29">
        <v>330255</v>
      </c>
      <c r="J468" s="27">
        <v>66937</v>
      </c>
      <c r="K468" s="27">
        <v>49642</v>
      </c>
      <c r="L468" s="27">
        <v>10333</v>
      </c>
      <c r="M468" s="27">
        <v>0</v>
      </c>
      <c r="N468" s="27">
        <v>0</v>
      </c>
      <c r="O468" s="27">
        <v>0</v>
      </c>
      <c r="P468" s="27">
        <v>66</v>
      </c>
      <c r="Q468" s="27">
        <v>31315</v>
      </c>
      <c r="R468" s="27">
        <v>0</v>
      </c>
      <c r="S468" s="27">
        <v>0</v>
      </c>
      <c r="T468" s="29">
        <v>0</v>
      </c>
      <c r="U468" s="14">
        <v>0.27227135790000001</v>
      </c>
      <c r="V468" s="43">
        <f>SUM(I463:T466)/SUM(H463:H466)</f>
        <v>1</v>
      </c>
      <c r="W468" s="39">
        <f t="shared" si="104"/>
        <v>133017.6273593292</v>
      </c>
      <c r="X468" s="35">
        <f>W466+W463</f>
        <v>36099.6425298873</v>
      </c>
      <c r="Y468" s="35">
        <f>W461</f>
        <v>4163.8458763647004</v>
      </c>
    </row>
    <row r="469" spans="1:29" x14ac:dyDescent="0.25">
      <c r="A469" s="7" t="s">
        <v>60</v>
      </c>
      <c r="B469" s="8" t="s">
        <v>17</v>
      </c>
      <c r="C469" s="9" t="s">
        <v>21</v>
      </c>
      <c r="D469" s="10">
        <v>0</v>
      </c>
      <c r="E469" s="10">
        <v>0</v>
      </c>
      <c r="F469" s="10">
        <v>0</v>
      </c>
      <c r="G469" s="10">
        <v>0</v>
      </c>
      <c r="H469" s="11">
        <v>440</v>
      </c>
      <c r="I469" s="12">
        <v>206</v>
      </c>
      <c r="J469" s="10">
        <v>234</v>
      </c>
      <c r="K469" s="10">
        <v>0</v>
      </c>
      <c r="L469" s="10">
        <v>0</v>
      </c>
      <c r="M469" s="10">
        <v>0</v>
      </c>
      <c r="N469" s="10">
        <v>0</v>
      </c>
      <c r="O469" s="10">
        <v>0</v>
      </c>
      <c r="P469" s="10">
        <v>0</v>
      </c>
      <c r="Q469" s="10">
        <v>0</v>
      </c>
      <c r="R469" s="10">
        <v>0</v>
      </c>
      <c r="S469" s="10">
        <v>0</v>
      </c>
      <c r="T469" s="13">
        <v>0</v>
      </c>
      <c r="U469" s="14">
        <v>0.27227135790000001</v>
      </c>
      <c r="W469" s="38">
        <f t="shared" ref="W469:W476" si="105">H469*U469</f>
        <v>119.79939747600001</v>
      </c>
      <c r="AB469" s="37" t="str">
        <f t="shared" ref="AB469:AB475" si="106">B469</f>
        <v>Parts-OTC</v>
      </c>
      <c r="AC469" s="36">
        <f t="shared" ref="AC469:AC475" si="107">I469*U469</f>
        <v>56.0878997274</v>
      </c>
    </row>
    <row r="470" spans="1:29" x14ac:dyDescent="0.25">
      <c r="A470" s="7" t="s">
        <v>60</v>
      </c>
      <c r="B470" s="15" t="s">
        <v>66</v>
      </c>
      <c r="C470" s="7" t="s">
        <v>21</v>
      </c>
      <c r="D470" s="14">
        <v>0</v>
      </c>
      <c r="E470" s="14">
        <v>0</v>
      </c>
      <c r="F470" s="14">
        <v>0</v>
      </c>
      <c r="G470" s="14">
        <v>0</v>
      </c>
      <c r="H470" s="16">
        <v>19678</v>
      </c>
      <c r="I470" s="17">
        <v>241</v>
      </c>
      <c r="J470" s="14">
        <v>628</v>
      </c>
      <c r="K470" s="14">
        <v>2004</v>
      </c>
      <c r="L470" s="14">
        <v>2144</v>
      </c>
      <c r="M470" s="14">
        <v>522</v>
      </c>
      <c r="N470" s="14">
        <v>1620</v>
      </c>
      <c r="O470" s="14">
        <v>2711</v>
      </c>
      <c r="P470" s="14">
        <v>4442</v>
      </c>
      <c r="Q470" s="14">
        <v>5356</v>
      </c>
      <c r="R470" s="14">
        <v>0</v>
      </c>
      <c r="S470" s="14">
        <v>10</v>
      </c>
      <c r="T470" s="18">
        <v>0</v>
      </c>
      <c r="U470" s="14">
        <v>0.27227135790000001</v>
      </c>
      <c r="W470" s="38">
        <f t="shared" si="105"/>
        <v>5357.7557807561998</v>
      </c>
      <c r="AB470" s="37" t="str">
        <f t="shared" si="106"/>
        <v>CTKS</v>
      </c>
      <c r="AC470" s="36">
        <f t="shared" si="107"/>
        <v>65.617397253900009</v>
      </c>
    </row>
    <row r="471" spans="1:29" x14ac:dyDescent="0.25">
      <c r="A471" s="7" t="s">
        <v>60</v>
      </c>
      <c r="B471" s="15" t="s">
        <v>13</v>
      </c>
      <c r="C471" s="7" t="s">
        <v>21</v>
      </c>
      <c r="D471" s="14">
        <v>0</v>
      </c>
      <c r="E471" s="14">
        <v>0</v>
      </c>
      <c r="F471" s="14">
        <v>0</v>
      </c>
      <c r="G471" s="14">
        <v>0</v>
      </c>
      <c r="H471" s="16">
        <v>4734</v>
      </c>
      <c r="I471" s="17">
        <v>1201</v>
      </c>
      <c r="J471" s="14">
        <v>1782</v>
      </c>
      <c r="K471" s="14">
        <v>1239</v>
      </c>
      <c r="L471" s="14">
        <v>184</v>
      </c>
      <c r="M471" s="14">
        <v>0</v>
      </c>
      <c r="N471" s="14">
        <v>0</v>
      </c>
      <c r="O471" s="14">
        <v>87</v>
      </c>
      <c r="P471" s="14">
        <v>234</v>
      </c>
      <c r="Q471" s="14">
        <v>0</v>
      </c>
      <c r="R471" s="14">
        <v>7</v>
      </c>
      <c r="S471" s="14">
        <v>0</v>
      </c>
      <c r="T471" s="18">
        <v>0</v>
      </c>
      <c r="U471" s="14">
        <v>0.27227135790000001</v>
      </c>
      <c r="W471" s="38">
        <f t="shared" si="105"/>
        <v>1288.9326082986001</v>
      </c>
      <c r="AB471" s="37" t="str">
        <f t="shared" si="106"/>
        <v>Repair</v>
      </c>
      <c r="AC471" s="36">
        <f t="shared" si="107"/>
        <v>326.99790083790003</v>
      </c>
    </row>
    <row r="472" spans="1:29" x14ac:dyDescent="0.25">
      <c r="A472" s="7" t="s">
        <v>60</v>
      </c>
      <c r="B472" s="15" t="s">
        <v>67</v>
      </c>
      <c r="C472" s="7" t="s">
        <v>21</v>
      </c>
      <c r="D472" s="14">
        <v>0</v>
      </c>
      <c r="E472" s="14">
        <v>0</v>
      </c>
      <c r="F472" s="14">
        <v>0</v>
      </c>
      <c r="G472" s="14">
        <v>0</v>
      </c>
      <c r="H472" s="16">
        <v>7320</v>
      </c>
      <c r="I472" s="17">
        <v>1090</v>
      </c>
      <c r="J472" s="14">
        <v>1266</v>
      </c>
      <c r="K472" s="14">
        <v>977</v>
      </c>
      <c r="L472" s="14">
        <v>786</v>
      </c>
      <c r="M472" s="14">
        <v>712</v>
      </c>
      <c r="N472" s="14">
        <v>563</v>
      </c>
      <c r="O472" s="14">
        <v>521</v>
      </c>
      <c r="P472" s="14">
        <v>350</v>
      </c>
      <c r="Q472" s="14">
        <v>138</v>
      </c>
      <c r="R472" s="14">
        <v>522</v>
      </c>
      <c r="S472" s="14">
        <v>100</v>
      </c>
      <c r="T472" s="18">
        <v>295</v>
      </c>
      <c r="U472" s="14">
        <v>0.27227135790000001</v>
      </c>
      <c r="W472" s="38">
        <f t="shared" si="105"/>
        <v>1993.0263398280001</v>
      </c>
      <c r="AB472" s="37" t="str">
        <f t="shared" si="106"/>
        <v>Rental</v>
      </c>
      <c r="AC472" s="36">
        <f t="shared" si="107"/>
        <v>296.77578011100002</v>
      </c>
    </row>
    <row r="473" spans="1:29" x14ac:dyDescent="0.25">
      <c r="A473" s="7" t="s">
        <v>60</v>
      </c>
      <c r="B473" s="15" t="s">
        <v>73</v>
      </c>
      <c r="C473" s="7" t="s">
        <v>21</v>
      </c>
      <c r="D473" s="14">
        <v>0</v>
      </c>
      <c r="E473" s="14">
        <v>0</v>
      </c>
      <c r="F473" s="14">
        <v>0</v>
      </c>
      <c r="G473" s="14">
        <v>0</v>
      </c>
      <c r="H473" s="16">
        <v>5486</v>
      </c>
      <c r="I473" s="17">
        <v>2493</v>
      </c>
      <c r="J473" s="14">
        <v>1165</v>
      </c>
      <c r="K473" s="14">
        <v>639</v>
      </c>
      <c r="L473" s="14">
        <v>453</v>
      </c>
      <c r="M473" s="14">
        <v>0</v>
      </c>
      <c r="N473" s="14">
        <v>0</v>
      </c>
      <c r="O473" s="14">
        <v>0</v>
      </c>
      <c r="P473" s="14">
        <v>284</v>
      </c>
      <c r="Q473" s="14">
        <v>452</v>
      </c>
      <c r="R473" s="14">
        <v>0</v>
      </c>
      <c r="S473" s="14">
        <v>0</v>
      </c>
      <c r="T473" s="18">
        <v>0</v>
      </c>
      <c r="U473" s="14">
        <v>0.27227135790000001</v>
      </c>
      <c r="W473" s="38">
        <f t="shared" si="105"/>
        <v>1493.6806694394002</v>
      </c>
      <c r="AB473" s="37"/>
    </row>
    <row r="474" spans="1:29" x14ac:dyDescent="0.25">
      <c r="A474" s="7" t="s">
        <v>60</v>
      </c>
      <c r="B474" s="15" t="s">
        <v>19</v>
      </c>
      <c r="C474" s="7" t="s">
        <v>21</v>
      </c>
      <c r="D474" s="14">
        <v>0</v>
      </c>
      <c r="E474" s="14">
        <v>0</v>
      </c>
      <c r="F474" s="14">
        <v>0</v>
      </c>
      <c r="G474" s="14">
        <v>0</v>
      </c>
      <c r="H474" s="16">
        <v>15892</v>
      </c>
      <c r="I474" s="17">
        <v>2079</v>
      </c>
      <c r="J474" s="14">
        <v>1231</v>
      </c>
      <c r="K474" s="14">
        <v>3299</v>
      </c>
      <c r="L474" s="14">
        <v>791</v>
      </c>
      <c r="M474" s="14">
        <v>1413</v>
      </c>
      <c r="N474" s="14">
        <v>2322</v>
      </c>
      <c r="O474" s="14">
        <v>593</v>
      </c>
      <c r="P474" s="14">
        <v>385</v>
      </c>
      <c r="Q474" s="14">
        <v>3278</v>
      </c>
      <c r="R474" s="14">
        <v>164</v>
      </c>
      <c r="S474" s="14">
        <v>190</v>
      </c>
      <c r="T474" s="18">
        <v>147</v>
      </c>
      <c r="U474" s="14">
        <v>0.27227135790000001</v>
      </c>
      <c r="W474" s="38">
        <f t="shared" si="105"/>
        <v>4326.9364197468003</v>
      </c>
      <c r="AB474" s="37" t="str">
        <f t="shared" si="106"/>
        <v>Maintenance</v>
      </c>
      <c r="AC474" s="36">
        <f t="shared" si="107"/>
        <v>566.05215307410003</v>
      </c>
    </row>
    <row r="475" spans="1:29" ht="13" thickBot="1" x14ac:dyDescent="0.3">
      <c r="A475" s="7" t="s">
        <v>60</v>
      </c>
      <c r="B475" s="19" t="s">
        <v>20</v>
      </c>
      <c r="C475" s="20" t="s">
        <v>21</v>
      </c>
      <c r="D475" s="21">
        <v>0</v>
      </c>
      <c r="E475" s="21">
        <v>0</v>
      </c>
      <c r="F475" s="21">
        <v>0</v>
      </c>
      <c r="G475" s="21">
        <v>0</v>
      </c>
      <c r="H475" s="22">
        <v>326</v>
      </c>
      <c r="I475" s="23">
        <v>73</v>
      </c>
      <c r="J475" s="21">
        <v>157</v>
      </c>
      <c r="K475" s="21">
        <v>0</v>
      </c>
      <c r="L475" s="21">
        <v>59</v>
      </c>
      <c r="M475" s="21">
        <v>37</v>
      </c>
      <c r="N475" s="21">
        <v>0</v>
      </c>
      <c r="O475" s="21">
        <v>0</v>
      </c>
      <c r="P475" s="21">
        <v>0</v>
      </c>
      <c r="Q475" s="21">
        <v>0</v>
      </c>
      <c r="R475" s="21">
        <v>0</v>
      </c>
      <c r="S475" s="21">
        <v>0</v>
      </c>
      <c r="T475" s="24">
        <v>0</v>
      </c>
      <c r="U475" s="14">
        <v>0.27227135790000001</v>
      </c>
      <c r="W475" s="38">
        <f t="shared" si="105"/>
        <v>88.760462675400007</v>
      </c>
      <c r="AB475" s="37" t="str">
        <f t="shared" si="106"/>
        <v>Startup</v>
      </c>
      <c r="AC475" s="36">
        <f t="shared" si="107"/>
        <v>19.875809126700002</v>
      </c>
    </row>
    <row r="476" spans="1:29" ht="13" thickBot="1" x14ac:dyDescent="0.3">
      <c r="A476" s="20" t="s">
        <v>60</v>
      </c>
      <c r="B476" s="25" t="s">
        <v>12</v>
      </c>
      <c r="C476" s="26" t="s">
        <v>21</v>
      </c>
      <c r="D476" s="27">
        <v>0</v>
      </c>
      <c r="E476" s="27">
        <v>0</v>
      </c>
      <c r="F476" s="27">
        <v>0</v>
      </c>
      <c r="G476" s="27">
        <v>0</v>
      </c>
      <c r="H476" s="28">
        <v>53876</v>
      </c>
      <c r="I476" s="29">
        <v>7383</v>
      </c>
      <c r="J476" s="27">
        <v>6463</v>
      </c>
      <c r="K476" s="27">
        <v>8158</v>
      </c>
      <c r="L476" s="27">
        <v>4417</v>
      </c>
      <c r="M476" s="27">
        <v>2684</v>
      </c>
      <c r="N476" s="27">
        <v>4505</v>
      </c>
      <c r="O476" s="27">
        <v>3912</v>
      </c>
      <c r="P476" s="27">
        <v>5695</v>
      </c>
      <c r="Q476" s="27">
        <v>9224</v>
      </c>
      <c r="R476" s="27">
        <v>693</v>
      </c>
      <c r="S476" s="27">
        <v>300</v>
      </c>
      <c r="T476" s="29">
        <v>442</v>
      </c>
      <c r="U476" s="14">
        <v>0.27227135790000001</v>
      </c>
      <c r="W476" s="38">
        <f t="shared" si="105"/>
        <v>14668.891678220401</v>
      </c>
      <c r="X476" s="35">
        <f>W475+W474+W471</f>
        <v>5704.6294907208003</v>
      </c>
      <c r="Y476" s="35">
        <f>W469</f>
        <v>119.79939747600001</v>
      </c>
      <c r="Z476" s="40">
        <f>V467/X476</f>
        <v>0</v>
      </c>
      <c r="AA476" s="40">
        <f>IF((Y476=0),0,Y468/Y476)</f>
        <v>34.756818181818183</v>
      </c>
      <c r="AB476" s="48"/>
      <c r="AC476" s="48"/>
    </row>
    <row r="477" spans="1:29" ht="13" thickBot="1" x14ac:dyDescent="0.3">
      <c r="A477" s="9" t="s">
        <v>89</v>
      </c>
      <c r="B477" s="30" t="s">
        <v>15</v>
      </c>
      <c r="C477" s="31" t="s">
        <v>94</v>
      </c>
      <c r="D477" s="32" t="s">
        <v>47</v>
      </c>
      <c r="E477" s="53" t="s">
        <v>104</v>
      </c>
      <c r="F477" s="53" t="s">
        <v>105</v>
      </c>
      <c r="G477" s="53" t="s">
        <v>106</v>
      </c>
      <c r="H477" s="28" t="s">
        <v>12</v>
      </c>
      <c r="I477" s="54" t="s">
        <v>107</v>
      </c>
      <c r="J477" s="53" t="s">
        <v>108</v>
      </c>
      <c r="K477" s="53" t="s">
        <v>109</v>
      </c>
      <c r="L477" s="53" t="s">
        <v>110</v>
      </c>
      <c r="M477" s="53" t="s">
        <v>111</v>
      </c>
      <c r="N477" s="53" t="s">
        <v>115</v>
      </c>
      <c r="O477" s="53" t="s">
        <v>120</v>
      </c>
      <c r="P477" s="53" t="s">
        <v>121</v>
      </c>
      <c r="Q477" s="53" t="s">
        <v>164</v>
      </c>
      <c r="R477" s="53" t="s">
        <v>173</v>
      </c>
      <c r="S477" s="53" t="s">
        <v>177</v>
      </c>
      <c r="T477" s="55" t="s">
        <v>182</v>
      </c>
      <c r="U477" s="14">
        <v>2.1000000000000001E-2</v>
      </c>
      <c r="V477" s="14" t="s">
        <v>183</v>
      </c>
      <c r="W477" s="35"/>
      <c r="X477" s="14" t="s">
        <v>37</v>
      </c>
      <c r="Y477" s="14" t="s">
        <v>38</v>
      </c>
      <c r="AB477" s="48"/>
      <c r="AC477" s="48"/>
    </row>
    <row r="478" spans="1:29" x14ac:dyDescent="0.25">
      <c r="A478" s="7" t="s">
        <v>89</v>
      </c>
      <c r="B478" s="8" t="s">
        <v>17</v>
      </c>
      <c r="C478" s="9" t="s">
        <v>18</v>
      </c>
      <c r="D478" s="10">
        <v>0</v>
      </c>
      <c r="E478" s="10">
        <v>0</v>
      </c>
      <c r="F478" s="10">
        <v>0</v>
      </c>
      <c r="G478" s="10">
        <v>0</v>
      </c>
      <c r="H478" s="11">
        <v>185</v>
      </c>
      <c r="I478" s="12">
        <v>0</v>
      </c>
      <c r="J478" s="10">
        <v>0</v>
      </c>
      <c r="K478" s="10">
        <v>185</v>
      </c>
      <c r="L478" s="10">
        <v>0</v>
      </c>
      <c r="M478" s="10">
        <v>0</v>
      </c>
      <c r="N478" s="10">
        <v>0</v>
      </c>
      <c r="O478" s="10">
        <v>0</v>
      </c>
      <c r="P478" s="10">
        <v>0</v>
      </c>
      <c r="Q478" s="10">
        <v>0</v>
      </c>
      <c r="R478" s="10">
        <v>0</v>
      </c>
      <c r="S478" s="10">
        <v>0</v>
      </c>
      <c r="T478" s="13">
        <v>0</v>
      </c>
      <c r="U478" s="14">
        <v>2.1000000000000001E-2</v>
      </c>
      <c r="V478" s="42">
        <f>SUM(I478:T478)/H478</f>
        <v>1</v>
      </c>
      <c r="W478" s="39">
        <f>SUM(I478:T478)*U478</f>
        <v>3.8850000000000002</v>
      </c>
    </row>
    <row r="479" spans="1:29" x14ac:dyDescent="0.25">
      <c r="A479" s="7" t="s">
        <v>89</v>
      </c>
      <c r="B479" s="15" t="s">
        <v>66</v>
      </c>
      <c r="C479" s="7" t="s">
        <v>18</v>
      </c>
      <c r="D479" s="14">
        <v>0</v>
      </c>
      <c r="E479" s="14">
        <v>0</v>
      </c>
      <c r="F479" s="14">
        <v>0</v>
      </c>
      <c r="G479" s="14">
        <v>0</v>
      </c>
      <c r="H479" s="16">
        <v>0</v>
      </c>
      <c r="I479" s="17">
        <v>0</v>
      </c>
      <c r="J479" s="14">
        <v>0</v>
      </c>
      <c r="K479" s="14">
        <v>0</v>
      </c>
      <c r="L479" s="14">
        <v>0</v>
      </c>
      <c r="M479" s="14">
        <v>0</v>
      </c>
      <c r="N479" s="14">
        <v>0</v>
      </c>
      <c r="O479" s="14">
        <v>0</v>
      </c>
      <c r="P479" s="14">
        <v>0</v>
      </c>
      <c r="Q479" s="14">
        <v>0</v>
      </c>
      <c r="R479" s="14">
        <v>0</v>
      </c>
      <c r="S479" s="14">
        <v>0</v>
      </c>
      <c r="T479" s="18">
        <v>0</v>
      </c>
      <c r="U479" s="14">
        <v>2.1000000000000001E-2</v>
      </c>
      <c r="V479" s="44"/>
      <c r="W479" s="39">
        <f t="shared" ref="W479:W485" si="108">SUM(I479:T479)*U479</f>
        <v>0</v>
      </c>
    </row>
    <row r="480" spans="1:29" x14ac:dyDescent="0.25">
      <c r="A480" s="7" t="s">
        <v>89</v>
      </c>
      <c r="B480" s="15" t="s">
        <v>13</v>
      </c>
      <c r="C480" s="7" t="s">
        <v>18</v>
      </c>
      <c r="D480" s="14">
        <v>0</v>
      </c>
      <c r="E480" s="14">
        <v>0</v>
      </c>
      <c r="F480" s="14">
        <v>0</v>
      </c>
      <c r="G480" s="14">
        <v>0</v>
      </c>
      <c r="H480" s="16">
        <v>3155</v>
      </c>
      <c r="I480" s="17">
        <v>0</v>
      </c>
      <c r="J480" s="14">
        <v>1820</v>
      </c>
      <c r="K480" s="14">
        <v>0</v>
      </c>
      <c r="L480" s="14">
        <v>0</v>
      </c>
      <c r="M480" s="14">
        <v>0</v>
      </c>
      <c r="N480" s="14">
        <v>1335</v>
      </c>
      <c r="O480" s="14">
        <v>0</v>
      </c>
      <c r="P480" s="14">
        <v>0</v>
      </c>
      <c r="Q480" s="14">
        <v>0</v>
      </c>
      <c r="R480" s="14">
        <v>0</v>
      </c>
      <c r="S480" s="14">
        <v>0</v>
      </c>
      <c r="T480" s="18">
        <v>0</v>
      </c>
      <c r="U480" s="14">
        <v>2.1000000000000001E-2</v>
      </c>
      <c r="V480" s="41"/>
      <c r="W480" s="39">
        <f t="shared" si="108"/>
        <v>66.25500000000001</v>
      </c>
    </row>
    <row r="481" spans="1:29" x14ac:dyDescent="0.25">
      <c r="A481" s="7" t="s">
        <v>89</v>
      </c>
      <c r="B481" s="15" t="s">
        <v>67</v>
      </c>
      <c r="C481" s="7" t="s">
        <v>18</v>
      </c>
      <c r="D481" s="14">
        <v>0</v>
      </c>
      <c r="E481" s="14">
        <v>0</v>
      </c>
      <c r="F481" s="14">
        <v>0</v>
      </c>
      <c r="G481" s="14">
        <v>0</v>
      </c>
      <c r="H481" s="16">
        <v>0</v>
      </c>
      <c r="I481" s="17">
        <v>0</v>
      </c>
      <c r="J481" s="14">
        <v>0</v>
      </c>
      <c r="K481" s="14">
        <v>0</v>
      </c>
      <c r="L481" s="14">
        <v>0</v>
      </c>
      <c r="M481" s="14">
        <v>0</v>
      </c>
      <c r="N481" s="14">
        <v>0</v>
      </c>
      <c r="O481" s="14">
        <v>0</v>
      </c>
      <c r="P481" s="14">
        <v>0</v>
      </c>
      <c r="Q481" s="14">
        <v>0</v>
      </c>
      <c r="R481" s="14">
        <v>0</v>
      </c>
      <c r="S481" s="14">
        <v>0</v>
      </c>
      <c r="T481" s="18">
        <v>0</v>
      </c>
      <c r="U481" s="14">
        <v>2.1000000000000001E-2</v>
      </c>
      <c r="V481" s="41"/>
      <c r="W481" s="39">
        <f t="shared" si="108"/>
        <v>0</v>
      </c>
    </row>
    <row r="482" spans="1:29" x14ac:dyDescent="0.25">
      <c r="A482" s="7" t="s">
        <v>89</v>
      </c>
      <c r="B482" s="15" t="s">
        <v>73</v>
      </c>
      <c r="C482" s="7" t="s">
        <v>18</v>
      </c>
      <c r="D482" s="14">
        <v>0</v>
      </c>
      <c r="E482" s="14">
        <v>0</v>
      </c>
      <c r="F482" s="14">
        <v>0</v>
      </c>
      <c r="G482" s="14">
        <v>0</v>
      </c>
      <c r="H482" s="16">
        <v>0</v>
      </c>
      <c r="I482" s="17">
        <v>0</v>
      </c>
      <c r="J482" s="14">
        <v>0</v>
      </c>
      <c r="K482" s="14">
        <v>0</v>
      </c>
      <c r="L482" s="14">
        <v>0</v>
      </c>
      <c r="M482" s="14">
        <v>0</v>
      </c>
      <c r="N482" s="14">
        <v>0</v>
      </c>
      <c r="O482" s="14">
        <v>0</v>
      </c>
      <c r="P482" s="14">
        <v>0</v>
      </c>
      <c r="Q482" s="14">
        <v>0</v>
      </c>
      <c r="R482" s="14">
        <v>0</v>
      </c>
      <c r="S482" s="14">
        <v>0</v>
      </c>
      <c r="T482" s="18">
        <v>0</v>
      </c>
      <c r="U482" s="14">
        <v>2.1000000000000001E-2</v>
      </c>
      <c r="V482" s="41"/>
      <c r="W482" s="39">
        <f t="shared" si="108"/>
        <v>0</v>
      </c>
    </row>
    <row r="483" spans="1:29" x14ac:dyDescent="0.25">
      <c r="A483" s="7" t="s">
        <v>89</v>
      </c>
      <c r="B483" s="15" t="s">
        <v>19</v>
      </c>
      <c r="C483" s="7" t="s">
        <v>18</v>
      </c>
      <c r="D483" s="14">
        <v>0</v>
      </c>
      <c r="E483" s="14">
        <v>0</v>
      </c>
      <c r="F483" s="14">
        <v>0</v>
      </c>
      <c r="G483" s="14">
        <v>0</v>
      </c>
      <c r="H483" s="16">
        <v>3975</v>
      </c>
      <c r="I483" s="17">
        <v>533</v>
      </c>
      <c r="J483" s="14">
        <v>2515</v>
      </c>
      <c r="K483" s="14">
        <v>892</v>
      </c>
      <c r="L483" s="14">
        <v>35</v>
      </c>
      <c r="M483" s="14">
        <v>0</v>
      </c>
      <c r="N483" s="14">
        <v>0</v>
      </c>
      <c r="O483" s="14">
        <v>0</v>
      </c>
      <c r="P483" s="14">
        <v>0</v>
      </c>
      <c r="Q483" s="14">
        <v>0</v>
      </c>
      <c r="R483" s="14">
        <v>0</v>
      </c>
      <c r="S483" s="14">
        <v>0</v>
      </c>
      <c r="T483" s="18">
        <v>0</v>
      </c>
      <c r="U483" s="14">
        <v>2.1000000000000001E-2</v>
      </c>
      <c r="V483" s="41"/>
      <c r="W483" s="39">
        <f t="shared" si="108"/>
        <v>83.475000000000009</v>
      </c>
    </row>
    <row r="484" spans="1:29" ht="13" thickBot="1" x14ac:dyDescent="0.3">
      <c r="A484" s="7" t="s">
        <v>89</v>
      </c>
      <c r="B484" s="19" t="s">
        <v>20</v>
      </c>
      <c r="C484" s="20" t="s">
        <v>18</v>
      </c>
      <c r="D484" s="21">
        <v>0</v>
      </c>
      <c r="E484" s="21">
        <v>0</v>
      </c>
      <c r="F484" s="21">
        <v>0</v>
      </c>
      <c r="G484" s="21">
        <v>0</v>
      </c>
      <c r="H484" s="22">
        <v>0</v>
      </c>
      <c r="I484" s="23">
        <v>0</v>
      </c>
      <c r="J484" s="21">
        <v>0</v>
      </c>
      <c r="K484" s="21">
        <v>0</v>
      </c>
      <c r="L484" s="21">
        <v>0</v>
      </c>
      <c r="M484" s="21">
        <v>0</v>
      </c>
      <c r="N484" s="21">
        <v>0</v>
      </c>
      <c r="O484" s="21">
        <v>0</v>
      </c>
      <c r="P484" s="21">
        <v>0</v>
      </c>
      <c r="Q484" s="21">
        <v>0</v>
      </c>
      <c r="R484" s="21">
        <v>0</v>
      </c>
      <c r="S484" s="21">
        <v>0</v>
      </c>
      <c r="T484" s="24">
        <v>0</v>
      </c>
      <c r="U484" s="14">
        <v>2.1000000000000001E-2</v>
      </c>
      <c r="V484" s="44"/>
      <c r="W484" s="39">
        <f t="shared" si="108"/>
        <v>0</v>
      </c>
    </row>
    <row r="485" spans="1:29" ht="13" thickBot="1" x14ac:dyDescent="0.3">
      <c r="A485" s="7" t="s">
        <v>89</v>
      </c>
      <c r="B485" s="25" t="s">
        <v>12</v>
      </c>
      <c r="C485" s="26" t="s">
        <v>18</v>
      </c>
      <c r="D485" s="27">
        <v>0</v>
      </c>
      <c r="E485" s="27">
        <v>0</v>
      </c>
      <c r="F485" s="27">
        <v>0</v>
      </c>
      <c r="G485" s="27">
        <v>0</v>
      </c>
      <c r="H485" s="28">
        <v>7315</v>
      </c>
      <c r="I485" s="29">
        <v>533</v>
      </c>
      <c r="J485" s="27">
        <v>4335</v>
      </c>
      <c r="K485" s="27">
        <v>1077</v>
      </c>
      <c r="L485" s="27">
        <v>35</v>
      </c>
      <c r="M485" s="27">
        <v>0</v>
      </c>
      <c r="N485" s="27">
        <v>1335</v>
      </c>
      <c r="O485" s="27">
        <v>0</v>
      </c>
      <c r="P485" s="27">
        <v>0</v>
      </c>
      <c r="Q485" s="27">
        <v>0</v>
      </c>
      <c r="R485" s="27">
        <v>0</v>
      </c>
      <c r="S485" s="27">
        <v>0</v>
      </c>
      <c r="T485" s="29">
        <v>0</v>
      </c>
      <c r="U485" s="14">
        <v>2.1000000000000001E-2</v>
      </c>
      <c r="V485" s="43">
        <f>SUM(I480:T483)/SUM(H480:H483)</f>
        <v>1</v>
      </c>
      <c r="W485" s="39">
        <f t="shared" si="108"/>
        <v>153.61500000000001</v>
      </c>
      <c r="X485" s="35">
        <f>W483+W480</f>
        <v>149.73000000000002</v>
      </c>
      <c r="Y485" s="35">
        <f>W478</f>
        <v>3.8850000000000002</v>
      </c>
    </row>
    <row r="486" spans="1:29" x14ac:dyDescent="0.25">
      <c r="A486" s="7" t="s">
        <v>89</v>
      </c>
      <c r="B486" s="8" t="s">
        <v>17</v>
      </c>
      <c r="C486" s="9" t="s">
        <v>21</v>
      </c>
      <c r="D486" s="10">
        <v>0</v>
      </c>
      <c r="E486" s="10">
        <v>0</v>
      </c>
      <c r="F486" s="10">
        <v>0</v>
      </c>
      <c r="G486" s="10">
        <v>0</v>
      </c>
      <c r="H486" s="11">
        <v>0</v>
      </c>
      <c r="I486" s="12">
        <v>0</v>
      </c>
      <c r="J486" s="10">
        <v>0</v>
      </c>
      <c r="K486" s="10">
        <v>0</v>
      </c>
      <c r="L486" s="10">
        <v>0</v>
      </c>
      <c r="M486" s="10">
        <v>0</v>
      </c>
      <c r="N486" s="10">
        <v>0</v>
      </c>
      <c r="O486" s="10">
        <v>0</v>
      </c>
      <c r="P486" s="10">
        <v>0</v>
      </c>
      <c r="Q486" s="10">
        <v>0</v>
      </c>
      <c r="R486" s="10">
        <v>0</v>
      </c>
      <c r="S486" s="10">
        <v>0</v>
      </c>
      <c r="T486" s="13">
        <v>0</v>
      </c>
      <c r="U486" s="14">
        <v>2.1000000000000001E-2</v>
      </c>
      <c r="W486" s="38">
        <f t="shared" ref="W486:W510" si="109">H486*U486</f>
        <v>0</v>
      </c>
      <c r="AB486" s="37" t="str">
        <f t="shared" ref="AB486:AB492" si="110">B486</f>
        <v>Parts-OTC</v>
      </c>
      <c r="AC486" s="36">
        <f t="shared" ref="AC486:AC492" si="111">I486*U486</f>
        <v>0</v>
      </c>
    </row>
    <row r="487" spans="1:29" x14ac:dyDescent="0.25">
      <c r="A487" s="7" t="s">
        <v>89</v>
      </c>
      <c r="B487" s="15" t="s">
        <v>66</v>
      </c>
      <c r="C487" s="7" t="s">
        <v>21</v>
      </c>
      <c r="D487" s="14">
        <v>0</v>
      </c>
      <c r="E487" s="14">
        <v>0</v>
      </c>
      <c r="F487" s="14">
        <v>0</v>
      </c>
      <c r="G487" s="14">
        <v>0</v>
      </c>
      <c r="H487" s="16">
        <v>0</v>
      </c>
      <c r="I487" s="17">
        <v>0</v>
      </c>
      <c r="J487" s="14">
        <v>0</v>
      </c>
      <c r="K487" s="14">
        <v>0</v>
      </c>
      <c r="L487" s="14">
        <v>0</v>
      </c>
      <c r="M487" s="14">
        <v>0</v>
      </c>
      <c r="N487" s="14">
        <v>0</v>
      </c>
      <c r="O487" s="14">
        <v>0</v>
      </c>
      <c r="P487" s="14">
        <v>0</v>
      </c>
      <c r="Q487" s="14">
        <v>0</v>
      </c>
      <c r="R487" s="14">
        <v>0</v>
      </c>
      <c r="S487" s="14">
        <v>0</v>
      </c>
      <c r="T487" s="18">
        <v>0</v>
      </c>
      <c r="U487" s="14">
        <v>2.1000000000000001E-2</v>
      </c>
      <c r="W487" s="38">
        <f t="shared" si="109"/>
        <v>0</v>
      </c>
      <c r="AB487" s="37" t="str">
        <f t="shared" si="110"/>
        <v>CTKS</v>
      </c>
      <c r="AC487" s="36">
        <f t="shared" si="111"/>
        <v>0</v>
      </c>
    </row>
    <row r="488" spans="1:29" x14ac:dyDescent="0.25">
      <c r="A488" s="7" t="s">
        <v>89</v>
      </c>
      <c r="B488" s="15" t="s">
        <v>13</v>
      </c>
      <c r="C488" s="7" t="s">
        <v>21</v>
      </c>
      <c r="D488" s="14">
        <v>0</v>
      </c>
      <c r="E488" s="14">
        <v>0</v>
      </c>
      <c r="F488" s="14">
        <v>0</v>
      </c>
      <c r="G488" s="14">
        <v>0</v>
      </c>
      <c r="H488" s="16">
        <v>6394</v>
      </c>
      <c r="I488" s="33">
        <v>426</v>
      </c>
      <c r="J488" s="34">
        <v>0</v>
      </c>
      <c r="K488" s="34">
        <v>0</v>
      </c>
      <c r="L488" s="14">
        <v>0</v>
      </c>
      <c r="M488" s="14">
        <v>0</v>
      </c>
      <c r="N488" s="14">
        <v>0</v>
      </c>
      <c r="O488" s="14">
        <v>5880</v>
      </c>
      <c r="P488" s="14">
        <v>0</v>
      </c>
      <c r="Q488" s="14">
        <v>0</v>
      </c>
      <c r="R488" s="14">
        <v>88</v>
      </c>
      <c r="S488" s="14">
        <v>0</v>
      </c>
      <c r="T488" s="18">
        <v>0</v>
      </c>
      <c r="U488" s="14">
        <v>2.1000000000000001E-2</v>
      </c>
      <c r="W488" s="38">
        <f t="shared" si="109"/>
        <v>134.274</v>
      </c>
      <c r="AB488" s="37" t="str">
        <f t="shared" si="110"/>
        <v>Repair</v>
      </c>
      <c r="AC488" s="36">
        <f t="shared" si="111"/>
        <v>8.9459999999999997</v>
      </c>
    </row>
    <row r="489" spans="1:29" x14ac:dyDescent="0.25">
      <c r="A489" s="7" t="s">
        <v>89</v>
      </c>
      <c r="B489" s="15" t="s">
        <v>67</v>
      </c>
      <c r="C489" s="7" t="s">
        <v>21</v>
      </c>
      <c r="D489" s="14">
        <v>0</v>
      </c>
      <c r="E489" s="14">
        <v>0</v>
      </c>
      <c r="F489" s="14">
        <v>0</v>
      </c>
      <c r="G489" s="14">
        <v>0</v>
      </c>
      <c r="H489" s="16">
        <v>0</v>
      </c>
      <c r="I489" s="17">
        <v>0</v>
      </c>
      <c r="J489" s="14">
        <v>0</v>
      </c>
      <c r="K489" s="14">
        <v>0</v>
      </c>
      <c r="L489" s="14">
        <v>0</v>
      </c>
      <c r="M489" s="14">
        <v>0</v>
      </c>
      <c r="N489" s="14">
        <v>0</v>
      </c>
      <c r="O489" s="14">
        <v>0</v>
      </c>
      <c r="P489" s="14">
        <v>0</v>
      </c>
      <c r="Q489" s="14">
        <v>0</v>
      </c>
      <c r="R489" s="14">
        <v>0</v>
      </c>
      <c r="S489" s="14">
        <v>0</v>
      </c>
      <c r="T489" s="18">
        <v>0</v>
      </c>
      <c r="U489" s="14">
        <v>2.1000000000000001E-2</v>
      </c>
      <c r="W489" s="38">
        <f t="shared" si="109"/>
        <v>0</v>
      </c>
      <c r="AB489" s="37" t="str">
        <f t="shared" si="110"/>
        <v>Rental</v>
      </c>
      <c r="AC489" s="36">
        <f t="shared" si="111"/>
        <v>0</v>
      </c>
    </row>
    <row r="490" spans="1:29" x14ac:dyDescent="0.25">
      <c r="A490" s="7" t="s">
        <v>89</v>
      </c>
      <c r="B490" s="15" t="s">
        <v>73</v>
      </c>
      <c r="C490" s="7" t="s">
        <v>21</v>
      </c>
      <c r="D490" s="14">
        <v>0</v>
      </c>
      <c r="E490" s="14">
        <v>0</v>
      </c>
      <c r="F490" s="14">
        <v>0</v>
      </c>
      <c r="G490" s="14">
        <v>0</v>
      </c>
      <c r="H490" s="16">
        <v>3623</v>
      </c>
      <c r="I490" s="17">
        <v>0</v>
      </c>
      <c r="J490" s="14">
        <v>0</v>
      </c>
      <c r="K490" s="14">
        <v>0</v>
      </c>
      <c r="L490" s="14">
        <v>0</v>
      </c>
      <c r="M490" s="14">
        <v>0</v>
      </c>
      <c r="N490" s="14">
        <v>631</v>
      </c>
      <c r="O490" s="14">
        <v>0</v>
      </c>
      <c r="P490" s="14">
        <v>2992</v>
      </c>
      <c r="Q490" s="14">
        <v>0</v>
      </c>
      <c r="R490" s="14">
        <v>0</v>
      </c>
      <c r="S490" s="14">
        <v>0</v>
      </c>
      <c r="T490" s="18">
        <v>0</v>
      </c>
      <c r="U490" s="14">
        <v>2.1000000000000001E-2</v>
      </c>
      <c r="W490" s="38">
        <f t="shared" si="109"/>
        <v>76.082999999999998</v>
      </c>
      <c r="AB490" s="37"/>
    </row>
    <row r="491" spans="1:29" x14ac:dyDescent="0.25">
      <c r="A491" s="7" t="s">
        <v>89</v>
      </c>
      <c r="B491" s="15" t="s">
        <v>19</v>
      </c>
      <c r="C491" s="7" t="s">
        <v>21</v>
      </c>
      <c r="D491" s="14">
        <v>0</v>
      </c>
      <c r="E491" s="14">
        <v>0</v>
      </c>
      <c r="F491" s="14">
        <v>0</v>
      </c>
      <c r="G491" s="14">
        <v>0</v>
      </c>
      <c r="H491" s="16">
        <v>1349</v>
      </c>
      <c r="I491" s="17">
        <v>344</v>
      </c>
      <c r="J491" s="14">
        <v>0</v>
      </c>
      <c r="K491" s="14">
        <v>10</v>
      </c>
      <c r="L491" s="14">
        <v>470</v>
      </c>
      <c r="M491" s="14">
        <v>0</v>
      </c>
      <c r="N491" s="14">
        <v>10</v>
      </c>
      <c r="O491" s="14">
        <v>367</v>
      </c>
      <c r="P491" s="14">
        <v>0</v>
      </c>
      <c r="Q491" s="14">
        <v>10</v>
      </c>
      <c r="R491" s="14">
        <v>138</v>
      </c>
      <c r="S491" s="14">
        <v>0</v>
      </c>
      <c r="T491" s="18">
        <v>0</v>
      </c>
      <c r="U491" s="14">
        <v>2.1000000000000001E-2</v>
      </c>
      <c r="W491" s="38">
        <f t="shared" si="109"/>
        <v>28.329000000000001</v>
      </c>
      <c r="AB491" s="37" t="str">
        <f t="shared" si="110"/>
        <v>Maintenance</v>
      </c>
      <c r="AC491" s="36">
        <f t="shared" si="111"/>
        <v>7.2240000000000002</v>
      </c>
    </row>
    <row r="492" spans="1:29" ht="13" thickBot="1" x14ac:dyDescent="0.3">
      <c r="A492" s="7" t="s">
        <v>89</v>
      </c>
      <c r="B492" s="19" t="s">
        <v>20</v>
      </c>
      <c r="C492" s="20" t="s">
        <v>21</v>
      </c>
      <c r="D492" s="21">
        <v>0</v>
      </c>
      <c r="E492" s="21">
        <v>0</v>
      </c>
      <c r="F492" s="21">
        <v>0</v>
      </c>
      <c r="G492" s="21">
        <v>0</v>
      </c>
      <c r="H492" s="22">
        <v>0</v>
      </c>
      <c r="I492" s="23">
        <v>0</v>
      </c>
      <c r="J492" s="21">
        <v>0</v>
      </c>
      <c r="K492" s="21">
        <v>0</v>
      </c>
      <c r="L492" s="21">
        <v>0</v>
      </c>
      <c r="M492" s="21">
        <v>0</v>
      </c>
      <c r="N492" s="21">
        <v>0</v>
      </c>
      <c r="O492" s="21">
        <v>0</v>
      </c>
      <c r="P492" s="21">
        <v>0</v>
      </c>
      <c r="Q492" s="21">
        <v>0</v>
      </c>
      <c r="R492" s="21">
        <v>0</v>
      </c>
      <c r="S492" s="21">
        <v>0</v>
      </c>
      <c r="T492" s="24">
        <v>0</v>
      </c>
      <c r="U492" s="14">
        <v>2.1000000000000001E-2</v>
      </c>
      <c r="W492" s="38">
        <f t="shared" si="109"/>
        <v>0</v>
      </c>
      <c r="AB492" s="37" t="str">
        <f t="shared" si="110"/>
        <v>Startup</v>
      </c>
      <c r="AC492" s="36">
        <f t="shared" si="111"/>
        <v>0</v>
      </c>
    </row>
    <row r="493" spans="1:29" ht="13" thickBot="1" x14ac:dyDescent="0.3">
      <c r="A493" s="20" t="s">
        <v>89</v>
      </c>
      <c r="B493" s="25" t="s">
        <v>12</v>
      </c>
      <c r="C493" s="26" t="s">
        <v>21</v>
      </c>
      <c r="D493" s="27">
        <v>0</v>
      </c>
      <c r="E493" s="27">
        <v>0</v>
      </c>
      <c r="F493" s="27">
        <v>0</v>
      </c>
      <c r="G493" s="27">
        <v>0</v>
      </c>
      <c r="H493" s="28">
        <v>11366</v>
      </c>
      <c r="I493" s="29">
        <v>770</v>
      </c>
      <c r="J493" s="27">
        <v>0</v>
      </c>
      <c r="K493" s="27">
        <v>10</v>
      </c>
      <c r="L493" s="27">
        <v>470</v>
      </c>
      <c r="M493" s="27">
        <v>0</v>
      </c>
      <c r="N493" s="27">
        <v>641</v>
      </c>
      <c r="O493" s="27">
        <v>6247</v>
      </c>
      <c r="P493" s="27">
        <v>2992</v>
      </c>
      <c r="Q493" s="27">
        <v>10</v>
      </c>
      <c r="R493" s="27">
        <v>226</v>
      </c>
      <c r="S493" s="27">
        <v>0</v>
      </c>
      <c r="T493" s="29">
        <v>0</v>
      </c>
      <c r="U493" s="14">
        <v>2.1000000000000001E-2</v>
      </c>
      <c r="W493" s="38">
        <f t="shared" si="109"/>
        <v>238.68600000000001</v>
      </c>
      <c r="X493" s="35">
        <f>W492+W491+W488</f>
        <v>162.60300000000001</v>
      </c>
      <c r="Y493" s="35">
        <f>W486</f>
        <v>0</v>
      </c>
      <c r="Z493" s="40">
        <f>V484/X493</f>
        <v>0</v>
      </c>
      <c r="AA493" s="40">
        <f>IF((Y493=0),0,Y485/Y493)</f>
        <v>0</v>
      </c>
      <c r="AB493" s="48"/>
      <c r="AC493" s="48"/>
    </row>
    <row r="494" spans="1:29" ht="13" thickBot="1" x14ac:dyDescent="0.3">
      <c r="A494" s="9" t="s">
        <v>88</v>
      </c>
      <c r="B494" s="30" t="s">
        <v>15</v>
      </c>
      <c r="C494" s="31" t="s">
        <v>94</v>
      </c>
      <c r="D494" s="32" t="s">
        <v>47</v>
      </c>
      <c r="E494" s="53" t="s">
        <v>104</v>
      </c>
      <c r="F494" s="53" t="s">
        <v>105</v>
      </c>
      <c r="G494" s="53" t="s">
        <v>106</v>
      </c>
      <c r="H494" s="28" t="s">
        <v>12</v>
      </c>
      <c r="I494" s="54" t="s">
        <v>107</v>
      </c>
      <c r="J494" s="53" t="s">
        <v>108</v>
      </c>
      <c r="K494" s="53" t="s">
        <v>109</v>
      </c>
      <c r="L494" s="53" t="s">
        <v>110</v>
      </c>
      <c r="M494" s="53" t="s">
        <v>111</v>
      </c>
      <c r="N494" s="53" t="s">
        <v>115</v>
      </c>
      <c r="O494" s="53" t="s">
        <v>120</v>
      </c>
      <c r="P494" s="53" t="s">
        <v>121</v>
      </c>
      <c r="Q494" s="53" t="s">
        <v>164</v>
      </c>
      <c r="R494" s="53" t="s">
        <v>173</v>
      </c>
      <c r="S494" s="53" t="s">
        <v>177</v>
      </c>
      <c r="T494" s="55" t="s">
        <v>182</v>
      </c>
      <c r="U494" s="14">
        <v>2.1000000000000001E-2</v>
      </c>
      <c r="V494" s="14" t="s">
        <v>183</v>
      </c>
      <c r="W494" s="35"/>
      <c r="X494" s="14" t="s">
        <v>37</v>
      </c>
      <c r="Y494" s="14" t="s">
        <v>38</v>
      </c>
      <c r="AB494" s="48"/>
      <c r="AC494" s="48"/>
    </row>
    <row r="495" spans="1:29" x14ac:dyDescent="0.25">
      <c r="A495" s="7" t="s">
        <v>88</v>
      </c>
      <c r="B495" s="8" t="s">
        <v>17</v>
      </c>
      <c r="C495" s="9" t="s">
        <v>18</v>
      </c>
      <c r="D495" s="10">
        <v>0</v>
      </c>
      <c r="E495" s="10">
        <v>0</v>
      </c>
      <c r="F495" s="10">
        <v>0</v>
      </c>
      <c r="G495" s="10">
        <v>656</v>
      </c>
      <c r="H495" s="11">
        <v>16822</v>
      </c>
      <c r="I495" s="12">
        <v>9013</v>
      </c>
      <c r="J495" s="10">
        <v>524</v>
      </c>
      <c r="K495" s="10">
        <v>208</v>
      </c>
      <c r="L495" s="10">
        <v>0</v>
      </c>
      <c r="M495" s="10">
        <v>0</v>
      </c>
      <c r="N495" s="10">
        <v>2599</v>
      </c>
      <c r="O495" s="10">
        <v>3015</v>
      </c>
      <c r="P495" s="10">
        <v>807</v>
      </c>
      <c r="Q495" s="10">
        <v>0</v>
      </c>
      <c r="R495" s="10">
        <v>0</v>
      </c>
      <c r="S495" s="10">
        <v>0</v>
      </c>
      <c r="T495" s="13">
        <v>0</v>
      </c>
      <c r="U495" s="14">
        <v>2.1000000000000001E-2</v>
      </c>
      <c r="V495" s="42">
        <f>SUM(I495:T495)/H495</f>
        <v>0.96100344786588987</v>
      </c>
      <c r="W495" s="39">
        <f>SUM(I495:T495)*U495</f>
        <v>339.48600000000005</v>
      </c>
    </row>
    <row r="496" spans="1:29" x14ac:dyDescent="0.25">
      <c r="A496" s="7" t="s">
        <v>88</v>
      </c>
      <c r="B496" s="15" t="s">
        <v>66</v>
      </c>
      <c r="C496" s="7" t="s">
        <v>18</v>
      </c>
      <c r="D496" s="14">
        <v>0</v>
      </c>
      <c r="E496" s="14">
        <v>0</v>
      </c>
      <c r="F496" s="14">
        <v>0</v>
      </c>
      <c r="G496" s="14">
        <v>0</v>
      </c>
      <c r="H496" s="16">
        <v>78781</v>
      </c>
      <c r="I496" s="17">
        <v>32921</v>
      </c>
      <c r="J496" s="14">
        <v>1384</v>
      </c>
      <c r="K496" s="14">
        <v>863</v>
      </c>
      <c r="L496" s="14">
        <v>38729</v>
      </c>
      <c r="M496" s="14">
        <v>3896</v>
      </c>
      <c r="N496" s="14">
        <v>500</v>
      </c>
      <c r="O496" s="14">
        <v>488</v>
      </c>
      <c r="P496" s="14">
        <v>0</v>
      </c>
      <c r="Q496" s="14">
        <v>0</v>
      </c>
      <c r="R496" s="14">
        <v>0</v>
      </c>
      <c r="S496" s="14">
        <v>0</v>
      </c>
      <c r="T496" s="18">
        <v>0</v>
      </c>
      <c r="U496" s="14">
        <v>2.1000000000000001E-2</v>
      </c>
      <c r="V496" s="44"/>
      <c r="W496" s="39">
        <f t="shared" ref="W496:W502" si="112">SUM(I496:T496)*U496</f>
        <v>1654.4010000000001</v>
      </c>
    </row>
    <row r="497" spans="1:29" x14ac:dyDescent="0.25">
      <c r="A497" s="7" t="s">
        <v>88</v>
      </c>
      <c r="B497" s="15" t="s">
        <v>13</v>
      </c>
      <c r="C497" s="7" t="s">
        <v>18</v>
      </c>
      <c r="D497" s="14">
        <v>0</v>
      </c>
      <c r="E497" s="14">
        <v>0</v>
      </c>
      <c r="F497" s="14">
        <v>0</v>
      </c>
      <c r="G497" s="14">
        <v>0</v>
      </c>
      <c r="H497" s="16">
        <v>388297</v>
      </c>
      <c r="I497" s="17">
        <v>53471</v>
      </c>
      <c r="J497" s="14">
        <v>46697</v>
      </c>
      <c r="K497" s="14">
        <v>74611</v>
      </c>
      <c r="L497" s="14">
        <v>100779</v>
      </c>
      <c r="M497" s="14">
        <v>38339</v>
      </c>
      <c r="N497" s="14">
        <v>50226</v>
      </c>
      <c r="O497" s="14">
        <v>16784</v>
      </c>
      <c r="P497" s="14">
        <v>6804</v>
      </c>
      <c r="Q497" s="14">
        <v>0</v>
      </c>
      <c r="R497" s="14">
        <v>0</v>
      </c>
      <c r="S497" s="14">
        <v>586</v>
      </c>
      <c r="T497" s="18">
        <v>0</v>
      </c>
      <c r="U497" s="14">
        <v>2.1000000000000001E-2</v>
      </c>
      <c r="V497" s="41"/>
      <c r="W497" s="39">
        <f t="shared" si="112"/>
        <v>8154.2370000000001</v>
      </c>
    </row>
    <row r="498" spans="1:29" x14ac:dyDescent="0.25">
      <c r="A498" s="7" t="s">
        <v>88</v>
      </c>
      <c r="B498" s="15" t="s">
        <v>67</v>
      </c>
      <c r="C498" s="7" t="s">
        <v>18</v>
      </c>
      <c r="D498" s="14">
        <v>4</v>
      </c>
      <c r="E498" s="14">
        <v>0</v>
      </c>
      <c r="F498" s="14">
        <v>0</v>
      </c>
      <c r="G498" s="14">
        <v>0</v>
      </c>
      <c r="H498" s="16">
        <v>31874</v>
      </c>
      <c r="I498" s="17">
        <v>30783</v>
      </c>
      <c r="J498" s="14">
        <v>1087</v>
      </c>
      <c r="K498" s="14">
        <v>0</v>
      </c>
      <c r="L498" s="14">
        <v>0</v>
      </c>
      <c r="M498" s="14">
        <v>0</v>
      </c>
      <c r="N498" s="14">
        <v>0</v>
      </c>
      <c r="O498" s="14">
        <v>0</v>
      </c>
      <c r="P498" s="14">
        <v>0</v>
      </c>
      <c r="Q498" s="14">
        <v>0</v>
      </c>
      <c r="R498" s="14">
        <v>0</v>
      </c>
      <c r="S498" s="14">
        <v>0</v>
      </c>
      <c r="T498" s="18">
        <v>0</v>
      </c>
      <c r="U498" s="14">
        <v>2.1000000000000001E-2</v>
      </c>
      <c r="V498" s="41"/>
      <c r="W498" s="39">
        <f t="shared" si="112"/>
        <v>669.2700000000001</v>
      </c>
    </row>
    <row r="499" spans="1:29" x14ac:dyDescent="0.25">
      <c r="A499" s="7" t="s">
        <v>88</v>
      </c>
      <c r="B499" s="15" t="s">
        <v>73</v>
      </c>
      <c r="C499" s="7" t="s">
        <v>18</v>
      </c>
      <c r="D499" s="14">
        <v>0</v>
      </c>
      <c r="E499" s="14">
        <v>0</v>
      </c>
      <c r="F499" s="14">
        <v>0</v>
      </c>
      <c r="G499" s="14">
        <v>0</v>
      </c>
      <c r="H499" s="16">
        <v>265238</v>
      </c>
      <c r="I499" s="17">
        <v>39820</v>
      </c>
      <c r="J499" s="14">
        <v>12287</v>
      </c>
      <c r="K499" s="14">
        <v>35364</v>
      </c>
      <c r="L499" s="14">
        <v>59913</v>
      </c>
      <c r="M499" s="14">
        <v>58251</v>
      </c>
      <c r="N499" s="14">
        <v>20068</v>
      </c>
      <c r="O499" s="14">
        <v>19275</v>
      </c>
      <c r="P499" s="14">
        <v>11864</v>
      </c>
      <c r="Q499" s="14">
        <v>0</v>
      </c>
      <c r="R499" s="14">
        <v>0</v>
      </c>
      <c r="S499" s="14">
        <v>8396</v>
      </c>
      <c r="T499" s="18">
        <v>0</v>
      </c>
      <c r="U499" s="14">
        <v>2.1000000000000001E-2</v>
      </c>
      <c r="V499" s="41"/>
      <c r="W499" s="39">
        <f t="shared" si="112"/>
        <v>5569.9980000000005</v>
      </c>
    </row>
    <row r="500" spans="1:29" x14ac:dyDescent="0.25">
      <c r="A500" s="7" t="s">
        <v>88</v>
      </c>
      <c r="B500" s="15" t="s">
        <v>19</v>
      </c>
      <c r="C500" s="7" t="s">
        <v>18</v>
      </c>
      <c r="D500" s="14">
        <v>0</v>
      </c>
      <c r="E500" s="14">
        <v>0</v>
      </c>
      <c r="F500" s="14">
        <v>0</v>
      </c>
      <c r="G500" s="14">
        <v>0</v>
      </c>
      <c r="H500" s="16">
        <v>10921</v>
      </c>
      <c r="I500" s="17">
        <v>4425</v>
      </c>
      <c r="J500" s="14">
        <v>4526</v>
      </c>
      <c r="K500" s="14">
        <v>939</v>
      </c>
      <c r="L500" s="14">
        <v>976</v>
      </c>
      <c r="M500" s="14">
        <v>55</v>
      </c>
      <c r="N500" s="14">
        <v>0</v>
      </c>
      <c r="O500" s="14">
        <v>0</v>
      </c>
      <c r="P500" s="14">
        <v>0</v>
      </c>
      <c r="Q500" s="14">
        <v>0</v>
      </c>
      <c r="R500" s="14">
        <v>0</v>
      </c>
      <c r="S500" s="14">
        <v>0</v>
      </c>
      <c r="T500" s="18">
        <v>0</v>
      </c>
      <c r="U500" s="14">
        <v>2.1000000000000001E-2</v>
      </c>
      <c r="V500" s="41"/>
      <c r="W500" s="39">
        <f t="shared" si="112"/>
        <v>229.34100000000001</v>
      </c>
    </row>
    <row r="501" spans="1:29" ht="13" thickBot="1" x14ac:dyDescent="0.3">
      <c r="A501" s="7" t="s">
        <v>88</v>
      </c>
      <c r="B501" s="19" t="s">
        <v>20</v>
      </c>
      <c r="C501" s="20" t="s">
        <v>18</v>
      </c>
      <c r="D501" s="21">
        <v>0</v>
      </c>
      <c r="E501" s="21">
        <v>0</v>
      </c>
      <c r="F501" s="21">
        <v>0</v>
      </c>
      <c r="G501" s="21">
        <v>0</v>
      </c>
      <c r="H501" s="22">
        <v>0</v>
      </c>
      <c r="I501" s="23">
        <v>0</v>
      </c>
      <c r="J501" s="21">
        <v>0</v>
      </c>
      <c r="K501" s="21">
        <v>0</v>
      </c>
      <c r="L501" s="21">
        <v>0</v>
      </c>
      <c r="M501" s="21">
        <v>0</v>
      </c>
      <c r="N501" s="21">
        <v>0</v>
      </c>
      <c r="O501" s="21">
        <v>0</v>
      </c>
      <c r="P501" s="21">
        <v>0</v>
      </c>
      <c r="Q501" s="21">
        <v>0</v>
      </c>
      <c r="R501" s="21">
        <v>0</v>
      </c>
      <c r="S501" s="21">
        <v>0</v>
      </c>
      <c r="T501" s="24">
        <v>0</v>
      </c>
      <c r="U501" s="14">
        <v>2.1000000000000001E-2</v>
      </c>
      <c r="V501" s="44"/>
      <c r="W501" s="39">
        <f t="shared" si="112"/>
        <v>0</v>
      </c>
    </row>
    <row r="502" spans="1:29" ht="13" thickBot="1" x14ac:dyDescent="0.3">
      <c r="A502" s="7" t="s">
        <v>88</v>
      </c>
      <c r="B502" s="25" t="s">
        <v>12</v>
      </c>
      <c r="C502" s="26" t="s">
        <v>18</v>
      </c>
      <c r="D502" s="27">
        <v>4</v>
      </c>
      <c r="E502" s="27">
        <v>0</v>
      </c>
      <c r="F502" s="27">
        <v>0</v>
      </c>
      <c r="G502" s="27">
        <v>656</v>
      </c>
      <c r="H502" s="28">
        <v>791933</v>
      </c>
      <c r="I502" s="29">
        <v>170433</v>
      </c>
      <c r="J502" s="27">
        <v>66505</v>
      </c>
      <c r="K502" s="27">
        <v>111985</v>
      </c>
      <c r="L502" s="27">
        <v>200397</v>
      </c>
      <c r="M502" s="27">
        <v>100541</v>
      </c>
      <c r="N502" s="27">
        <v>73393</v>
      </c>
      <c r="O502" s="27">
        <v>39562</v>
      </c>
      <c r="P502" s="27">
        <v>19475</v>
      </c>
      <c r="Q502" s="27">
        <v>0</v>
      </c>
      <c r="R502" s="27">
        <v>0</v>
      </c>
      <c r="S502" s="27">
        <v>8982</v>
      </c>
      <c r="T502" s="29">
        <v>0</v>
      </c>
      <c r="U502" s="14">
        <v>2.1000000000000001E-2</v>
      </c>
      <c r="V502" s="43">
        <f>SUM(I497:T500)/SUM(H497:H500)</f>
        <v>0.99999425559720245</v>
      </c>
      <c r="W502" s="39">
        <f t="shared" si="112"/>
        <v>16616.733</v>
      </c>
      <c r="X502" s="35">
        <f>W500+W497</f>
        <v>8383.5779999999995</v>
      </c>
      <c r="Y502" s="35">
        <f>W495</f>
        <v>339.48600000000005</v>
      </c>
    </row>
    <row r="503" spans="1:29" x14ac:dyDescent="0.25">
      <c r="A503" s="7" t="s">
        <v>88</v>
      </c>
      <c r="B503" s="8" t="s">
        <v>17</v>
      </c>
      <c r="C503" s="9" t="s">
        <v>21</v>
      </c>
      <c r="D503" s="10">
        <v>0</v>
      </c>
      <c r="E503" s="10">
        <v>0</v>
      </c>
      <c r="F503" s="10">
        <v>0</v>
      </c>
      <c r="G503" s="10">
        <v>0</v>
      </c>
      <c r="H503" s="11">
        <v>2037</v>
      </c>
      <c r="I503" s="12">
        <v>0</v>
      </c>
      <c r="J503" s="10">
        <v>0</v>
      </c>
      <c r="K503" s="10">
        <v>0</v>
      </c>
      <c r="L503" s="10">
        <v>0</v>
      </c>
      <c r="M503" s="10">
        <v>9</v>
      </c>
      <c r="N503" s="10">
        <v>2028</v>
      </c>
      <c r="O503" s="10">
        <v>0</v>
      </c>
      <c r="P503" s="10">
        <v>0</v>
      </c>
      <c r="Q503" s="10">
        <v>0</v>
      </c>
      <c r="R503" s="10">
        <v>0</v>
      </c>
      <c r="S503" s="10">
        <v>0</v>
      </c>
      <c r="T503" s="13">
        <v>0</v>
      </c>
      <c r="U503" s="14">
        <v>2.1000000000000001E-2</v>
      </c>
      <c r="W503" s="38">
        <f t="shared" si="109"/>
        <v>42.777000000000001</v>
      </c>
      <c r="AB503" s="37" t="str">
        <f t="shared" ref="AB503:AB509" si="113">B503</f>
        <v>Parts-OTC</v>
      </c>
      <c r="AC503" s="36">
        <f t="shared" ref="AC503:AC509" si="114">I503*U503</f>
        <v>0</v>
      </c>
    </row>
    <row r="504" spans="1:29" x14ac:dyDescent="0.25">
      <c r="A504" s="7" t="s">
        <v>88</v>
      </c>
      <c r="B504" s="15" t="s">
        <v>66</v>
      </c>
      <c r="C504" s="7" t="s">
        <v>21</v>
      </c>
      <c r="D504" s="14">
        <v>0</v>
      </c>
      <c r="E504" s="14">
        <v>0</v>
      </c>
      <c r="F504" s="14">
        <v>0</v>
      </c>
      <c r="G504" s="14">
        <v>0</v>
      </c>
      <c r="H504" s="16">
        <v>50290</v>
      </c>
      <c r="I504" s="17">
        <v>211</v>
      </c>
      <c r="J504" s="14">
        <v>622</v>
      </c>
      <c r="K504" s="14">
        <v>1499</v>
      </c>
      <c r="L504" s="14">
        <v>3654</v>
      </c>
      <c r="M504" s="14">
        <v>10500</v>
      </c>
      <c r="N504" s="14">
        <v>13541</v>
      </c>
      <c r="O504" s="14">
        <v>4829</v>
      </c>
      <c r="P504" s="14">
        <v>0</v>
      </c>
      <c r="Q504" s="14">
        <v>15434</v>
      </c>
      <c r="R504" s="14">
        <v>0</v>
      </c>
      <c r="S504" s="14">
        <v>0</v>
      </c>
      <c r="T504" s="18">
        <v>0</v>
      </c>
      <c r="U504" s="14">
        <v>2.1000000000000001E-2</v>
      </c>
      <c r="W504" s="38">
        <f t="shared" si="109"/>
        <v>1056.0900000000001</v>
      </c>
      <c r="AB504" s="37" t="str">
        <f t="shared" si="113"/>
        <v>CTKS</v>
      </c>
      <c r="AC504" s="36">
        <f t="shared" si="114"/>
        <v>4.431</v>
      </c>
    </row>
    <row r="505" spans="1:29" x14ac:dyDescent="0.25">
      <c r="A505" s="7" t="s">
        <v>88</v>
      </c>
      <c r="B505" s="15" t="s">
        <v>13</v>
      </c>
      <c r="C505" s="7" t="s">
        <v>21</v>
      </c>
      <c r="D505" s="14">
        <v>0</v>
      </c>
      <c r="E505" s="14">
        <v>0</v>
      </c>
      <c r="F505" s="14">
        <v>0</v>
      </c>
      <c r="G505" s="14">
        <v>0</v>
      </c>
      <c r="H505" s="16">
        <v>61954</v>
      </c>
      <c r="I505" s="33">
        <v>8141</v>
      </c>
      <c r="J505" s="34">
        <v>6928</v>
      </c>
      <c r="K505" s="34">
        <v>3037</v>
      </c>
      <c r="L505" s="14">
        <v>3046</v>
      </c>
      <c r="M505" s="14">
        <v>4400</v>
      </c>
      <c r="N505" s="14">
        <v>4441</v>
      </c>
      <c r="O505" s="14">
        <v>5296</v>
      </c>
      <c r="P505" s="14">
        <v>6266</v>
      </c>
      <c r="Q505" s="14">
        <v>10122</v>
      </c>
      <c r="R505" s="14">
        <v>8282</v>
      </c>
      <c r="S505" s="14">
        <v>1995</v>
      </c>
      <c r="T505" s="18">
        <v>0</v>
      </c>
      <c r="U505" s="14">
        <v>2.1000000000000001E-2</v>
      </c>
      <c r="W505" s="38">
        <f t="shared" si="109"/>
        <v>1301.0340000000001</v>
      </c>
      <c r="AB505" s="37" t="str">
        <f t="shared" si="113"/>
        <v>Repair</v>
      </c>
      <c r="AC505" s="36">
        <f t="shared" si="114"/>
        <v>170.96100000000001</v>
      </c>
    </row>
    <row r="506" spans="1:29" x14ac:dyDescent="0.25">
      <c r="A506" s="7" t="s">
        <v>88</v>
      </c>
      <c r="B506" s="15" t="s">
        <v>67</v>
      </c>
      <c r="C506" s="7" t="s">
        <v>21</v>
      </c>
      <c r="D506" s="14">
        <v>0</v>
      </c>
      <c r="E506" s="14">
        <v>0</v>
      </c>
      <c r="F506" s="14">
        <v>0</v>
      </c>
      <c r="G506" s="14">
        <v>0</v>
      </c>
      <c r="H506" s="16">
        <v>10115</v>
      </c>
      <c r="I506" s="17">
        <v>3954</v>
      </c>
      <c r="J506" s="14">
        <v>1526</v>
      </c>
      <c r="K506" s="14">
        <v>1256</v>
      </c>
      <c r="L506" s="14">
        <v>1066</v>
      </c>
      <c r="M506" s="14">
        <v>898</v>
      </c>
      <c r="N506" s="14">
        <v>248</v>
      </c>
      <c r="O506" s="14">
        <v>583</v>
      </c>
      <c r="P506" s="14">
        <v>248</v>
      </c>
      <c r="Q506" s="14">
        <v>158</v>
      </c>
      <c r="R506" s="14">
        <v>178</v>
      </c>
      <c r="S506" s="14">
        <v>0</v>
      </c>
      <c r="T506" s="18">
        <v>0</v>
      </c>
      <c r="U506" s="14">
        <v>2.1000000000000001E-2</v>
      </c>
      <c r="W506" s="38">
        <f t="shared" si="109"/>
        <v>212.41500000000002</v>
      </c>
      <c r="AB506" s="37" t="str">
        <f t="shared" si="113"/>
        <v>Rental</v>
      </c>
      <c r="AC506" s="36">
        <f t="shared" si="114"/>
        <v>83.034000000000006</v>
      </c>
    </row>
    <row r="507" spans="1:29" x14ac:dyDescent="0.25">
      <c r="A507" s="7" t="s">
        <v>88</v>
      </c>
      <c r="B507" s="15" t="s">
        <v>73</v>
      </c>
      <c r="C507" s="7" t="s">
        <v>21</v>
      </c>
      <c r="D507" s="14">
        <v>0</v>
      </c>
      <c r="E507" s="14">
        <v>0</v>
      </c>
      <c r="F507" s="14">
        <v>0</v>
      </c>
      <c r="G507" s="14">
        <v>0</v>
      </c>
      <c r="H507" s="16">
        <v>76068</v>
      </c>
      <c r="I507" s="17">
        <v>2202</v>
      </c>
      <c r="J507" s="14">
        <v>5288</v>
      </c>
      <c r="K507" s="14">
        <v>5927</v>
      </c>
      <c r="L507" s="14">
        <v>4821</v>
      </c>
      <c r="M507" s="14">
        <v>3499</v>
      </c>
      <c r="N507" s="14">
        <v>369</v>
      </c>
      <c r="O507" s="14">
        <v>16158</v>
      </c>
      <c r="P507" s="14">
        <v>25297</v>
      </c>
      <c r="Q507" s="14">
        <v>10874</v>
      </c>
      <c r="R507" s="14">
        <v>1633</v>
      </c>
      <c r="S507" s="14">
        <v>0</v>
      </c>
      <c r="T507" s="18">
        <v>0</v>
      </c>
      <c r="U507" s="14">
        <v>2.1000000000000001E-2</v>
      </c>
      <c r="W507" s="38">
        <f t="shared" si="109"/>
        <v>1597.4280000000001</v>
      </c>
      <c r="AB507" s="37"/>
    </row>
    <row r="508" spans="1:29" x14ac:dyDescent="0.25">
      <c r="A508" s="7" t="s">
        <v>88</v>
      </c>
      <c r="B508" s="15" t="s">
        <v>19</v>
      </c>
      <c r="C508" s="7" t="s">
        <v>21</v>
      </c>
      <c r="D508" s="14">
        <v>0</v>
      </c>
      <c r="E508" s="14">
        <v>0</v>
      </c>
      <c r="F508" s="14">
        <v>0</v>
      </c>
      <c r="G508" s="14">
        <v>0</v>
      </c>
      <c r="H508" s="16">
        <v>4379</v>
      </c>
      <c r="I508" s="17">
        <v>1203</v>
      </c>
      <c r="J508" s="14">
        <v>234</v>
      </c>
      <c r="K508" s="14">
        <v>530</v>
      </c>
      <c r="L508" s="14">
        <v>1145</v>
      </c>
      <c r="M508" s="14">
        <v>112</v>
      </c>
      <c r="N508" s="14">
        <v>157</v>
      </c>
      <c r="O508" s="14">
        <v>730</v>
      </c>
      <c r="P508" s="14">
        <v>69</v>
      </c>
      <c r="Q508" s="14">
        <v>24</v>
      </c>
      <c r="R508" s="14">
        <v>175</v>
      </c>
      <c r="S508" s="14">
        <v>0</v>
      </c>
      <c r="T508" s="18">
        <v>0</v>
      </c>
      <c r="U508" s="14">
        <v>2.1000000000000001E-2</v>
      </c>
      <c r="W508" s="38">
        <f t="shared" si="109"/>
        <v>91.959000000000003</v>
      </c>
      <c r="AB508" s="37" t="str">
        <f t="shared" si="113"/>
        <v>Maintenance</v>
      </c>
      <c r="AC508" s="36">
        <f t="shared" si="114"/>
        <v>25.263000000000002</v>
      </c>
    </row>
    <row r="509" spans="1:29" ht="13" thickBot="1" x14ac:dyDescent="0.3">
      <c r="A509" s="7" t="s">
        <v>88</v>
      </c>
      <c r="B509" s="19" t="s">
        <v>20</v>
      </c>
      <c r="C509" s="20" t="s">
        <v>21</v>
      </c>
      <c r="D509" s="21">
        <v>0</v>
      </c>
      <c r="E509" s="21">
        <v>0</v>
      </c>
      <c r="F509" s="21">
        <v>0</v>
      </c>
      <c r="G509" s="21">
        <v>0</v>
      </c>
      <c r="H509" s="22">
        <v>0</v>
      </c>
      <c r="I509" s="23">
        <v>0</v>
      </c>
      <c r="J509" s="21">
        <v>0</v>
      </c>
      <c r="K509" s="21">
        <v>0</v>
      </c>
      <c r="L509" s="21">
        <v>0</v>
      </c>
      <c r="M509" s="21">
        <v>0</v>
      </c>
      <c r="N509" s="21">
        <v>0</v>
      </c>
      <c r="O509" s="21">
        <v>0</v>
      </c>
      <c r="P509" s="21">
        <v>0</v>
      </c>
      <c r="Q509" s="21">
        <v>0</v>
      </c>
      <c r="R509" s="21">
        <v>0</v>
      </c>
      <c r="S509" s="21">
        <v>0</v>
      </c>
      <c r="T509" s="24">
        <v>0</v>
      </c>
      <c r="U509" s="14">
        <v>2.1000000000000001E-2</v>
      </c>
      <c r="W509" s="38">
        <f t="shared" si="109"/>
        <v>0</v>
      </c>
      <c r="AB509" s="37" t="str">
        <f t="shared" si="113"/>
        <v>Startup</v>
      </c>
      <c r="AC509" s="36">
        <f t="shared" si="114"/>
        <v>0</v>
      </c>
    </row>
    <row r="510" spans="1:29" ht="13" thickBot="1" x14ac:dyDescent="0.3">
      <c r="A510" s="20" t="s">
        <v>88</v>
      </c>
      <c r="B510" s="25" t="s">
        <v>12</v>
      </c>
      <c r="C510" s="26" t="s">
        <v>21</v>
      </c>
      <c r="D510" s="27">
        <v>0</v>
      </c>
      <c r="E510" s="27">
        <v>0</v>
      </c>
      <c r="F510" s="27">
        <v>0</v>
      </c>
      <c r="G510" s="27">
        <v>0</v>
      </c>
      <c r="H510" s="28">
        <v>204843</v>
      </c>
      <c r="I510" s="29">
        <v>15711</v>
      </c>
      <c r="J510" s="27">
        <v>14598</v>
      </c>
      <c r="K510" s="27">
        <v>12249</v>
      </c>
      <c r="L510" s="27">
        <v>13732</v>
      </c>
      <c r="M510" s="27">
        <v>19418</v>
      </c>
      <c r="N510" s="27">
        <v>20784</v>
      </c>
      <c r="O510" s="27">
        <v>27596</v>
      </c>
      <c r="P510" s="27">
        <v>31880</v>
      </c>
      <c r="Q510" s="27">
        <v>36612</v>
      </c>
      <c r="R510" s="27">
        <v>10268</v>
      </c>
      <c r="S510" s="27">
        <v>1995</v>
      </c>
      <c r="T510" s="29">
        <v>0</v>
      </c>
      <c r="U510" s="14">
        <v>2.1000000000000001E-2</v>
      </c>
      <c r="W510" s="38">
        <f t="shared" si="109"/>
        <v>4301.7030000000004</v>
      </c>
      <c r="X510" s="35">
        <f>W509+W508+W505</f>
        <v>1392.9930000000002</v>
      </c>
      <c r="Y510" s="35">
        <f>W503</f>
        <v>42.777000000000001</v>
      </c>
      <c r="Z510" s="40">
        <f>V501/X510</f>
        <v>0</v>
      </c>
      <c r="AA510" s="40">
        <f>IF((Y510=0),0,Y502/Y510)</f>
        <v>7.9361806578301435</v>
      </c>
      <c r="AB510" s="48"/>
      <c r="AC510" s="48"/>
    </row>
    <row r="511" spans="1:29" ht="13" thickBot="1" x14ac:dyDescent="0.3">
      <c r="A511" s="9" t="s">
        <v>64</v>
      </c>
      <c r="B511" s="30" t="s">
        <v>15</v>
      </c>
      <c r="C511" s="31" t="s">
        <v>94</v>
      </c>
      <c r="D511" s="32" t="s">
        <v>47</v>
      </c>
      <c r="E511" s="53" t="s">
        <v>104</v>
      </c>
      <c r="F511" s="53" t="s">
        <v>105</v>
      </c>
      <c r="G511" s="53" t="s">
        <v>106</v>
      </c>
      <c r="H511" s="28" t="s">
        <v>12</v>
      </c>
      <c r="I511" s="54" t="s">
        <v>107</v>
      </c>
      <c r="J511" s="53" t="s">
        <v>108</v>
      </c>
      <c r="K511" s="53" t="s">
        <v>109</v>
      </c>
      <c r="L511" s="53" t="s">
        <v>110</v>
      </c>
      <c r="M511" s="53" t="s">
        <v>111</v>
      </c>
      <c r="N511" s="53" t="s">
        <v>115</v>
      </c>
      <c r="O511" s="53" t="s">
        <v>120</v>
      </c>
      <c r="P511" s="53" t="s">
        <v>121</v>
      </c>
      <c r="Q511" s="53" t="s">
        <v>164</v>
      </c>
      <c r="R511" s="53" t="s">
        <v>173</v>
      </c>
      <c r="S511" s="53" t="s">
        <v>177</v>
      </c>
      <c r="T511" s="55" t="s">
        <v>182</v>
      </c>
      <c r="U511" s="14">
        <v>1</v>
      </c>
      <c r="V511" s="14" t="s">
        <v>183</v>
      </c>
      <c r="W511" s="35"/>
      <c r="X511" s="14" t="s">
        <v>37</v>
      </c>
      <c r="Y511" s="14" t="s">
        <v>38</v>
      </c>
      <c r="AB511" s="48"/>
      <c r="AC511" s="48"/>
    </row>
    <row r="512" spans="1:29" x14ac:dyDescent="0.25">
      <c r="A512" s="7" t="s">
        <v>64</v>
      </c>
      <c r="B512" s="8" t="s">
        <v>17</v>
      </c>
      <c r="C512" s="9" t="s">
        <v>18</v>
      </c>
      <c r="D512" s="10">
        <v>0</v>
      </c>
      <c r="E512" s="10">
        <v>0</v>
      </c>
      <c r="F512" s="10">
        <v>0</v>
      </c>
      <c r="G512" s="10">
        <v>0</v>
      </c>
      <c r="H512" s="11">
        <v>346</v>
      </c>
      <c r="I512" s="12">
        <v>280</v>
      </c>
      <c r="J512" s="10">
        <v>13</v>
      </c>
      <c r="K512" s="10">
        <v>0</v>
      </c>
      <c r="L512" s="10">
        <v>53</v>
      </c>
      <c r="M512" s="10">
        <v>0</v>
      </c>
      <c r="N512" s="10">
        <v>0</v>
      </c>
      <c r="O512" s="10">
        <v>0</v>
      </c>
      <c r="P512" s="10">
        <v>0</v>
      </c>
      <c r="Q512" s="10">
        <v>0</v>
      </c>
      <c r="R512" s="10">
        <v>0</v>
      </c>
      <c r="S512" s="10">
        <v>0</v>
      </c>
      <c r="T512" s="13">
        <v>0</v>
      </c>
      <c r="U512" s="14">
        <v>1</v>
      </c>
      <c r="V512" s="42">
        <f>SUM(I512:T512)/H512</f>
        <v>1</v>
      </c>
      <c r="W512" s="39">
        <f>SUM(I512:T512)*U512</f>
        <v>346</v>
      </c>
    </row>
    <row r="513" spans="1:29" x14ac:dyDescent="0.25">
      <c r="A513" s="7" t="s">
        <v>64</v>
      </c>
      <c r="B513" s="15" t="s">
        <v>66</v>
      </c>
      <c r="C513" s="7" t="s">
        <v>18</v>
      </c>
      <c r="D513" s="14">
        <v>0</v>
      </c>
      <c r="E513" s="14">
        <v>0</v>
      </c>
      <c r="F513" s="14">
        <v>0</v>
      </c>
      <c r="G513" s="14">
        <v>0</v>
      </c>
      <c r="H513" s="16">
        <v>154</v>
      </c>
      <c r="I513" s="17">
        <v>151</v>
      </c>
      <c r="J513" s="14">
        <v>0</v>
      </c>
      <c r="K513" s="14">
        <v>3</v>
      </c>
      <c r="L513" s="14">
        <v>0</v>
      </c>
      <c r="M513" s="14">
        <v>0</v>
      </c>
      <c r="N513" s="14">
        <v>0</v>
      </c>
      <c r="O513" s="14">
        <v>0</v>
      </c>
      <c r="P513" s="14">
        <v>0</v>
      </c>
      <c r="Q513" s="14">
        <v>0</v>
      </c>
      <c r="R513" s="14">
        <v>0</v>
      </c>
      <c r="S513" s="14">
        <v>0</v>
      </c>
      <c r="T513" s="18">
        <v>0</v>
      </c>
      <c r="U513" s="14">
        <v>1</v>
      </c>
      <c r="V513" s="44"/>
      <c r="W513" s="39">
        <f t="shared" ref="W513:W519" si="115">SUM(I513:T513)*U513</f>
        <v>154</v>
      </c>
    </row>
    <row r="514" spans="1:29" x14ac:dyDescent="0.25">
      <c r="A514" s="7" t="s">
        <v>64</v>
      </c>
      <c r="B514" s="15" t="s">
        <v>13</v>
      </c>
      <c r="C514" s="7" t="s">
        <v>18</v>
      </c>
      <c r="D514" s="14">
        <v>0</v>
      </c>
      <c r="E514" s="14">
        <v>0</v>
      </c>
      <c r="F514" s="14">
        <v>0</v>
      </c>
      <c r="G514" s="14">
        <v>0</v>
      </c>
      <c r="H514" s="16">
        <v>0</v>
      </c>
      <c r="I514" s="17">
        <v>0</v>
      </c>
      <c r="J514" s="14">
        <v>0</v>
      </c>
      <c r="K514" s="14">
        <v>0</v>
      </c>
      <c r="L514" s="14">
        <v>0</v>
      </c>
      <c r="M514" s="14">
        <v>0</v>
      </c>
      <c r="N514" s="14">
        <v>0</v>
      </c>
      <c r="O514" s="14">
        <v>0</v>
      </c>
      <c r="P514" s="14">
        <v>0</v>
      </c>
      <c r="Q514" s="14">
        <v>0</v>
      </c>
      <c r="R514" s="14">
        <v>0</v>
      </c>
      <c r="S514" s="14">
        <v>0</v>
      </c>
      <c r="T514" s="18">
        <v>0</v>
      </c>
      <c r="U514" s="14">
        <v>1</v>
      </c>
      <c r="V514" s="41"/>
      <c r="W514" s="39">
        <f t="shared" si="115"/>
        <v>0</v>
      </c>
    </row>
    <row r="515" spans="1:29" x14ac:dyDescent="0.25">
      <c r="A515" s="7" t="s">
        <v>64</v>
      </c>
      <c r="B515" s="15" t="s">
        <v>67</v>
      </c>
      <c r="C515" s="7" t="s">
        <v>18</v>
      </c>
      <c r="D515" s="14">
        <v>0</v>
      </c>
      <c r="E515" s="14">
        <v>0</v>
      </c>
      <c r="F515" s="14">
        <v>0</v>
      </c>
      <c r="G515" s="14">
        <v>0</v>
      </c>
      <c r="H515" s="16">
        <v>0</v>
      </c>
      <c r="I515" s="17">
        <v>0</v>
      </c>
      <c r="J515" s="14">
        <v>0</v>
      </c>
      <c r="K515" s="14">
        <v>0</v>
      </c>
      <c r="L515" s="14">
        <v>0</v>
      </c>
      <c r="M515" s="14">
        <v>0</v>
      </c>
      <c r="N515" s="14">
        <v>0</v>
      </c>
      <c r="O515" s="14">
        <v>0</v>
      </c>
      <c r="P515" s="14">
        <v>0</v>
      </c>
      <c r="Q515" s="14">
        <v>0</v>
      </c>
      <c r="R515" s="14">
        <v>0</v>
      </c>
      <c r="S515" s="14">
        <v>0</v>
      </c>
      <c r="T515" s="18">
        <v>0</v>
      </c>
      <c r="U515" s="14">
        <v>1</v>
      </c>
      <c r="V515" s="41"/>
      <c r="W515" s="39">
        <f t="shared" si="115"/>
        <v>0</v>
      </c>
    </row>
    <row r="516" spans="1:29" x14ac:dyDescent="0.25">
      <c r="A516" s="7" t="s">
        <v>64</v>
      </c>
      <c r="B516" s="15" t="s">
        <v>73</v>
      </c>
      <c r="C516" s="7" t="s">
        <v>18</v>
      </c>
      <c r="D516" s="14">
        <v>0</v>
      </c>
      <c r="E516" s="14">
        <v>0</v>
      </c>
      <c r="F516" s="14">
        <v>0</v>
      </c>
      <c r="G516" s="14">
        <v>0</v>
      </c>
      <c r="H516" s="16">
        <v>44</v>
      </c>
      <c r="I516" s="17">
        <v>0</v>
      </c>
      <c r="J516" s="14">
        <v>44</v>
      </c>
      <c r="K516" s="14">
        <v>0</v>
      </c>
      <c r="L516" s="14">
        <v>0</v>
      </c>
      <c r="M516" s="14">
        <v>0</v>
      </c>
      <c r="N516" s="14">
        <v>0</v>
      </c>
      <c r="O516" s="14">
        <v>0</v>
      </c>
      <c r="P516" s="14">
        <v>0</v>
      </c>
      <c r="Q516" s="14">
        <v>0</v>
      </c>
      <c r="R516" s="14">
        <v>0</v>
      </c>
      <c r="S516" s="14">
        <v>0</v>
      </c>
      <c r="T516" s="18">
        <v>0</v>
      </c>
      <c r="U516" s="14">
        <v>1</v>
      </c>
      <c r="V516" s="41"/>
      <c r="W516" s="39">
        <f t="shared" si="115"/>
        <v>44</v>
      </c>
    </row>
    <row r="517" spans="1:29" x14ac:dyDescent="0.25">
      <c r="A517" s="7" t="s">
        <v>64</v>
      </c>
      <c r="B517" s="15" t="s">
        <v>19</v>
      </c>
      <c r="C517" s="7" t="s">
        <v>18</v>
      </c>
      <c r="D517" s="14">
        <v>0</v>
      </c>
      <c r="E517" s="14">
        <v>0</v>
      </c>
      <c r="F517" s="14">
        <v>0</v>
      </c>
      <c r="G517" s="14">
        <v>0</v>
      </c>
      <c r="H517" s="16">
        <v>120</v>
      </c>
      <c r="I517" s="17">
        <v>30</v>
      </c>
      <c r="J517" s="14">
        <v>90</v>
      </c>
      <c r="K517" s="14">
        <v>0</v>
      </c>
      <c r="L517" s="14">
        <v>0</v>
      </c>
      <c r="M517" s="14">
        <v>0</v>
      </c>
      <c r="N517" s="14">
        <v>0</v>
      </c>
      <c r="O517" s="14">
        <v>0</v>
      </c>
      <c r="P517" s="14">
        <v>0</v>
      </c>
      <c r="Q517" s="14">
        <v>0</v>
      </c>
      <c r="R517" s="14">
        <v>0</v>
      </c>
      <c r="S517" s="14">
        <v>0</v>
      </c>
      <c r="T517" s="18">
        <v>0</v>
      </c>
      <c r="U517" s="14">
        <v>1</v>
      </c>
      <c r="V517" s="41"/>
      <c r="W517" s="39">
        <f t="shared" si="115"/>
        <v>120</v>
      </c>
    </row>
    <row r="518" spans="1:29" ht="13" thickBot="1" x14ac:dyDescent="0.3">
      <c r="A518" s="7" t="s">
        <v>64</v>
      </c>
      <c r="B518" s="19" t="s">
        <v>20</v>
      </c>
      <c r="C518" s="20" t="s">
        <v>18</v>
      </c>
      <c r="D518" s="21">
        <v>0</v>
      </c>
      <c r="E518" s="21">
        <v>0</v>
      </c>
      <c r="F518" s="21">
        <v>0</v>
      </c>
      <c r="G518" s="21">
        <v>0</v>
      </c>
      <c r="H518" s="22">
        <v>0</v>
      </c>
      <c r="I518" s="23">
        <v>0</v>
      </c>
      <c r="J518" s="21">
        <v>0</v>
      </c>
      <c r="K518" s="21">
        <v>0</v>
      </c>
      <c r="L518" s="21">
        <v>0</v>
      </c>
      <c r="M518" s="21">
        <v>0</v>
      </c>
      <c r="N518" s="21">
        <v>0</v>
      </c>
      <c r="O518" s="21">
        <v>0</v>
      </c>
      <c r="P518" s="21">
        <v>0</v>
      </c>
      <c r="Q518" s="21">
        <v>0</v>
      </c>
      <c r="R518" s="21">
        <v>0</v>
      </c>
      <c r="S518" s="21">
        <v>0</v>
      </c>
      <c r="T518" s="24">
        <v>0</v>
      </c>
      <c r="U518" s="14">
        <v>1</v>
      </c>
      <c r="V518" s="44"/>
      <c r="W518" s="39">
        <f t="shared" si="115"/>
        <v>0</v>
      </c>
    </row>
    <row r="519" spans="1:29" ht="13" thickBot="1" x14ac:dyDescent="0.3">
      <c r="A519" s="7" t="s">
        <v>64</v>
      </c>
      <c r="B519" s="25" t="s">
        <v>12</v>
      </c>
      <c r="C519" s="26" t="s">
        <v>18</v>
      </c>
      <c r="D519" s="27">
        <v>0</v>
      </c>
      <c r="E519" s="27">
        <v>0</v>
      </c>
      <c r="F519" s="27">
        <v>0</v>
      </c>
      <c r="G519" s="27">
        <v>0</v>
      </c>
      <c r="H519" s="28">
        <v>664</v>
      </c>
      <c r="I519" s="29">
        <v>461</v>
      </c>
      <c r="J519" s="27">
        <v>147</v>
      </c>
      <c r="K519" s="27">
        <v>3</v>
      </c>
      <c r="L519" s="27">
        <v>53</v>
      </c>
      <c r="M519" s="27">
        <v>0</v>
      </c>
      <c r="N519" s="27">
        <v>0</v>
      </c>
      <c r="O519" s="27">
        <v>0</v>
      </c>
      <c r="P519" s="27">
        <v>0</v>
      </c>
      <c r="Q519" s="27">
        <v>0</v>
      </c>
      <c r="R519" s="27">
        <v>0</v>
      </c>
      <c r="S519" s="27">
        <v>0</v>
      </c>
      <c r="T519" s="29">
        <v>0</v>
      </c>
      <c r="U519" s="14">
        <v>1</v>
      </c>
      <c r="V519" s="43">
        <f>SUM(I514:T517)/SUM(H514:H517)</f>
        <v>1</v>
      </c>
      <c r="W519" s="39">
        <f t="shared" si="115"/>
        <v>664</v>
      </c>
      <c r="X519" s="35">
        <f>W517+W514</f>
        <v>120</v>
      </c>
      <c r="Y519" s="35">
        <f>W512</f>
        <v>346</v>
      </c>
    </row>
    <row r="520" spans="1:29" x14ac:dyDescent="0.25">
      <c r="A520" s="7" t="s">
        <v>64</v>
      </c>
      <c r="B520" s="8" t="s">
        <v>17</v>
      </c>
      <c r="C520" s="9" t="s">
        <v>21</v>
      </c>
      <c r="D520" s="10">
        <v>0</v>
      </c>
      <c r="E520" s="10">
        <v>0</v>
      </c>
      <c r="F520" s="10">
        <v>0</v>
      </c>
      <c r="G520" s="10">
        <v>0</v>
      </c>
      <c r="H520" s="11">
        <v>293</v>
      </c>
      <c r="I520" s="12">
        <v>146</v>
      </c>
      <c r="J520" s="10">
        <v>98</v>
      </c>
      <c r="K520" s="10">
        <v>44</v>
      </c>
      <c r="L520" s="10">
        <v>0</v>
      </c>
      <c r="M520" s="10">
        <v>0</v>
      </c>
      <c r="N520" s="10">
        <v>5</v>
      </c>
      <c r="O520" s="10">
        <v>0</v>
      </c>
      <c r="P520" s="10">
        <v>0</v>
      </c>
      <c r="Q520" s="10">
        <v>0</v>
      </c>
      <c r="R520" s="10">
        <v>0</v>
      </c>
      <c r="S520" s="10">
        <v>0</v>
      </c>
      <c r="T520" s="13">
        <v>0</v>
      </c>
      <c r="U520" s="14">
        <v>1</v>
      </c>
      <c r="W520" s="38">
        <f t="shared" ref="W520:W527" si="116">H520*U520</f>
        <v>293</v>
      </c>
      <c r="AB520" s="37" t="str">
        <f t="shared" ref="AB520:AB526" si="117">B520</f>
        <v>Parts-OTC</v>
      </c>
      <c r="AC520" s="36">
        <f t="shared" ref="AC520:AC526" si="118">I520*U520</f>
        <v>146</v>
      </c>
    </row>
    <row r="521" spans="1:29" x14ac:dyDescent="0.25">
      <c r="A521" s="7" t="s">
        <v>64</v>
      </c>
      <c r="B521" s="15" t="s">
        <v>66</v>
      </c>
      <c r="C521" s="7" t="s">
        <v>21</v>
      </c>
      <c r="D521" s="14">
        <v>0</v>
      </c>
      <c r="E521" s="14">
        <v>0</v>
      </c>
      <c r="F521" s="14">
        <v>0</v>
      </c>
      <c r="G521" s="14">
        <v>0</v>
      </c>
      <c r="H521" s="16">
        <v>225</v>
      </c>
      <c r="I521" s="17">
        <v>3</v>
      </c>
      <c r="J521" s="14">
        <v>59</v>
      </c>
      <c r="K521" s="14">
        <v>163</v>
      </c>
      <c r="L521" s="14">
        <v>0</v>
      </c>
      <c r="M521" s="14">
        <v>0</v>
      </c>
      <c r="N521" s="14">
        <v>0</v>
      </c>
      <c r="O521" s="14">
        <v>0</v>
      </c>
      <c r="P521" s="14">
        <v>0</v>
      </c>
      <c r="Q521" s="14">
        <v>0</v>
      </c>
      <c r="R521" s="14">
        <v>0</v>
      </c>
      <c r="S521" s="14">
        <v>0</v>
      </c>
      <c r="T521" s="18">
        <v>0</v>
      </c>
      <c r="U521" s="14">
        <v>1</v>
      </c>
      <c r="W521" s="38">
        <f t="shared" si="116"/>
        <v>225</v>
      </c>
      <c r="AB521" s="37" t="str">
        <f t="shared" si="117"/>
        <v>CTKS</v>
      </c>
      <c r="AC521" s="36">
        <f t="shared" si="118"/>
        <v>3</v>
      </c>
    </row>
    <row r="522" spans="1:29" x14ac:dyDescent="0.25">
      <c r="A522" s="7" t="s">
        <v>64</v>
      </c>
      <c r="B522" s="15" t="s">
        <v>13</v>
      </c>
      <c r="C522" s="7" t="s">
        <v>21</v>
      </c>
      <c r="D522" s="14">
        <v>0</v>
      </c>
      <c r="E522" s="14">
        <v>0</v>
      </c>
      <c r="F522" s="14">
        <v>0</v>
      </c>
      <c r="G522" s="14">
        <v>0</v>
      </c>
      <c r="H522" s="16">
        <v>73</v>
      </c>
      <c r="I522" s="33">
        <v>18</v>
      </c>
      <c r="J522" s="34">
        <v>55</v>
      </c>
      <c r="K522" s="34">
        <v>0</v>
      </c>
      <c r="L522" s="14">
        <v>0</v>
      </c>
      <c r="M522" s="14">
        <v>0</v>
      </c>
      <c r="N522" s="14">
        <v>0</v>
      </c>
      <c r="O522" s="14">
        <v>0</v>
      </c>
      <c r="P522" s="14">
        <v>0</v>
      </c>
      <c r="Q522" s="14">
        <v>0</v>
      </c>
      <c r="R522" s="14">
        <v>0</v>
      </c>
      <c r="S522" s="14">
        <v>0</v>
      </c>
      <c r="T522" s="18">
        <v>0</v>
      </c>
      <c r="U522" s="14">
        <v>1</v>
      </c>
      <c r="W522" s="38">
        <f t="shared" si="116"/>
        <v>73</v>
      </c>
      <c r="AB522" s="37" t="str">
        <f t="shared" si="117"/>
        <v>Repair</v>
      </c>
      <c r="AC522" s="36">
        <f t="shared" si="118"/>
        <v>18</v>
      </c>
    </row>
    <row r="523" spans="1:29" x14ac:dyDescent="0.25">
      <c r="A523" s="7" t="s">
        <v>64</v>
      </c>
      <c r="B523" s="15" t="s">
        <v>67</v>
      </c>
      <c r="C523" s="7" t="s">
        <v>21</v>
      </c>
      <c r="D523" s="14">
        <v>0</v>
      </c>
      <c r="E523" s="14">
        <v>0</v>
      </c>
      <c r="F523" s="14">
        <v>0</v>
      </c>
      <c r="G523" s="14">
        <v>0</v>
      </c>
      <c r="H523" s="16">
        <v>0</v>
      </c>
      <c r="I523" s="17">
        <v>0</v>
      </c>
      <c r="J523" s="14">
        <v>0</v>
      </c>
      <c r="K523" s="14">
        <v>0</v>
      </c>
      <c r="L523" s="14">
        <v>0</v>
      </c>
      <c r="M523" s="14">
        <v>0</v>
      </c>
      <c r="N523" s="14">
        <v>0</v>
      </c>
      <c r="O523" s="14">
        <v>0</v>
      </c>
      <c r="P523" s="14">
        <v>0</v>
      </c>
      <c r="Q523" s="14">
        <v>0</v>
      </c>
      <c r="R523" s="14">
        <v>0</v>
      </c>
      <c r="S523" s="14">
        <v>0</v>
      </c>
      <c r="T523" s="18">
        <v>0</v>
      </c>
      <c r="U523" s="14">
        <v>1</v>
      </c>
      <c r="W523" s="38">
        <f t="shared" si="116"/>
        <v>0</v>
      </c>
      <c r="AB523" s="37" t="str">
        <f t="shared" si="117"/>
        <v>Rental</v>
      </c>
      <c r="AC523" s="36">
        <f t="shared" si="118"/>
        <v>0</v>
      </c>
    </row>
    <row r="524" spans="1:29" x14ac:dyDescent="0.25">
      <c r="A524" s="7" t="s">
        <v>64</v>
      </c>
      <c r="B524" s="15" t="s">
        <v>73</v>
      </c>
      <c r="C524" s="7" t="s">
        <v>21</v>
      </c>
      <c r="D524" s="14">
        <v>0</v>
      </c>
      <c r="E524" s="14">
        <v>0</v>
      </c>
      <c r="F524" s="14">
        <v>0</v>
      </c>
      <c r="G524" s="14">
        <v>0</v>
      </c>
      <c r="H524" s="16">
        <v>0</v>
      </c>
      <c r="I524" s="17">
        <v>0</v>
      </c>
      <c r="J524" s="14">
        <v>0</v>
      </c>
      <c r="K524" s="14">
        <v>0</v>
      </c>
      <c r="L524" s="14">
        <v>0</v>
      </c>
      <c r="M524" s="14">
        <v>0</v>
      </c>
      <c r="N524" s="14">
        <v>0</v>
      </c>
      <c r="O524" s="14">
        <v>0</v>
      </c>
      <c r="P524" s="14">
        <v>0</v>
      </c>
      <c r="Q524" s="14">
        <v>0</v>
      </c>
      <c r="R524" s="14">
        <v>0</v>
      </c>
      <c r="S524" s="14">
        <v>0</v>
      </c>
      <c r="T524" s="18">
        <v>0</v>
      </c>
      <c r="U524" s="14">
        <v>1</v>
      </c>
      <c r="W524" s="38">
        <f t="shared" si="116"/>
        <v>0</v>
      </c>
      <c r="AB524" s="37"/>
    </row>
    <row r="525" spans="1:29" x14ac:dyDescent="0.25">
      <c r="A525" s="7" t="s">
        <v>64</v>
      </c>
      <c r="B525" s="15" t="s">
        <v>19</v>
      </c>
      <c r="C525" s="7" t="s">
        <v>21</v>
      </c>
      <c r="D525" s="14">
        <v>0</v>
      </c>
      <c r="E525" s="14">
        <v>0</v>
      </c>
      <c r="F525" s="14">
        <v>0</v>
      </c>
      <c r="G525" s="14">
        <v>0</v>
      </c>
      <c r="H525" s="16">
        <v>141</v>
      </c>
      <c r="I525" s="17">
        <v>16</v>
      </c>
      <c r="J525" s="14">
        <v>25</v>
      </c>
      <c r="K525" s="14">
        <v>14</v>
      </c>
      <c r="L525" s="14">
        <v>14</v>
      </c>
      <c r="M525" s="14">
        <v>13</v>
      </c>
      <c r="N525" s="14">
        <v>13</v>
      </c>
      <c r="O525" s="14">
        <v>13</v>
      </c>
      <c r="P525" s="14">
        <v>15</v>
      </c>
      <c r="Q525" s="14">
        <v>10</v>
      </c>
      <c r="R525" s="14">
        <v>5</v>
      </c>
      <c r="S525" s="14">
        <v>2</v>
      </c>
      <c r="T525" s="18">
        <v>1</v>
      </c>
      <c r="U525" s="14">
        <v>1</v>
      </c>
      <c r="W525" s="38">
        <f t="shared" si="116"/>
        <v>141</v>
      </c>
      <c r="AB525" s="37" t="str">
        <f t="shared" si="117"/>
        <v>Maintenance</v>
      </c>
      <c r="AC525" s="36">
        <f t="shared" si="118"/>
        <v>16</v>
      </c>
    </row>
    <row r="526" spans="1:29" ht="13" thickBot="1" x14ac:dyDescent="0.3">
      <c r="A526" s="7" t="s">
        <v>64</v>
      </c>
      <c r="B526" s="19" t="s">
        <v>20</v>
      </c>
      <c r="C526" s="20" t="s">
        <v>21</v>
      </c>
      <c r="D526" s="21">
        <v>0</v>
      </c>
      <c r="E526" s="21">
        <v>0</v>
      </c>
      <c r="F526" s="21">
        <v>0</v>
      </c>
      <c r="G526" s="21">
        <v>0</v>
      </c>
      <c r="H526" s="22">
        <v>4</v>
      </c>
      <c r="I526" s="23">
        <v>4</v>
      </c>
      <c r="J526" s="21">
        <v>0</v>
      </c>
      <c r="K526" s="21">
        <v>0</v>
      </c>
      <c r="L526" s="21">
        <v>0</v>
      </c>
      <c r="M526" s="21">
        <v>0</v>
      </c>
      <c r="N526" s="21">
        <v>0</v>
      </c>
      <c r="O526" s="21">
        <v>0</v>
      </c>
      <c r="P526" s="21">
        <v>0</v>
      </c>
      <c r="Q526" s="21">
        <v>0</v>
      </c>
      <c r="R526" s="21">
        <v>0</v>
      </c>
      <c r="S526" s="21">
        <v>0</v>
      </c>
      <c r="T526" s="24">
        <v>0</v>
      </c>
      <c r="U526" s="14">
        <v>1</v>
      </c>
      <c r="W526" s="38">
        <f t="shared" si="116"/>
        <v>4</v>
      </c>
      <c r="AB526" s="37" t="str">
        <f t="shared" si="117"/>
        <v>Startup</v>
      </c>
      <c r="AC526" s="36">
        <f t="shared" si="118"/>
        <v>4</v>
      </c>
    </row>
    <row r="527" spans="1:29" ht="13" thickBot="1" x14ac:dyDescent="0.3">
      <c r="A527" s="20" t="s">
        <v>64</v>
      </c>
      <c r="B527" s="25" t="s">
        <v>12</v>
      </c>
      <c r="C527" s="26" t="s">
        <v>21</v>
      </c>
      <c r="D527" s="27">
        <v>0</v>
      </c>
      <c r="E527" s="27">
        <v>0</v>
      </c>
      <c r="F527" s="27">
        <v>0</v>
      </c>
      <c r="G527" s="27">
        <v>0</v>
      </c>
      <c r="H527" s="28">
        <v>736</v>
      </c>
      <c r="I527" s="29">
        <v>187</v>
      </c>
      <c r="J527" s="27">
        <v>237</v>
      </c>
      <c r="K527" s="27">
        <v>221</v>
      </c>
      <c r="L527" s="27">
        <v>14</v>
      </c>
      <c r="M527" s="27">
        <v>13</v>
      </c>
      <c r="N527" s="27">
        <v>18</v>
      </c>
      <c r="O527" s="27">
        <v>13</v>
      </c>
      <c r="P527" s="27">
        <v>15</v>
      </c>
      <c r="Q527" s="27">
        <v>10</v>
      </c>
      <c r="R527" s="27">
        <v>5</v>
      </c>
      <c r="S527" s="27">
        <v>2</v>
      </c>
      <c r="T527" s="29">
        <v>1</v>
      </c>
      <c r="U527" s="14">
        <v>1</v>
      </c>
      <c r="W527" s="38">
        <f t="shared" si="116"/>
        <v>736</v>
      </c>
      <c r="X527" s="35">
        <f>W526+W525+W522</f>
        <v>218</v>
      </c>
      <c r="Y527" s="35">
        <f>W520</f>
        <v>293</v>
      </c>
      <c r="Z527" s="40">
        <f>V518/X527</f>
        <v>0</v>
      </c>
      <c r="AA527" s="40">
        <f>IF((Y527=0),0,Y519/Y527)</f>
        <v>1.1808873720136519</v>
      </c>
      <c r="AB527" s="48"/>
      <c r="AC527" s="48"/>
    </row>
    <row r="528" spans="1:29" ht="13" thickBot="1" x14ac:dyDescent="0.3">
      <c r="A528" s="9" t="s">
        <v>42</v>
      </c>
      <c r="B528" s="30" t="s">
        <v>15</v>
      </c>
      <c r="C528" s="31" t="s">
        <v>94</v>
      </c>
      <c r="D528" s="32" t="s">
        <v>47</v>
      </c>
      <c r="E528" s="53" t="s">
        <v>104</v>
      </c>
      <c r="F528" s="53" t="s">
        <v>105</v>
      </c>
      <c r="G528" s="53" t="s">
        <v>106</v>
      </c>
      <c r="H528" s="28" t="s">
        <v>12</v>
      </c>
      <c r="I528" s="54" t="s">
        <v>107</v>
      </c>
      <c r="J528" s="53" t="s">
        <v>108</v>
      </c>
      <c r="K528" s="53" t="s">
        <v>109</v>
      </c>
      <c r="L528" s="53" t="s">
        <v>110</v>
      </c>
      <c r="M528" s="53" t="s">
        <v>111</v>
      </c>
      <c r="N528" s="53" t="s">
        <v>115</v>
      </c>
      <c r="O528" s="53" t="s">
        <v>120</v>
      </c>
      <c r="P528" s="53" t="s">
        <v>121</v>
      </c>
      <c r="Q528" s="53" t="s">
        <v>164</v>
      </c>
      <c r="R528" s="53" t="s">
        <v>173</v>
      </c>
      <c r="S528" s="53" t="s">
        <v>177</v>
      </c>
      <c r="T528" s="55" t="s">
        <v>182</v>
      </c>
      <c r="U528" s="14">
        <v>1</v>
      </c>
      <c r="V528" s="14" t="s">
        <v>183</v>
      </c>
      <c r="W528" s="35"/>
      <c r="X528" s="14" t="s">
        <v>37</v>
      </c>
      <c r="Y528" s="14" t="s">
        <v>38</v>
      </c>
      <c r="AB528" s="48"/>
      <c r="AC528" s="48"/>
    </row>
    <row r="529" spans="1:29" x14ac:dyDescent="0.25">
      <c r="A529" s="7" t="s">
        <v>42</v>
      </c>
      <c r="B529" s="8" t="s">
        <v>17</v>
      </c>
      <c r="C529" s="9" t="s">
        <v>18</v>
      </c>
      <c r="D529" s="10">
        <v>0</v>
      </c>
      <c r="E529" s="10">
        <v>0</v>
      </c>
      <c r="F529" s="10">
        <v>0</v>
      </c>
      <c r="G529" s="10">
        <v>0</v>
      </c>
      <c r="H529" s="11">
        <v>0</v>
      </c>
      <c r="I529" s="12">
        <v>0</v>
      </c>
      <c r="J529" s="10">
        <v>0</v>
      </c>
      <c r="K529" s="10">
        <v>0</v>
      </c>
      <c r="L529" s="10">
        <v>0</v>
      </c>
      <c r="M529" s="10">
        <v>0</v>
      </c>
      <c r="N529" s="10">
        <v>0</v>
      </c>
      <c r="O529" s="10">
        <v>0</v>
      </c>
      <c r="P529" s="10">
        <v>0</v>
      </c>
      <c r="Q529" s="10">
        <v>0</v>
      </c>
      <c r="R529" s="10">
        <v>0</v>
      </c>
      <c r="S529" s="10">
        <v>0</v>
      </c>
      <c r="T529" s="13">
        <v>0</v>
      </c>
      <c r="U529" s="14">
        <v>1</v>
      </c>
      <c r="V529" s="42" t="e">
        <f>SUM(I529:T529)/H529</f>
        <v>#DIV/0!</v>
      </c>
      <c r="W529" s="39">
        <f>SUM(I529:T529)*U529</f>
        <v>0</v>
      </c>
    </row>
    <row r="530" spans="1:29" x14ac:dyDescent="0.25">
      <c r="A530" s="7" t="s">
        <v>42</v>
      </c>
      <c r="B530" s="15" t="s">
        <v>66</v>
      </c>
      <c r="C530" s="7" t="s">
        <v>18</v>
      </c>
      <c r="D530" s="14">
        <v>0</v>
      </c>
      <c r="E530" s="14">
        <v>0</v>
      </c>
      <c r="F530" s="14">
        <v>0</v>
      </c>
      <c r="G530" s="14">
        <v>0</v>
      </c>
      <c r="H530" s="16">
        <v>0</v>
      </c>
      <c r="I530" s="17">
        <v>0</v>
      </c>
      <c r="J530" s="14">
        <v>0</v>
      </c>
      <c r="K530" s="14">
        <v>0</v>
      </c>
      <c r="L530" s="14">
        <v>0</v>
      </c>
      <c r="M530" s="14">
        <v>0</v>
      </c>
      <c r="N530" s="14">
        <v>0</v>
      </c>
      <c r="O530" s="14">
        <v>0</v>
      </c>
      <c r="P530" s="14">
        <v>0</v>
      </c>
      <c r="Q530" s="14">
        <v>0</v>
      </c>
      <c r="R530" s="14">
        <v>0</v>
      </c>
      <c r="S530" s="14">
        <v>0</v>
      </c>
      <c r="T530" s="18">
        <v>0</v>
      </c>
      <c r="U530" s="14">
        <v>1</v>
      </c>
      <c r="V530" s="44"/>
      <c r="W530" s="39">
        <f t="shared" ref="W530:W536" si="119">SUM(I530:T530)*U530</f>
        <v>0</v>
      </c>
    </row>
    <row r="531" spans="1:29" x14ac:dyDescent="0.25">
      <c r="A531" s="7" t="s">
        <v>42</v>
      </c>
      <c r="B531" s="15" t="s">
        <v>13</v>
      </c>
      <c r="C531" s="7" t="s">
        <v>18</v>
      </c>
      <c r="D531" s="14">
        <v>0</v>
      </c>
      <c r="E531" s="14">
        <v>0</v>
      </c>
      <c r="F531" s="14">
        <v>0</v>
      </c>
      <c r="G531" s="14">
        <v>0</v>
      </c>
      <c r="H531" s="16">
        <v>0</v>
      </c>
      <c r="I531" s="17">
        <v>0</v>
      </c>
      <c r="J531" s="14">
        <v>0</v>
      </c>
      <c r="K531" s="14">
        <v>0</v>
      </c>
      <c r="L531" s="14">
        <v>0</v>
      </c>
      <c r="M531" s="14">
        <v>0</v>
      </c>
      <c r="N531" s="14">
        <v>0</v>
      </c>
      <c r="O531" s="14">
        <v>0</v>
      </c>
      <c r="P531" s="14">
        <v>0</v>
      </c>
      <c r="Q531" s="14">
        <v>0</v>
      </c>
      <c r="R531" s="14">
        <v>0</v>
      </c>
      <c r="S531" s="14">
        <v>0</v>
      </c>
      <c r="T531" s="18">
        <v>0</v>
      </c>
      <c r="U531" s="14">
        <v>1</v>
      </c>
      <c r="V531" s="41"/>
      <c r="W531" s="39">
        <f t="shared" si="119"/>
        <v>0</v>
      </c>
    </row>
    <row r="532" spans="1:29" x14ac:dyDescent="0.25">
      <c r="A532" s="7" t="s">
        <v>42</v>
      </c>
      <c r="B532" s="15" t="s">
        <v>67</v>
      </c>
      <c r="C532" s="7" t="s">
        <v>18</v>
      </c>
      <c r="D532" s="14">
        <v>0</v>
      </c>
      <c r="E532" s="14">
        <v>0</v>
      </c>
      <c r="F532" s="14">
        <v>0</v>
      </c>
      <c r="G532" s="14">
        <v>0</v>
      </c>
      <c r="H532" s="16">
        <v>0</v>
      </c>
      <c r="I532" s="17">
        <v>0</v>
      </c>
      <c r="J532" s="14">
        <v>0</v>
      </c>
      <c r="K532" s="14">
        <v>0</v>
      </c>
      <c r="L532" s="14">
        <v>0</v>
      </c>
      <c r="M532" s="14">
        <v>0</v>
      </c>
      <c r="N532" s="14">
        <v>0</v>
      </c>
      <c r="O532" s="14">
        <v>0</v>
      </c>
      <c r="P532" s="14">
        <v>0</v>
      </c>
      <c r="Q532" s="14">
        <v>0</v>
      </c>
      <c r="R532" s="14">
        <v>0</v>
      </c>
      <c r="S532" s="14">
        <v>0</v>
      </c>
      <c r="T532" s="18">
        <v>0</v>
      </c>
      <c r="U532" s="14">
        <v>1</v>
      </c>
      <c r="V532" s="41"/>
      <c r="W532" s="39">
        <f t="shared" si="119"/>
        <v>0</v>
      </c>
    </row>
    <row r="533" spans="1:29" x14ac:dyDescent="0.25">
      <c r="A533" s="7" t="s">
        <v>42</v>
      </c>
      <c r="B533" s="15" t="s">
        <v>73</v>
      </c>
      <c r="C533" s="7" t="s">
        <v>18</v>
      </c>
      <c r="D533" s="14">
        <v>0</v>
      </c>
      <c r="E533" s="14">
        <v>0</v>
      </c>
      <c r="F533" s="14">
        <v>0</v>
      </c>
      <c r="G533" s="14">
        <v>0</v>
      </c>
      <c r="H533" s="16">
        <v>0</v>
      </c>
      <c r="I533" s="17">
        <v>0</v>
      </c>
      <c r="J533" s="14">
        <v>0</v>
      </c>
      <c r="K533" s="14">
        <v>0</v>
      </c>
      <c r="L533" s="14">
        <v>0</v>
      </c>
      <c r="M533" s="14">
        <v>0</v>
      </c>
      <c r="N533" s="14">
        <v>0</v>
      </c>
      <c r="O533" s="14">
        <v>0</v>
      </c>
      <c r="P533" s="14">
        <v>0</v>
      </c>
      <c r="Q533" s="14">
        <v>0</v>
      </c>
      <c r="R533" s="14">
        <v>0</v>
      </c>
      <c r="S533" s="14">
        <v>0</v>
      </c>
      <c r="T533" s="18">
        <v>0</v>
      </c>
      <c r="U533" s="14">
        <v>1</v>
      </c>
      <c r="V533" s="41"/>
      <c r="W533" s="39">
        <f t="shared" si="119"/>
        <v>0</v>
      </c>
    </row>
    <row r="534" spans="1:29" x14ac:dyDescent="0.25">
      <c r="A534" s="7" t="s">
        <v>42</v>
      </c>
      <c r="B534" s="15" t="s">
        <v>19</v>
      </c>
      <c r="C534" s="7" t="s">
        <v>18</v>
      </c>
      <c r="D534" s="14">
        <v>0</v>
      </c>
      <c r="E534" s="14">
        <v>0</v>
      </c>
      <c r="F534" s="14">
        <v>0</v>
      </c>
      <c r="G534" s="14">
        <v>0</v>
      </c>
      <c r="H534" s="16">
        <v>0</v>
      </c>
      <c r="I534" s="17">
        <v>0</v>
      </c>
      <c r="J534" s="14">
        <v>0</v>
      </c>
      <c r="K534" s="14">
        <v>0</v>
      </c>
      <c r="L534" s="14">
        <v>0</v>
      </c>
      <c r="M534" s="14">
        <v>0</v>
      </c>
      <c r="N534" s="14">
        <v>0</v>
      </c>
      <c r="O534" s="14">
        <v>0</v>
      </c>
      <c r="P534" s="14">
        <v>0</v>
      </c>
      <c r="Q534" s="14">
        <v>0</v>
      </c>
      <c r="R534" s="14">
        <v>0</v>
      </c>
      <c r="S534" s="14">
        <v>0</v>
      </c>
      <c r="T534" s="18">
        <v>0</v>
      </c>
      <c r="U534" s="14">
        <v>1</v>
      </c>
      <c r="V534" s="41"/>
      <c r="W534" s="39">
        <f t="shared" si="119"/>
        <v>0</v>
      </c>
    </row>
    <row r="535" spans="1:29" ht="13" thickBot="1" x14ac:dyDescent="0.3">
      <c r="A535" s="7" t="s">
        <v>42</v>
      </c>
      <c r="B535" s="19" t="s">
        <v>20</v>
      </c>
      <c r="C535" s="20" t="s">
        <v>18</v>
      </c>
      <c r="D535" s="21">
        <v>0</v>
      </c>
      <c r="E535" s="21">
        <v>0</v>
      </c>
      <c r="F535" s="21">
        <v>0</v>
      </c>
      <c r="G535" s="21">
        <v>0</v>
      </c>
      <c r="H535" s="22">
        <v>0</v>
      </c>
      <c r="I535" s="23">
        <v>0</v>
      </c>
      <c r="J535" s="21">
        <v>0</v>
      </c>
      <c r="K535" s="21">
        <v>0</v>
      </c>
      <c r="L535" s="21">
        <v>0</v>
      </c>
      <c r="M535" s="21">
        <v>0</v>
      </c>
      <c r="N535" s="21">
        <v>0</v>
      </c>
      <c r="O535" s="21">
        <v>0</v>
      </c>
      <c r="P535" s="21">
        <v>0</v>
      </c>
      <c r="Q535" s="21">
        <v>0</v>
      </c>
      <c r="R535" s="21">
        <v>0</v>
      </c>
      <c r="S535" s="21">
        <v>0</v>
      </c>
      <c r="T535" s="24">
        <v>0</v>
      </c>
      <c r="U535" s="14">
        <v>1</v>
      </c>
      <c r="V535" s="44"/>
      <c r="W535" s="39">
        <f t="shared" si="119"/>
        <v>0</v>
      </c>
    </row>
    <row r="536" spans="1:29" ht="13" thickBot="1" x14ac:dyDescent="0.3">
      <c r="A536" s="7" t="s">
        <v>42</v>
      </c>
      <c r="B536" s="25" t="s">
        <v>12</v>
      </c>
      <c r="C536" s="26" t="s">
        <v>18</v>
      </c>
      <c r="D536" s="27">
        <v>0</v>
      </c>
      <c r="E536" s="27">
        <v>0</v>
      </c>
      <c r="F536" s="27">
        <v>0</v>
      </c>
      <c r="G536" s="27">
        <v>0</v>
      </c>
      <c r="H536" s="28">
        <v>0</v>
      </c>
      <c r="I536" s="29">
        <v>0</v>
      </c>
      <c r="J536" s="27">
        <v>0</v>
      </c>
      <c r="K536" s="27">
        <v>0</v>
      </c>
      <c r="L536" s="27">
        <v>0</v>
      </c>
      <c r="M536" s="27">
        <v>0</v>
      </c>
      <c r="N536" s="27">
        <v>0</v>
      </c>
      <c r="O536" s="27">
        <v>0</v>
      </c>
      <c r="P536" s="27">
        <v>0</v>
      </c>
      <c r="Q536" s="27">
        <v>0</v>
      </c>
      <c r="R536" s="27">
        <v>0</v>
      </c>
      <c r="S536" s="27">
        <v>0</v>
      </c>
      <c r="T536" s="29">
        <v>0</v>
      </c>
      <c r="U536" s="14">
        <v>1</v>
      </c>
      <c r="V536" s="43" t="e">
        <f>SUM(I531:T534)/SUM(H531:H534)</f>
        <v>#DIV/0!</v>
      </c>
      <c r="W536" s="39">
        <f t="shared" si="119"/>
        <v>0</v>
      </c>
      <c r="X536" s="35">
        <f>W534+W531</f>
        <v>0</v>
      </c>
      <c r="Y536" s="35">
        <f>W529</f>
        <v>0</v>
      </c>
    </row>
    <row r="537" spans="1:29" x14ac:dyDescent="0.25">
      <c r="A537" s="7" t="s">
        <v>42</v>
      </c>
      <c r="B537" s="8" t="s">
        <v>17</v>
      </c>
      <c r="C537" s="9" t="s">
        <v>21</v>
      </c>
      <c r="D537" s="10">
        <v>0</v>
      </c>
      <c r="E537" s="10">
        <v>0</v>
      </c>
      <c r="F537" s="10">
        <v>0</v>
      </c>
      <c r="G537" s="10">
        <v>0</v>
      </c>
      <c r="H537" s="11">
        <v>95</v>
      </c>
      <c r="I537" s="12">
        <v>14</v>
      </c>
      <c r="J537" s="10">
        <v>0</v>
      </c>
      <c r="K537" s="10">
        <v>1</v>
      </c>
      <c r="L537" s="10">
        <v>80</v>
      </c>
      <c r="M537" s="10">
        <v>0</v>
      </c>
      <c r="N537" s="10">
        <v>0</v>
      </c>
      <c r="O537" s="10">
        <v>0</v>
      </c>
      <c r="P537" s="10">
        <v>0</v>
      </c>
      <c r="Q537" s="10">
        <v>0</v>
      </c>
      <c r="R537" s="10">
        <v>0</v>
      </c>
      <c r="S537" s="10">
        <v>0</v>
      </c>
      <c r="T537" s="13">
        <v>0</v>
      </c>
      <c r="U537" s="14">
        <v>1</v>
      </c>
      <c r="W537" s="38">
        <f t="shared" ref="W537:W544" si="120">H537*U537</f>
        <v>95</v>
      </c>
      <c r="AB537" s="37" t="str">
        <f t="shared" ref="AB537:AB543" si="121">B537</f>
        <v>Parts-OTC</v>
      </c>
      <c r="AC537" s="36">
        <f t="shared" ref="AC537:AC543" si="122">I537*U537</f>
        <v>14</v>
      </c>
    </row>
    <row r="538" spans="1:29" x14ac:dyDescent="0.25">
      <c r="A538" s="7" t="s">
        <v>42</v>
      </c>
      <c r="B538" s="15" t="s">
        <v>66</v>
      </c>
      <c r="C538" s="7" t="s">
        <v>21</v>
      </c>
      <c r="D538" s="14">
        <v>0</v>
      </c>
      <c r="E538" s="14">
        <v>0</v>
      </c>
      <c r="F538" s="14">
        <v>0</v>
      </c>
      <c r="G538" s="14">
        <v>0</v>
      </c>
      <c r="H538" s="16">
        <v>114</v>
      </c>
      <c r="I538" s="17">
        <v>23</v>
      </c>
      <c r="J538" s="14">
        <v>7</v>
      </c>
      <c r="K538" s="14">
        <v>38</v>
      </c>
      <c r="L538" s="14">
        <v>37</v>
      </c>
      <c r="M538" s="14">
        <v>0</v>
      </c>
      <c r="N538" s="14">
        <v>0</v>
      </c>
      <c r="O538" s="14">
        <v>0</v>
      </c>
      <c r="P538" s="14">
        <v>0</v>
      </c>
      <c r="Q538" s="14">
        <v>9</v>
      </c>
      <c r="R538" s="14">
        <v>0</v>
      </c>
      <c r="S538" s="14">
        <v>0</v>
      </c>
      <c r="T538" s="18">
        <v>0</v>
      </c>
      <c r="U538" s="14">
        <v>1</v>
      </c>
      <c r="W538" s="38">
        <f t="shared" si="120"/>
        <v>114</v>
      </c>
      <c r="AB538" s="37" t="str">
        <f t="shared" si="121"/>
        <v>CTKS</v>
      </c>
      <c r="AC538" s="36">
        <f t="shared" si="122"/>
        <v>23</v>
      </c>
    </row>
    <row r="539" spans="1:29" x14ac:dyDescent="0.25">
      <c r="A539" s="7" t="s">
        <v>42</v>
      </c>
      <c r="B539" s="15" t="s">
        <v>13</v>
      </c>
      <c r="C539" s="7" t="s">
        <v>21</v>
      </c>
      <c r="D539" s="14">
        <v>0</v>
      </c>
      <c r="E539" s="14">
        <v>0</v>
      </c>
      <c r="F539" s="14">
        <v>0</v>
      </c>
      <c r="G539" s="14">
        <v>0</v>
      </c>
      <c r="H539" s="16">
        <v>58</v>
      </c>
      <c r="I539" s="33">
        <v>15</v>
      </c>
      <c r="J539" s="34">
        <v>40</v>
      </c>
      <c r="K539" s="34">
        <v>0</v>
      </c>
      <c r="L539" s="14">
        <v>3</v>
      </c>
      <c r="M539" s="14">
        <v>0</v>
      </c>
      <c r="N539" s="14">
        <v>0</v>
      </c>
      <c r="O539" s="14">
        <v>0</v>
      </c>
      <c r="P539" s="14">
        <v>0</v>
      </c>
      <c r="Q539" s="14">
        <v>0</v>
      </c>
      <c r="R539" s="14">
        <v>0</v>
      </c>
      <c r="S539" s="14">
        <v>0</v>
      </c>
      <c r="T539" s="18">
        <v>0</v>
      </c>
      <c r="U539" s="14">
        <v>1</v>
      </c>
      <c r="W539" s="38">
        <f t="shared" si="120"/>
        <v>58</v>
      </c>
      <c r="AB539" s="37" t="str">
        <f t="shared" si="121"/>
        <v>Repair</v>
      </c>
      <c r="AC539" s="36">
        <f t="shared" si="122"/>
        <v>15</v>
      </c>
    </row>
    <row r="540" spans="1:29" x14ac:dyDescent="0.25">
      <c r="A540" s="7" t="s">
        <v>42</v>
      </c>
      <c r="B540" s="15" t="s">
        <v>67</v>
      </c>
      <c r="C540" s="7" t="s">
        <v>21</v>
      </c>
      <c r="D540" s="14">
        <v>0</v>
      </c>
      <c r="E540" s="14">
        <v>0</v>
      </c>
      <c r="F540" s="14">
        <v>0</v>
      </c>
      <c r="G540" s="14">
        <v>0</v>
      </c>
      <c r="H540" s="16">
        <v>0</v>
      </c>
      <c r="I540" s="17">
        <v>0</v>
      </c>
      <c r="J540" s="14">
        <v>0</v>
      </c>
      <c r="K540" s="14">
        <v>0</v>
      </c>
      <c r="L540" s="14">
        <v>0</v>
      </c>
      <c r="M540" s="14">
        <v>0</v>
      </c>
      <c r="N540" s="14">
        <v>0</v>
      </c>
      <c r="O540" s="14">
        <v>0</v>
      </c>
      <c r="P540" s="14">
        <v>0</v>
      </c>
      <c r="Q540" s="14">
        <v>0</v>
      </c>
      <c r="R540" s="14">
        <v>0</v>
      </c>
      <c r="S540" s="14">
        <v>0</v>
      </c>
      <c r="T540" s="18">
        <v>0</v>
      </c>
      <c r="U540" s="14">
        <v>1</v>
      </c>
      <c r="W540" s="38">
        <f t="shared" si="120"/>
        <v>0</v>
      </c>
      <c r="AB540" s="37" t="str">
        <f t="shared" si="121"/>
        <v>Rental</v>
      </c>
      <c r="AC540" s="36">
        <f t="shared" si="122"/>
        <v>0</v>
      </c>
    </row>
    <row r="541" spans="1:29" x14ac:dyDescent="0.25">
      <c r="A541" s="7" t="s">
        <v>42</v>
      </c>
      <c r="B541" s="15" t="s">
        <v>73</v>
      </c>
      <c r="C541" s="7" t="s">
        <v>21</v>
      </c>
      <c r="D541" s="14">
        <v>0</v>
      </c>
      <c r="E541" s="14">
        <v>0</v>
      </c>
      <c r="F541" s="14">
        <v>0</v>
      </c>
      <c r="G541" s="14">
        <v>0</v>
      </c>
      <c r="H541" s="16">
        <v>0</v>
      </c>
      <c r="I541" s="17">
        <v>0</v>
      </c>
      <c r="J541" s="14">
        <v>0</v>
      </c>
      <c r="K541" s="14">
        <v>0</v>
      </c>
      <c r="L541" s="14">
        <v>0</v>
      </c>
      <c r="M541" s="14">
        <v>0</v>
      </c>
      <c r="N541" s="14">
        <v>0</v>
      </c>
      <c r="O541" s="14">
        <v>0</v>
      </c>
      <c r="P541" s="14">
        <v>0</v>
      </c>
      <c r="Q541" s="14">
        <v>0</v>
      </c>
      <c r="R541" s="14">
        <v>0</v>
      </c>
      <c r="S541" s="14">
        <v>0</v>
      </c>
      <c r="T541" s="18">
        <v>0</v>
      </c>
      <c r="U541" s="14">
        <v>1</v>
      </c>
      <c r="W541" s="38">
        <f t="shared" si="120"/>
        <v>0</v>
      </c>
      <c r="AB541" s="37"/>
    </row>
    <row r="542" spans="1:29" x14ac:dyDescent="0.25">
      <c r="A542" s="7" t="s">
        <v>42</v>
      </c>
      <c r="B542" s="15" t="s">
        <v>19</v>
      </c>
      <c r="C542" s="7" t="s">
        <v>21</v>
      </c>
      <c r="D542" s="14">
        <v>0</v>
      </c>
      <c r="E542" s="14">
        <v>0</v>
      </c>
      <c r="F542" s="14">
        <v>0</v>
      </c>
      <c r="G542" s="14">
        <v>0</v>
      </c>
      <c r="H542" s="16">
        <v>237</v>
      </c>
      <c r="I542" s="17">
        <v>26</v>
      </c>
      <c r="J542" s="14">
        <v>26</v>
      </c>
      <c r="K542" s="14">
        <v>26</v>
      </c>
      <c r="L542" s="14">
        <v>26</v>
      </c>
      <c r="M542" s="14">
        <v>26</v>
      </c>
      <c r="N542" s="14">
        <v>26</v>
      </c>
      <c r="O542" s="14">
        <v>26</v>
      </c>
      <c r="P542" s="14">
        <v>26</v>
      </c>
      <c r="Q542" s="14">
        <v>26</v>
      </c>
      <c r="R542" s="14">
        <v>1</v>
      </c>
      <c r="S542" s="14">
        <v>1</v>
      </c>
      <c r="T542" s="18">
        <v>1</v>
      </c>
      <c r="U542" s="14">
        <v>1</v>
      </c>
      <c r="W542" s="38">
        <f t="shared" si="120"/>
        <v>237</v>
      </c>
      <c r="AB542" s="37" t="str">
        <f t="shared" si="121"/>
        <v>Maintenance</v>
      </c>
      <c r="AC542" s="36">
        <f t="shared" si="122"/>
        <v>26</v>
      </c>
    </row>
    <row r="543" spans="1:29" ht="13" thickBot="1" x14ac:dyDescent="0.3">
      <c r="A543" s="7" t="s">
        <v>42</v>
      </c>
      <c r="B543" s="19" t="s">
        <v>20</v>
      </c>
      <c r="C543" s="20" t="s">
        <v>21</v>
      </c>
      <c r="D543" s="21">
        <v>0</v>
      </c>
      <c r="E543" s="21">
        <v>0</v>
      </c>
      <c r="F543" s="21">
        <v>0</v>
      </c>
      <c r="G543" s="21">
        <v>0</v>
      </c>
      <c r="H543" s="22">
        <v>0</v>
      </c>
      <c r="I543" s="23">
        <v>0</v>
      </c>
      <c r="J543" s="21">
        <v>0</v>
      </c>
      <c r="K543" s="21">
        <v>0</v>
      </c>
      <c r="L543" s="21">
        <v>0</v>
      </c>
      <c r="M543" s="21">
        <v>0</v>
      </c>
      <c r="N543" s="21">
        <v>0</v>
      </c>
      <c r="O543" s="21">
        <v>0</v>
      </c>
      <c r="P543" s="21">
        <v>0</v>
      </c>
      <c r="Q543" s="21">
        <v>0</v>
      </c>
      <c r="R543" s="21">
        <v>0</v>
      </c>
      <c r="S543" s="21">
        <v>0</v>
      </c>
      <c r="T543" s="24">
        <v>0</v>
      </c>
      <c r="U543" s="14">
        <v>1</v>
      </c>
      <c r="W543" s="38">
        <f t="shared" si="120"/>
        <v>0</v>
      </c>
      <c r="AB543" s="37" t="str">
        <f t="shared" si="121"/>
        <v>Startup</v>
      </c>
      <c r="AC543" s="36">
        <f t="shared" si="122"/>
        <v>0</v>
      </c>
    </row>
    <row r="544" spans="1:29" ht="13" thickBot="1" x14ac:dyDescent="0.3">
      <c r="A544" s="20" t="s">
        <v>42</v>
      </c>
      <c r="B544" s="25" t="s">
        <v>12</v>
      </c>
      <c r="C544" s="26" t="s">
        <v>21</v>
      </c>
      <c r="D544" s="27">
        <v>0</v>
      </c>
      <c r="E544" s="27">
        <v>0</v>
      </c>
      <c r="F544" s="27">
        <v>0</v>
      </c>
      <c r="G544" s="27">
        <v>0</v>
      </c>
      <c r="H544" s="28">
        <v>504</v>
      </c>
      <c r="I544" s="29">
        <v>78</v>
      </c>
      <c r="J544" s="27">
        <v>73</v>
      </c>
      <c r="K544" s="27">
        <v>65</v>
      </c>
      <c r="L544" s="27">
        <v>146</v>
      </c>
      <c r="M544" s="27">
        <v>26</v>
      </c>
      <c r="N544" s="27">
        <v>26</v>
      </c>
      <c r="O544" s="27">
        <v>26</v>
      </c>
      <c r="P544" s="27">
        <v>26</v>
      </c>
      <c r="Q544" s="27">
        <v>35</v>
      </c>
      <c r="R544" s="27">
        <v>1</v>
      </c>
      <c r="S544" s="27">
        <v>1</v>
      </c>
      <c r="T544" s="29">
        <v>1</v>
      </c>
      <c r="U544" s="14">
        <v>1</v>
      </c>
      <c r="W544" s="38">
        <f t="shared" si="120"/>
        <v>504</v>
      </c>
      <c r="X544" s="35">
        <f>W543+W542+W539</f>
        <v>295</v>
      </c>
      <c r="Y544" s="35">
        <f>W537</f>
        <v>95</v>
      </c>
      <c r="Z544" s="40">
        <f>V535/X544</f>
        <v>0</v>
      </c>
      <c r="AA544" s="40">
        <f>IF((Y544=0),0,Y536/Y544)</f>
        <v>0</v>
      </c>
      <c r="AB544" s="48"/>
      <c r="AC544" s="48"/>
    </row>
    <row r="545" spans="1:29" ht="13" thickBot="1" x14ac:dyDescent="0.3">
      <c r="A545" s="9" t="s">
        <v>72</v>
      </c>
      <c r="B545" s="30" t="s">
        <v>15</v>
      </c>
      <c r="C545" s="31" t="s">
        <v>94</v>
      </c>
      <c r="D545" s="32" t="s">
        <v>47</v>
      </c>
      <c r="E545" s="53" t="s">
        <v>104</v>
      </c>
      <c r="F545" s="53" t="s">
        <v>105</v>
      </c>
      <c r="G545" s="53" t="s">
        <v>106</v>
      </c>
      <c r="H545" s="28" t="s">
        <v>12</v>
      </c>
      <c r="I545" s="54" t="s">
        <v>107</v>
      </c>
      <c r="J545" s="53" t="s">
        <v>108</v>
      </c>
      <c r="K545" s="53" t="s">
        <v>109</v>
      </c>
      <c r="L545" s="53" t="s">
        <v>110</v>
      </c>
      <c r="M545" s="53" t="s">
        <v>111</v>
      </c>
      <c r="N545" s="53" t="s">
        <v>115</v>
      </c>
      <c r="O545" s="53" t="s">
        <v>120</v>
      </c>
      <c r="P545" s="53" t="s">
        <v>121</v>
      </c>
      <c r="Q545" s="53" t="s">
        <v>164</v>
      </c>
      <c r="R545" s="53" t="s">
        <v>173</v>
      </c>
      <c r="S545" s="53" t="s">
        <v>177</v>
      </c>
      <c r="T545" s="55" t="s">
        <v>182</v>
      </c>
      <c r="U545" s="14">
        <v>0.26654124899999998</v>
      </c>
      <c r="V545" s="14" t="s">
        <v>183</v>
      </c>
      <c r="W545" s="35"/>
      <c r="X545" s="14" t="s">
        <v>37</v>
      </c>
      <c r="Y545" s="14" t="s">
        <v>38</v>
      </c>
      <c r="AB545" s="48"/>
      <c r="AC545" s="48"/>
    </row>
    <row r="546" spans="1:29" x14ac:dyDescent="0.25">
      <c r="A546" s="7" t="s">
        <v>72</v>
      </c>
      <c r="B546" s="8" t="s">
        <v>17</v>
      </c>
      <c r="C546" s="9" t="s">
        <v>18</v>
      </c>
      <c r="D546" s="10">
        <v>0</v>
      </c>
      <c r="E546" s="10">
        <v>0</v>
      </c>
      <c r="F546" s="10">
        <v>0</v>
      </c>
      <c r="G546" s="10">
        <v>0</v>
      </c>
      <c r="H546" s="11">
        <v>0</v>
      </c>
      <c r="I546" s="162">
        <v>0</v>
      </c>
      <c r="J546" s="163">
        <v>0</v>
      </c>
      <c r="K546" s="10">
        <v>0</v>
      </c>
      <c r="L546" s="10">
        <v>0</v>
      </c>
      <c r="M546" s="10">
        <v>0</v>
      </c>
      <c r="N546" s="10">
        <v>0</v>
      </c>
      <c r="O546" s="10">
        <v>0</v>
      </c>
      <c r="P546" s="10">
        <v>0</v>
      </c>
      <c r="Q546" s="10">
        <v>0</v>
      </c>
      <c r="R546" s="10">
        <v>0</v>
      </c>
      <c r="S546" s="10">
        <v>0</v>
      </c>
      <c r="T546" s="13">
        <v>0</v>
      </c>
      <c r="U546" s="14">
        <v>0.26654124899999998</v>
      </c>
      <c r="V546" s="42" t="e">
        <f>SUM(I546:T546)/H546</f>
        <v>#DIV/0!</v>
      </c>
      <c r="W546" s="39">
        <f>SUM(I546:T546)*U546</f>
        <v>0</v>
      </c>
    </row>
    <row r="547" spans="1:29" x14ac:dyDescent="0.25">
      <c r="A547" s="7" t="s">
        <v>72</v>
      </c>
      <c r="B547" s="15" t="s">
        <v>66</v>
      </c>
      <c r="C547" s="7" t="s">
        <v>18</v>
      </c>
      <c r="D547" s="14">
        <v>0</v>
      </c>
      <c r="E547" s="14">
        <v>0</v>
      </c>
      <c r="F547" s="14">
        <v>0</v>
      </c>
      <c r="G547" s="14">
        <v>0</v>
      </c>
      <c r="H547" s="16">
        <v>0</v>
      </c>
      <c r="I547" s="17">
        <v>0</v>
      </c>
      <c r="J547" s="14">
        <v>0</v>
      </c>
      <c r="K547" s="14">
        <v>0</v>
      </c>
      <c r="L547" s="14">
        <v>0</v>
      </c>
      <c r="M547" s="14">
        <v>0</v>
      </c>
      <c r="N547" s="14">
        <v>0</v>
      </c>
      <c r="O547" s="14">
        <v>0</v>
      </c>
      <c r="P547" s="14">
        <v>0</v>
      </c>
      <c r="Q547" s="14">
        <v>0</v>
      </c>
      <c r="R547" s="14">
        <v>0</v>
      </c>
      <c r="S547" s="14">
        <v>0</v>
      </c>
      <c r="T547" s="18">
        <v>0</v>
      </c>
      <c r="U547" s="14">
        <v>0.26654124899999998</v>
      </c>
      <c r="V547" s="44"/>
      <c r="W547" s="39">
        <f t="shared" ref="W547:W553" si="123">SUM(I547:T547)*U547</f>
        <v>0</v>
      </c>
    </row>
    <row r="548" spans="1:29" x14ac:dyDescent="0.25">
      <c r="A548" s="7" t="s">
        <v>72</v>
      </c>
      <c r="B548" s="15" t="s">
        <v>13</v>
      </c>
      <c r="C548" s="7" t="s">
        <v>18</v>
      </c>
      <c r="D548" s="14">
        <v>0</v>
      </c>
      <c r="E548" s="14">
        <v>0</v>
      </c>
      <c r="F548" s="14">
        <v>0</v>
      </c>
      <c r="G548" s="14">
        <v>0</v>
      </c>
      <c r="H548" s="16">
        <v>0</v>
      </c>
      <c r="I548" s="17">
        <v>0</v>
      </c>
      <c r="J548" s="14">
        <v>0</v>
      </c>
      <c r="K548" s="14">
        <v>0</v>
      </c>
      <c r="L548" s="14">
        <v>0</v>
      </c>
      <c r="M548" s="14">
        <v>0</v>
      </c>
      <c r="N548" s="14">
        <v>0</v>
      </c>
      <c r="O548" s="14">
        <v>0</v>
      </c>
      <c r="P548" s="14">
        <v>0</v>
      </c>
      <c r="Q548" s="14">
        <v>0</v>
      </c>
      <c r="R548" s="14">
        <v>0</v>
      </c>
      <c r="S548" s="14">
        <v>0</v>
      </c>
      <c r="T548" s="18">
        <v>0</v>
      </c>
      <c r="U548" s="14">
        <v>0.26654124899999998</v>
      </c>
      <c r="V548" s="41"/>
      <c r="W548" s="39">
        <f t="shared" si="123"/>
        <v>0</v>
      </c>
    </row>
    <row r="549" spans="1:29" x14ac:dyDescent="0.25">
      <c r="A549" s="7" t="s">
        <v>72</v>
      </c>
      <c r="B549" s="15" t="s">
        <v>67</v>
      </c>
      <c r="C549" s="7" t="s">
        <v>18</v>
      </c>
      <c r="D549" s="14">
        <v>0</v>
      </c>
      <c r="E549" s="14">
        <v>0</v>
      </c>
      <c r="F549" s="14">
        <v>0</v>
      </c>
      <c r="G549" s="14">
        <v>0</v>
      </c>
      <c r="H549" s="16">
        <v>0</v>
      </c>
      <c r="I549" s="17">
        <v>0</v>
      </c>
      <c r="J549" s="14">
        <v>0</v>
      </c>
      <c r="K549" s="14">
        <v>0</v>
      </c>
      <c r="L549" s="14">
        <v>0</v>
      </c>
      <c r="M549" s="14">
        <v>0</v>
      </c>
      <c r="N549" s="14">
        <v>0</v>
      </c>
      <c r="O549" s="14">
        <v>0</v>
      </c>
      <c r="P549" s="14">
        <v>0</v>
      </c>
      <c r="Q549" s="14">
        <v>0</v>
      </c>
      <c r="R549" s="14">
        <v>0</v>
      </c>
      <c r="S549" s="14">
        <v>0</v>
      </c>
      <c r="T549" s="18">
        <v>0</v>
      </c>
      <c r="U549" s="14">
        <v>0.26654124899999998</v>
      </c>
      <c r="V549" s="41"/>
      <c r="W549" s="39">
        <f t="shared" si="123"/>
        <v>0</v>
      </c>
    </row>
    <row r="550" spans="1:29" x14ac:dyDescent="0.25">
      <c r="A550" s="7" t="s">
        <v>72</v>
      </c>
      <c r="B550" s="15" t="s">
        <v>73</v>
      </c>
      <c r="C550" s="7" t="s">
        <v>18</v>
      </c>
      <c r="D550" s="14">
        <v>0</v>
      </c>
      <c r="E550" s="14">
        <v>0</v>
      </c>
      <c r="F550" s="14">
        <v>0</v>
      </c>
      <c r="G550" s="14">
        <v>0</v>
      </c>
      <c r="H550" s="16">
        <v>0</v>
      </c>
      <c r="I550" s="17">
        <v>0</v>
      </c>
      <c r="J550" s="14">
        <v>0</v>
      </c>
      <c r="K550" s="14">
        <v>0</v>
      </c>
      <c r="L550" s="14">
        <v>0</v>
      </c>
      <c r="M550" s="14">
        <v>0</v>
      </c>
      <c r="N550" s="14">
        <v>0</v>
      </c>
      <c r="O550" s="14">
        <v>0</v>
      </c>
      <c r="P550" s="14">
        <v>0</v>
      </c>
      <c r="Q550" s="14">
        <v>0</v>
      </c>
      <c r="R550" s="14">
        <v>0</v>
      </c>
      <c r="S550" s="14">
        <v>0</v>
      </c>
      <c r="T550" s="18">
        <v>0</v>
      </c>
      <c r="U550" s="14">
        <v>0.26654124899999998</v>
      </c>
      <c r="V550" s="41"/>
      <c r="W550" s="39">
        <f t="shared" si="123"/>
        <v>0</v>
      </c>
    </row>
    <row r="551" spans="1:29" x14ac:dyDescent="0.25">
      <c r="A551" s="7" t="s">
        <v>72</v>
      </c>
      <c r="B551" s="15" t="s">
        <v>19</v>
      </c>
      <c r="C551" s="7" t="s">
        <v>18</v>
      </c>
      <c r="D551" s="14">
        <v>0</v>
      </c>
      <c r="E551" s="14">
        <v>0</v>
      </c>
      <c r="F551" s="14">
        <v>0</v>
      </c>
      <c r="G551" s="14">
        <v>0</v>
      </c>
      <c r="H551" s="16">
        <v>0</v>
      </c>
      <c r="I551" s="17">
        <v>0</v>
      </c>
      <c r="J551" s="14">
        <v>0</v>
      </c>
      <c r="K551" s="14">
        <v>0</v>
      </c>
      <c r="L551" s="14">
        <v>0</v>
      </c>
      <c r="M551" s="14">
        <v>0</v>
      </c>
      <c r="N551" s="14">
        <v>0</v>
      </c>
      <c r="O551" s="14">
        <v>0</v>
      </c>
      <c r="P551" s="14">
        <v>0</v>
      </c>
      <c r="Q551" s="14">
        <v>0</v>
      </c>
      <c r="R551" s="14">
        <v>0</v>
      </c>
      <c r="S551" s="14">
        <v>0</v>
      </c>
      <c r="T551" s="18">
        <v>0</v>
      </c>
      <c r="U551" s="14">
        <v>0.26654124899999998</v>
      </c>
      <c r="V551" s="41"/>
      <c r="W551" s="39">
        <f t="shared" si="123"/>
        <v>0</v>
      </c>
    </row>
    <row r="552" spans="1:29" ht="13" thickBot="1" x14ac:dyDescent="0.3">
      <c r="A552" s="7" t="s">
        <v>72</v>
      </c>
      <c r="B552" s="19" t="s">
        <v>20</v>
      </c>
      <c r="C552" s="20" t="s">
        <v>18</v>
      </c>
      <c r="D552" s="21">
        <v>0</v>
      </c>
      <c r="E552" s="21">
        <v>0</v>
      </c>
      <c r="F552" s="21">
        <v>0</v>
      </c>
      <c r="G552" s="21">
        <v>0</v>
      </c>
      <c r="H552" s="22">
        <v>0</v>
      </c>
      <c r="I552" s="23">
        <v>0</v>
      </c>
      <c r="J552" s="21">
        <v>0</v>
      </c>
      <c r="K552" s="21">
        <v>0</v>
      </c>
      <c r="L552" s="21">
        <v>0</v>
      </c>
      <c r="M552" s="21">
        <v>0</v>
      </c>
      <c r="N552" s="21">
        <v>0</v>
      </c>
      <c r="O552" s="21">
        <v>0</v>
      </c>
      <c r="P552" s="21">
        <v>0</v>
      </c>
      <c r="Q552" s="21">
        <v>0</v>
      </c>
      <c r="R552" s="21">
        <v>0</v>
      </c>
      <c r="S552" s="21">
        <v>0</v>
      </c>
      <c r="T552" s="24">
        <v>0</v>
      </c>
      <c r="U552" s="14">
        <v>0.26654124899999998</v>
      </c>
      <c r="V552" s="44"/>
      <c r="W552" s="39">
        <f t="shared" si="123"/>
        <v>0</v>
      </c>
    </row>
    <row r="553" spans="1:29" ht="13" thickBot="1" x14ac:dyDescent="0.3">
      <c r="A553" s="7" t="s">
        <v>72</v>
      </c>
      <c r="B553" s="25" t="s">
        <v>12</v>
      </c>
      <c r="C553" s="26" t="s">
        <v>18</v>
      </c>
      <c r="D553" s="27">
        <v>0</v>
      </c>
      <c r="E553" s="27">
        <v>0</v>
      </c>
      <c r="F553" s="27">
        <v>0</v>
      </c>
      <c r="G553" s="27">
        <v>0</v>
      </c>
      <c r="H553" s="28">
        <v>0</v>
      </c>
      <c r="I553" s="29">
        <v>0</v>
      </c>
      <c r="J553" s="27">
        <v>0</v>
      </c>
      <c r="K553" s="27">
        <v>0</v>
      </c>
      <c r="L553" s="27">
        <v>0</v>
      </c>
      <c r="M553" s="27">
        <v>0</v>
      </c>
      <c r="N553" s="27">
        <v>0</v>
      </c>
      <c r="O553" s="27">
        <v>0</v>
      </c>
      <c r="P553" s="27">
        <v>0</v>
      </c>
      <c r="Q553" s="27">
        <v>0</v>
      </c>
      <c r="R553" s="27">
        <v>0</v>
      </c>
      <c r="S553" s="27">
        <v>0</v>
      </c>
      <c r="T553" s="29">
        <v>0</v>
      </c>
      <c r="U553" s="14">
        <v>0.26654124899999998</v>
      </c>
      <c r="V553" s="43" t="e">
        <f>SUM(I548:T551)/SUM(H548:H551)</f>
        <v>#DIV/0!</v>
      </c>
      <c r="W553" s="39">
        <f t="shared" si="123"/>
        <v>0</v>
      </c>
      <c r="X553" s="35">
        <f>W551+W548</f>
        <v>0</v>
      </c>
      <c r="Y553" s="35">
        <f>W546</f>
        <v>0</v>
      </c>
    </row>
    <row r="554" spans="1:29" x14ac:dyDescent="0.25">
      <c r="A554" s="7" t="s">
        <v>72</v>
      </c>
      <c r="B554" s="8" t="s">
        <v>17</v>
      </c>
      <c r="C554" s="9" t="s">
        <v>21</v>
      </c>
      <c r="D554" s="10">
        <v>0</v>
      </c>
      <c r="E554" s="10">
        <v>0</v>
      </c>
      <c r="F554" s="10">
        <v>0</v>
      </c>
      <c r="G554" s="10">
        <v>0</v>
      </c>
      <c r="H554" s="11">
        <v>409</v>
      </c>
      <c r="I554" s="12">
        <v>192</v>
      </c>
      <c r="J554" s="10">
        <v>7</v>
      </c>
      <c r="K554" s="10">
        <v>28</v>
      </c>
      <c r="L554" s="10">
        <v>182</v>
      </c>
      <c r="M554" s="10">
        <v>0</v>
      </c>
      <c r="N554" s="10">
        <v>0</v>
      </c>
      <c r="O554" s="10">
        <v>0</v>
      </c>
      <c r="P554" s="10">
        <v>0</v>
      </c>
      <c r="Q554" s="10">
        <v>0</v>
      </c>
      <c r="R554" s="10">
        <v>0</v>
      </c>
      <c r="S554" s="10">
        <v>0</v>
      </c>
      <c r="T554" s="13">
        <v>0</v>
      </c>
      <c r="U554" s="14">
        <v>0.26654124899999998</v>
      </c>
      <c r="W554" s="38">
        <f t="shared" ref="W554:W595" si="124">H554*U554</f>
        <v>109.01537084099999</v>
      </c>
      <c r="AB554" s="37" t="str">
        <f t="shared" ref="AB554:AB560" si="125">B554</f>
        <v>Parts-OTC</v>
      </c>
      <c r="AC554" s="36">
        <f t="shared" ref="AC554:AC560" si="126">I554*U554</f>
        <v>51.175919807999996</v>
      </c>
    </row>
    <row r="555" spans="1:29" x14ac:dyDescent="0.25">
      <c r="A555" s="7" t="s">
        <v>72</v>
      </c>
      <c r="B555" s="15" t="s">
        <v>66</v>
      </c>
      <c r="C555" s="7" t="s">
        <v>21</v>
      </c>
      <c r="D555" s="14">
        <v>0</v>
      </c>
      <c r="E555" s="14">
        <v>0</v>
      </c>
      <c r="F555" s="14">
        <v>0</v>
      </c>
      <c r="G555" s="14">
        <v>0</v>
      </c>
      <c r="H555" s="16">
        <v>179</v>
      </c>
      <c r="I555" s="17">
        <v>70</v>
      </c>
      <c r="J555" s="14">
        <v>15</v>
      </c>
      <c r="K555" s="14">
        <v>31</v>
      </c>
      <c r="L555" s="14">
        <v>63</v>
      </c>
      <c r="M555" s="14">
        <v>0</v>
      </c>
      <c r="N555" s="14">
        <v>0</v>
      </c>
      <c r="O555" s="14">
        <v>0</v>
      </c>
      <c r="P555" s="14">
        <v>0</v>
      </c>
      <c r="Q555" s="14">
        <v>0</v>
      </c>
      <c r="R555" s="14">
        <v>0</v>
      </c>
      <c r="S555" s="14">
        <v>0</v>
      </c>
      <c r="T555" s="18">
        <v>0</v>
      </c>
      <c r="U555" s="14">
        <v>0.26654124899999998</v>
      </c>
      <c r="W555" s="38">
        <f t="shared" si="124"/>
        <v>47.710883570999997</v>
      </c>
      <c r="AB555" s="37" t="str">
        <f t="shared" si="125"/>
        <v>CTKS</v>
      </c>
      <c r="AC555" s="36">
        <f t="shared" si="126"/>
        <v>18.657887429999999</v>
      </c>
    </row>
    <row r="556" spans="1:29" x14ac:dyDescent="0.25">
      <c r="A556" s="7" t="s">
        <v>72</v>
      </c>
      <c r="B556" s="15" t="s">
        <v>13</v>
      </c>
      <c r="C556" s="7" t="s">
        <v>21</v>
      </c>
      <c r="D556" s="14">
        <v>0</v>
      </c>
      <c r="E556" s="14">
        <v>0</v>
      </c>
      <c r="F556" s="14">
        <v>0</v>
      </c>
      <c r="G556" s="14">
        <v>0</v>
      </c>
      <c r="H556" s="16">
        <v>0</v>
      </c>
      <c r="I556" s="33">
        <v>0</v>
      </c>
      <c r="J556" s="34">
        <v>0</v>
      </c>
      <c r="K556" s="34">
        <v>0</v>
      </c>
      <c r="L556" s="14">
        <v>0</v>
      </c>
      <c r="M556" s="14">
        <v>0</v>
      </c>
      <c r="N556" s="14">
        <v>0</v>
      </c>
      <c r="O556" s="14">
        <v>0</v>
      </c>
      <c r="P556" s="14">
        <v>0</v>
      </c>
      <c r="Q556" s="14">
        <v>0</v>
      </c>
      <c r="R556" s="14">
        <v>0</v>
      </c>
      <c r="S556" s="14">
        <v>0</v>
      </c>
      <c r="T556" s="18">
        <v>0</v>
      </c>
      <c r="U556" s="14">
        <v>0.26654124899999998</v>
      </c>
      <c r="W556" s="38">
        <f t="shared" si="124"/>
        <v>0</v>
      </c>
      <c r="AB556" s="37" t="str">
        <f t="shared" si="125"/>
        <v>Repair</v>
      </c>
      <c r="AC556" s="36">
        <f t="shared" si="126"/>
        <v>0</v>
      </c>
    </row>
    <row r="557" spans="1:29" x14ac:dyDescent="0.25">
      <c r="A557" s="7" t="s">
        <v>72</v>
      </c>
      <c r="B557" s="15" t="s">
        <v>67</v>
      </c>
      <c r="C557" s="7" t="s">
        <v>21</v>
      </c>
      <c r="D557" s="14">
        <v>0</v>
      </c>
      <c r="E557" s="14">
        <v>0</v>
      </c>
      <c r="F557" s="14">
        <v>0</v>
      </c>
      <c r="G557" s="14">
        <v>0</v>
      </c>
      <c r="H557" s="16">
        <v>0</v>
      </c>
      <c r="I557" s="17">
        <v>0</v>
      </c>
      <c r="J557" s="14">
        <v>0</v>
      </c>
      <c r="K557" s="14">
        <v>0</v>
      </c>
      <c r="L557" s="14">
        <v>0</v>
      </c>
      <c r="M557" s="14">
        <v>0</v>
      </c>
      <c r="N557" s="14">
        <v>0</v>
      </c>
      <c r="O557" s="14">
        <v>0</v>
      </c>
      <c r="P557" s="14">
        <v>0</v>
      </c>
      <c r="Q557" s="14">
        <v>0</v>
      </c>
      <c r="R557" s="14">
        <v>0</v>
      </c>
      <c r="S557" s="14">
        <v>0</v>
      </c>
      <c r="T557" s="18">
        <v>0</v>
      </c>
      <c r="U557" s="14">
        <v>0.26654124899999998</v>
      </c>
      <c r="W557" s="38">
        <f t="shared" si="124"/>
        <v>0</v>
      </c>
      <c r="AB557" s="37" t="str">
        <f t="shared" si="125"/>
        <v>Rental</v>
      </c>
      <c r="AC557" s="36">
        <f t="shared" si="126"/>
        <v>0</v>
      </c>
    </row>
    <row r="558" spans="1:29" x14ac:dyDescent="0.25">
      <c r="A558" s="7" t="s">
        <v>72</v>
      </c>
      <c r="B558" s="15" t="s">
        <v>73</v>
      </c>
      <c r="C558" s="7" t="s">
        <v>21</v>
      </c>
      <c r="D558" s="14">
        <v>0</v>
      </c>
      <c r="E558" s="14">
        <v>0</v>
      </c>
      <c r="F558" s="14">
        <v>0</v>
      </c>
      <c r="G558" s="14">
        <v>0</v>
      </c>
      <c r="H558" s="16">
        <v>0</v>
      </c>
      <c r="I558" s="17">
        <v>0</v>
      </c>
      <c r="J558" s="14">
        <v>0</v>
      </c>
      <c r="K558" s="14">
        <v>0</v>
      </c>
      <c r="L558" s="14">
        <v>0</v>
      </c>
      <c r="M558" s="14">
        <v>0</v>
      </c>
      <c r="N558" s="14">
        <v>0</v>
      </c>
      <c r="O558" s="14">
        <v>0</v>
      </c>
      <c r="P558" s="14">
        <v>0</v>
      </c>
      <c r="Q558" s="14">
        <v>0</v>
      </c>
      <c r="R558" s="14">
        <v>0</v>
      </c>
      <c r="S558" s="14">
        <v>0</v>
      </c>
      <c r="T558" s="18">
        <v>0</v>
      </c>
      <c r="U558" s="14">
        <v>0.26654124899999998</v>
      </c>
      <c r="W558" s="38">
        <f t="shared" si="124"/>
        <v>0</v>
      </c>
      <c r="AB558" s="37"/>
    </row>
    <row r="559" spans="1:29" x14ac:dyDescent="0.25">
      <c r="A559" s="7" t="s">
        <v>72</v>
      </c>
      <c r="B559" s="15" t="s">
        <v>19</v>
      </c>
      <c r="C559" s="7" t="s">
        <v>21</v>
      </c>
      <c r="D559" s="14">
        <v>0</v>
      </c>
      <c r="E559" s="14">
        <v>0</v>
      </c>
      <c r="F559" s="14">
        <v>0</v>
      </c>
      <c r="G559" s="14">
        <v>0</v>
      </c>
      <c r="H559" s="16">
        <v>0</v>
      </c>
      <c r="I559" s="17">
        <v>0</v>
      </c>
      <c r="J559" s="14">
        <v>0</v>
      </c>
      <c r="K559" s="14">
        <v>0</v>
      </c>
      <c r="L559" s="14">
        <v>0</v>
      </c>
      <c r="M559" s="14">
        <v>0</v>
      </c>
      <c r="N559" s="14">
        <v>0</v>
      </c>
      <c r="O559" s="14">
        <v>0</v>
      </c>
      <c r="P559" s="14">
        <v>0</v>
      </c>
      <c r="Q559" s="14">
        <v>0</v>
      </c>
      <c r="R559" s="14">
        <v>0</v>
      </c>
      <c r="S559" s="14">
        <v>0</v>
      </c>
      <c r="T559" s="18">
        <v>0</v>
      </c>
      <c r="U559" s="14">
        <v>0.26654124899999998</v>
      </c>
      <c r="W559" s="38">
        <f t="shared" si="124"/>
        <v>0</v>
      </c>
      <c r="AB559" s="37" t="str">
        <f t="shared" si="125"/>
        <v>Maintenance</v>
      </c>
      <c r="AC559" s="36">
        <f t="shared" si="126"/>
        <v>0</v>
      </c>
    </row>
    <row r="560" spans="1:29" ht="13" thickBot="1" x14ac:dyDescent="0.3">
      <c r="A560" s="7" t="s">
        <v>72</v>
      </c>
      <c r="B560" s="19" t="s">
        <v>20</v>
      </c>
      <c r="C560" s="20" t="s">
        <v>21</v>
      </c>
      <c r="D560" s="21">
        <v>0</v>
      </c>
      <c r="E560" s="21">
        <v>0</v>
      </c>
      <c r="F560" s="21">
        <v>0</v>
      </c>
      <c r="G560" s="21">
        <v>0</v>
      </c>
      <c r="H560" s="22">
        <v>0</v>
      </c>
      <c r="I560" s="23">
        <v>0</v>
      </c>
      <c r="J560" s="21">
        <v>0</v>
      </c>
      <c r="K560" s="21">
        <v>0</v>
      </c>
      <c r="L560" s="21">
        <v>0</v>
      </c>
      <c r="M560" s="21">
        <v>0</v>
      </c>
      <c r="N560" s="21">
        <v>0</v>
      </c>
      <c r="O560" s="21">
        <v>0</v>
      </c>
      <c r="P560" s="21">
        <v>0</v>
      </c>
      <c r="Q560" s="21">
        <v>0</v>
      </c>
      <c r="R560" s="21">
        <v>0</v>
      </c>
      <c r="S560" s="21">
        <v>0</v>
      </c>
      <c r="T560" s="24">
        <v>0</v>
      </c>
      <c r="U560" s="14">
        <v>0.26654124899999998</v>
      </c>
      <c r="W560" s="38">
        <f t="shared" si="124"/>
        <v>0</v>
      </c>
      <c r="AB560" s="37" t="str">
        <f t="shared" si="125"/>
        <v>Startup</v>
      </c>
      <c r="AC560" s="36">
        <f t="shared" si="126"/>
        <v>0</v>
      </c>
    </row>
    <row r="561" spans="1:29" ht="13" thickBot="1" x14ac:dyDescent="0.3">
      <c r="A561" s="20" t="s">
        <v>72</v>
      </c>
      <c r="B561" s="25" t="s">
        <v>12</v>
      </c>
      <c r="C561" s="26" t="s">
        <v>21</v>
      </c>
      <c r="D561" s="27">
        <v>0</v>
      </c>
      <c r="E561" s="27">
        <v>0</v>
      </c>
      <c r="F561" s="27">
        <v>0</v>
      </c>
      <c r="G561" s="27">
        <v>0</v>
      </c>
      <c r="H561" s="28">
        <v>588</v>
      </c>
      <c r="I561" s="29">
        <v>262</v>
      </c>
      <c r="J561" s="27">
        <v>22</v>
      </c>
      <c r="K561" s="27">
        <v>59</v>
      </c>
      <c r="L561" s="27">
        <v>245</v>
      </c>
      <c r="M561" s="27">
        <v>0</v>
      </c>
      <c r="N561" s="27">
        <v>0</v>
      </c>
      <c r="O561" s="27">
        <v>0</v>
      </c>
      <c r="P561" s="27">
        <v>0</v>
      </c>
      <c r="Q561" s="27">
        <v>0</v>
      </c>
      <c r="R561" s="27">
        <v>0</v>
      </c>
      <c r="S561" s="27">
        <v>0</v>
      </c>
      <c r="T561" s="29">
        <v>0</v>
      </c>
      <c r="U561" s="14">
        <v>0.26654124899999998</v>
      </c>
      <c r="W561" s="38">
        <f t="shared" si="124"/>
        <v>156.72625441199997</v>
      </c>
      <c r="X561" s="35">
        <f>W560+W559+W556</f>
        <v>0</v>
      </c>
      <c r="Y561" s="35">
        <f>W554</f>
        <v>109.01537084099999</v>
      </c>
      <c r="Z561" s="40" t="e">
        <f>V552/X561</f>
        <v>#DIV/0!</v>
      </c>
      <c r="AA561" s="40">
        <f>IF((Y561=0),0,Y553/Y561)</f>
        <v>0</v>
      </c>
      <c r="AB561" s="48"/>
      <c r="AC561" s="48"/>
    </row>
    <row r="562" spans="1:29" ht="13" thickBot="1" x14ac:dyDescent="0.3">
      <c r="A562" s="9" t="s">
        <v>83</v>
      </c>
      <c r="B562" s="30" t="s">
        <v>15</v>
      </c>
      <c r="C562" s="31" t="s">
        <v>94</v>
      </c>
      <c r="D562" s="32" t="s">
        <v>47</v>
      </c>
      <c r="E562" s="53" t="s">
        <v>104</v>
      </c>
      <c r="F562" s="53" t="s">
        <v>105</v>
      </c>
      <c r="G562" s="53" t="s">
        <v>106</v>
      </c>
      <c r="H562" s="28" t="s">
        <v>12</v>
      </c>
      <c r="I562" s="54" t="s">
        <v>107</v>
      </c>
      <c r="J562" s="53" t="s">
        <v>108</v>
      </c>
      <c r="K562" s="53" t="s">
        <v>109</v>
      </c>
      <c r="L562" s="53" t="s">
        <v>110</v>
      </c>
      <c r="M562" s="53" t="s">
        <v>111</v>
      </c>
      <c r="N562" s="53" t="s">
        <v>115</v>
      </c>
      <c r="O562" s="53" t="s">
        <v>120</v>
      </c>
      <c r="P562" s="53" t="s">
        <v>121</v>
      </c>
      <c r="Q562" s="53" t="s">
        <v>164</v>
      </c>
      <c r="R562" s="53" t="s">
        <v>173</v>
      </c>
      <c r="S562" s="53" t="s">
        <v>177</v>
      </c>
      <c r="T562" s="55" t="s">
        <v>182</v>
      </c>
      <c r="U562" s="14">
        <v>1</v>
      </c>
      <c r="V562" s="14" t="s">
        <v>183</v>
      </c>
      <c r="W562" s="35"/>
      <c r="X562" s="14" t="s">
        <v>37</v>
      </c>
      <c r="Y562" s="14" t="s">
        <v>38</v>
      </c>
      <c r="AB562" s="48"/>
      <c r="AC562" s="48"/>
    </row>
    <row r="563" spans="1:29" x14ac:dyDescent="0.25">
      <c r="A563" s="7" t="s">
        <v>83</v>
      </c>
      <c r="B563" s="8" t="s">
        <v>17</v>
      </c>
      <c r="C563" s="9" t="s">
        <v>18</v>
      </c>
      <c r="D563" s="10">
        <v>0</v>
      </c>
      <c r="E563" s="10">
        <v>0</v>
      </c>
      <c r="F563" s="10">
        <v>0</v>
      </c>
      <c r="G563" s="10">
        <v>0</v>
      </c>
      <c r="H563" s="11">
        <v>1310</v>
      </c>
      <c r="I563" s="164">
        <v>0</v>
      </c>
      <c r="J563" s="10">
        <v>516</v>
      </c>
      <c r="K563" s="10">
        <v>411</v>
      </c>
      <c r="L563" s="10">
        <v>0</v>
      </c>
      <c r="M563" s="10">
        <v>41</v>
      </c>
      <c r="N563" s="10">
        <v>0</v>
      </c>
      <c r="O563" s="10">
        <v>306</v>
      </c>
      <c r="P563" s="10">
        <v>0</v>
      </c>
      <c r="Q563" s="10">
        <v>0</v>
      </c>
      <c r="R563" s="10">
        <v>0</v>
      </c>
      <c r="S563" s="10">
        <v>36</v>
      </c>
      <c r="T563" s="13">
        <v>0</v>
      </c>
      <c r="U563" s="14">
        <v>1</v>
      </c>
      <c r="V563" s="42">
        <f>SUM(I563:T563)/H563</f>
        <v>1</v>
      </c>
      <c r="W563" s="39">
        <f>SUM(I563:T563)*U563</f>
        <v>1310</v>
      </c>
    </row>
    <row r="564" spans="1:29" x14ac:dyDescent="0.25">
      <c r="A564" s="7" t="s">
        <v>83</v>
      </c>
      <c r="B564" s="15" t="s">
        <v>66</v>
      </c>
      <c r="C564" s="7" t="s">
        <v>18</v>
      </c>
      <c r="D564" s="14">
        <v>0</v>
      </c>
      <c r="E564" s="14">
        <v>0</v>
      </c>
      <c r="F564" s="14">
        <v>0</v>
      </c>
      <c r="G564" s="14">
        <v>0</v>
      </c>
      <c r="H564" s="16">
        <v>314</v>
      </c>
      <c r="I564" s="17">
        <v>0</v>
      </c>
      <c r="J564" s="14">
        <v>184</v>
      </c>
      <c r="K564" s="14">
        <v>0</v>
      </c>
      <c r="L564" s="14">
        <v>0</v>
      </c>
      <c r="M564" s="14">
        <v>130</v>
      </c>
      <c r="N564" s="14">
        <v>0</v>
      </c>
      <c r="O564" s="14">
        <v>0</v>
      </c>
      <c r="P564" s="14">
        <v>0</v>
      </c>
      <c r="Q564" s="14">
        <v>0</v>
      </c>
      <c r="R564" s="14">
        <v>0</v>
      </c>
      <c r="S564" s="14">
        <v>0</v>
      </c>
      <c r="T564" s="18">
        <v>0</v>
      </c>
      <c r="U564" s="14">
        <v>1</v>
      </c>
      <c r="V564" s="44"/>
      <c r="W564" s="39">
        <f t="shared" ref="W564:W570" si="127">SUM(I564:T564)*U564</f>
        <v>314</v>
      </c>
    </row>
    <row r="565" spans="1:29" x14ac:dyDescent="0.25">
      <c r="A565" s="7" t="s">
        <v>83</v>
      </c>
      <c r="B565" s="15" t="s">
        <v>13</v>
      </c>
      <c r="C565" s="7" t="s">
        <v>18</v>
      </c>
      <c r="D565" s="14">
        <v>0</v>
      </c>
      <c r="E565" s="14">
        <v>0</v>
      </c>
      <c r="F565" s="14">
        <v>0</v>
      </c>
      <c r="G565" s="14">
        <v>0</v>
      </c>
      <c r="H565" s="16">
        <v>735</v>
      </c>
      <c r="I565" s="17">
        <v>0</v>
      </c>
      <c r="J565" s="14">
        <v>223</v>
      </c>
      <c r="K565" s="14">
        <v>292</v>
      </c>
      <c r="L565" s="14">
        <v>120</v>
      </c>
      <c r="M565" s="14">
        <v>0</v>
      </c>
      <c r="N565" s="14">
        <v>0</v>
      </c>
      <c r="O565" s="14">
        <v>100</v>
      </c>
      <c r="P565" s="14">
        <v>0</v>
      </c>
      <c r="Q565" s="14">
        <v>0</v>
      </c>
      <c r="R565" s="14">
        <v>0</v>
      </c>
      <c r="S565" s="14">
        <v>0</v>
      </c>
      <c r="T565" s="18">
        <v>0</v>
      </c>
      <c r="U565" s="14">
        <v>1</v>
      </c>
      <c r="V565" s="41"/>
      <c r="W565" s="39">
        <f t="shared" si="127"/>
        <v>735</v>
      </c>
    </row>
    <row r="566" spans="1:29" x14ac:dyDescent="0.25">
      <c r="A566" s="7" t="s">
        <v>83</v>
      </c>
      <c r="B566" s="15" t="s">
        <v>67</v>
      </c>
      <c r="C566" s="7" t="s">
        <v>18</v>
      </c>
      <c r="D566" s="14">
        <v>0</v>
      </c>
      <c r="E566" s="14">
        <v>0</v>
      </c>
      <c r="F566" s="14">
        <v>0</v>
      </c>
      <c r="G566" s="14">
        <v>0</v>
      </c>
      <c r="H566" s="16">
        <v>301</v>
      </c>
      <c r="I566" s="17">
        <v>0</v>
      </c>
      <c r="J566" s="14">
        <v>201</v>
      </c>
      <c r="K566" s="14">
        <v>70</v>
      </c>
      <c r="L566" s="14">
        <v>0</v>
      </c>
      <c r="M566" s="14">
        <v>0</v>
      </c>
      <c r="N566" s="14">
        <v>4</v>
      </c>
      <c r="O566" s="14">
        <v>26</v>
      </c>
      <c r="P566" s="14">
        <v>0</v>
      </c>
      <c r="Q566" s="14">
        <v>0</v>
      </c>
      <c r="R566" s="14">
        <v>0</v>
      </c>
      <c r="S566" s="14">
        <v>0</v>
      </c>
      <c r="T566" s="18">
        <v>0</v>
      </c>
      <c r="U566" s="14">
        <v>1</v>
      </c>
      <c r="V566" s="41"/>
      <c r="W566" s="39">
        <f t="shared" si="127"/>
        <v>301</v>
      </c>
    </row>
    <row r="567" spans="1:29" x14ac:dyDescent="0.25">
      <c r="A567" s="7" t="s">
        <v>83</v>
      </c>
      <c r="B567" s="15" t="s">
        <v>73</v>
      </c>
      <c r="C567" s="7" t="s">
        <v>18</v>
      </c>
      <c r="D567" s="14">
        <v>0</v>
      </c>
      <c r="E567" s="14">
        <v>0</v>
      </c>
      <c r="F567" s="14">
        <v>0</v>
      </c>
      <c r="G567" s="14">
        <v>0</v>
      </c>
      <c r="H567" s="16">
        <v>297</v>
      </c>
      <c r="I567" s="17">
        <v>0</v>
      </c>
      <c r="J567" s="14">
        <v>116</v>
      </c>
      <c r="K567" s="14">
        <v>69</v>
      </c>
      <c r="L567" s="14">
        <v>82</v>
      </c>
      <c r="M567" s="14">
        <v>0</v>
      </c>
      <c r="N567" s="14">
        <v>30</v>
      </c>
      <c r="O567" s="14">
        <v>0</v>
      </c>
      <c r="P567" s="14">
        <v>0</v>
      </c>
      <c r="Q567" s="14">
        <v>0</v>
      </c>
      <c r="R567" s="14">
        <v>0</v>
      </c>
      <c r="S567" s="14">
        <v>0</v>
      </c>
      <c r="T567" s="18">
        <v>0</v>
      </c>
      <c r="U567" s="14">
        <v>1</v>
      </c>
      <c r="V567" s="41"/>
      <c r="W567" s="39">
        <f t="shared" si="127"/>
        <v>297</v>
      </c>
    </row>
    <row r="568" spans="1:29" x14ac:dyDescent="0.25">
      <c r="A568" s="7" t="s">
        <v>83</v>
      </c>
      <c r="B568" s="15" t="s">
        <v>19</v>
      </c>
      <c r="C568" s="7" t="s">
        <v>18</v>
      </c>
      <c r="D568" s="14">
        <v>0</v>
      </c>
      <c r="E568" s="14">
        <v>0</v>
      </c>
      <c r="F568" s="14">
        <v>0</v>
      </c>
      <c r="G568" s="14">
        <v>0</v>
      </c>
      <c r="H568" s="16">
        <v>182</v>
      </c>
      <c r="I568" s="17">
        <v>35</v>
      </c>
      <c r="J568" s="14">
        <v>121</v>
      </c>
      <c r="K568" s="14">
        <v>0</v>
      </c>
      <c r="L568" s="14">
        <v>0</v>
      </c>
      <c r="M568" s="14">
        <v>0</v>
      </c>
      <c r="N568" s="14">
        <v>26</v>
      </c>
      <c r="O568" s="14">
        <v>0</v>
      </c>
      <c r="P568" s="14">
        <v>0</v>
      </c>
      <c r="Q568" s="14">
        <v>0</v>
      </c>
      <c r="R568" s="14">
        <v>0</v>
      </c>
      <c r="S568" s="14">
        <v>0</v>
      </c>
      <c r="T568" s="18">
        <v>0</v>
      </c>
      <c r="U568" s="14">
        <v>1</v>
      </c>
      <c r="V568" s="41"/>
      <c r="W568" s="39">
        <f t="shared" si="127"/>
        <v>182</v>
      </c>
    </row>
    <row r="569" spans="1:29" ht="13" thickBot="1" x14ac:dyDescent="0.3">
      <c r="A569" s="7" t="s">
        <v>83</v>
      </c>
      <c r="B569" s="19" t="s">
        <v>20</v>
      </c>
      <c r="C569" s="20" t="s">
        <v>18</v>
      </c>
      <c r="D569" s="21">
        <v>0</v>
      </c>
      <c r="E569" s="21">
        <v>0</v>
      </c>
      <c r="F569" s="21">
        <v>0</v>
      </c>
      <c r="G569" s="21">
        <v>0</v>
      </c>
      <c r="H569" s="22">
        <v>0</v>
      </c>
      <c r="I569" s="23">
        <v>0</v>
      </c>
      <c r="J569" s="21">
        <v>0</v>
      </c>
      <c r="K569" s="21">
        <v>0</v>
      </c>
      <c r="L569" s="21">
        <v>0</v>
      </c>
      <c r="M569" s="21">
        <v>0</v>
      </c>
      <c r="N569" s="21">
        <v>0</v>
      </c>
      <c r="O569" s="21">
        <v>0</v>
      </c>
      <c r="P569" s="21">
        <v>0</v>
      </c>
      <c r="Q569" s="21">
        <v>0</v>
      </c>
      <c r="R569" s="21">
        <v>0</v>
      </c>
      <c r="S569" s="21">
        <v>0</v>
      </c>
      <c r="T569" s="24">
        <v>0</v>
      </c>
      <c r="U569" s="14">
        <v>1</v>
      </c>
      <c r="V569" s="44"/>
      <c r="W569" s="39">
        <f t="shared" si="127"/>
        <v>0</v>
      </c>
    </row>
    <row r="570" spans="1:29" ht="13" thickBot="1" x14ac:dyDescent="0.3">
      <c r="A570" s="7" t="s">
        <v>83</v>
      </c>
      <c r="B570" s="25" t="s">
        <v>12</v>
      </c>
      <c r="C570" s="26" t="s">
        <v>18</v>
      </c>
      <c r="D570" s="27">
        <v>0</v>
      </c>
      <c r="E570" s="27">
        <v>0</v>
      </c>
      <c r="F570" s="27">
        <v>0</v>
      </c>
      <c r="G570" s="27">
        <v>0</v>
      </c>
      <c r="H570" s="28">
        <v>3139</v>
      </c>
      <c r="I570" s="29">
        <v>35</v>
      </c>
      <c r="J570" s="27">
        <v>1361</v>
      </c>
      <c r="K570" s="27">
        <v>842</v>
      </c>
      <c r="L570" s="27">
        <v>202</v>
      </c>
      <c r="M570" s="27">
        <v>171</v>
      </c>
      <c r="N570" s="27">
        <v>60</v>
      </c>
      <c r="O570" s="27">
        <v>432</v>
      </c>
      <c r="P570" s="27">
        <v>0</v>
      </c>
      <c r="Q570" s="27">
        <v>0</v>
      </c>
      <c r="R570" s="27">
        <v>0</v>
      </c>
      <c r="S570" s="27">
        <v>36</v>
      </c>
      <c r="T570" s="29">
        <v>0</v>
      </c>
      <c r="U570" s="14">
        <v>1</v>
      </c>
      <c r="V570" s="43">
        <f>SUM(I565:T568)/SUM(H565:H568)</f>
        <v>1</v>
      </c>
      <c r="W570" s="39">
        <f t="shared" si="127"/>
        <v>3139</v>
      </c>
      <c r="X570" s="35">
        <f>W568+W565</f>
        <v>917</v>
      </c>
      <c r="Y570" s="35">
        <f>W563</f>
        <v>1310</v>
      </c>
    </row>
    <row r="571" spans="1:29" x14ac:dyDescent="0.25">
      <c r="A571" s="7" t="s">
        <v>83</v>
      </c>
      <c r="B571" s="8" t="s">
        <v>17</v>
      </c>
      <c r="C571" s="9" t="s">
        <v>21</v>
      </c>
      <c r="D571" s="10">
        <v>0</v>
      </c>
      <c r="E571" s="10">
        <v>0</v>
      </c>
      <c r="F571" s="10">
        <v>0</v>
      </c>
      <c r="G571" s="10">
        <v>0</v>
      </c>
      <c r="H571" s="11">
        <v>220</v>
      </c>
      <c r="I571" s="12">
        <v>44</v>
      </c>
      <c r="J571" s="10">
        <v>72</v>
      </c>
      <c r="K571" s="10">
        <v>15</v>
      </c>
      <c r="L571" s="10">
        <v>0</v>
      </c>
      <c r="M571" s="10">
        <v>0</v>
      </c>
      <c r="N571" s="10">
        <v>0</v>
      </c>
      <c r="O571" s="10">
        <v>0</v>
      </c>
      <c r="P571" s="10">
        <v>33</v>
      </c>
      <c r="Q571" s="10">
        <v>27</v>
      </c>
      <c r="R571" s="10">
        <v>29</v>
      </c>
      <c r="S571" s="10">
        <v>0</v>
      </c>
      <c r="T571" s="13">
        <v>0</v>
      </c>
      <c r="U571" s="14">
        <v>1</v>
      </c>
      <c r="W571" s="38">
        <f t="shared" ref="W571:W578" si="128">H571*U571</f>
        <v>220</v>
      </c>
      <c r="AB571" s="37" t="str">
        <f t="shared" ref="AB571:AB577" si="129">B571</f>
        <v>Parts-OTC</v>
      </c>
      <c r="AC571" s="36">
        <f t="shared" ref="AC571:AC577" si="130">I571*U571</f>
        <v>44</v>
      </c>
    </row>
    <row r="572" spans="1:29" x14ac:dyDescent="0.25">
      <c r="A572" s="7" t="s">
        <v>83</v>
      </c>
      <c r="B572" s="15" t="s">
        <v>66</v>
      </c>
      <c r="C572" s="7" t="s">
        <v>21</v>
      </c>
      <c r="D572" s="14">
        <v>0</v>
      </c>
      <c r="E572" s="14">
        <v>0</v>
      </c>
      <c r="F572" s="14">
        <v>0</v>
      </c>
      <c r="G572" s="14">
        <v>0</v>
      </c>
      <c r="H572" s="16">
        <v>19</v>
      </c>
      <c r="I572" s="17">
        <v>0</v>
      </c>
      <c r="J572" s="14">
        <v>5</v>
      </c>
      <c r="K572" s="14">
        <v>0</v>
      </c>
      <c r="L572" s="14">
        <v>7</v>
      </c>
      <c r="M572" s="14">
        <v>7</v>
      </c>
      <c r="N572" s="14">
        <v>0</v>
      </c>
      <c r="O572" s="14">
        <v>0</v>
      </c>
      <c r="P572" s="14">
        <v>0</v>
      </c>
      <c r="Q572" s="14">
        <v>0</v>
      </c>
      <c r="R572" s="14">
        <v>0</v>
      </c>
      <c r="S572" s="14">
        <v>0</v>
      </c>
      <c r="T572" s="18">
        <v>0</v>
      </c>
      <c r="U572" s="14">
        <v>1</v>
      </c>
      <c r="W572" s="38">
        <f t="shared" si="128"/>
        <v>19</v>
      </c>
      <c r="AB572" s="37" t="str">
        <f t="shared" si="129"/>
        <v>CTKS</v>
      </c>
      <c r="AC572" s="36">
        <f t="shared" si="130"/>
        <v>0</v>
      </c>
    </row>
    <row r="573" spans="1:29" x14ac:dyDescent="0.25">
      <c r="A573" s="7" t="s">
        <v>83</v>
      </c>
      <c r="B573" s="15" t="s">
        <v>13</v>
      </c>
      <c r="C573" s="7" t="s">
        <v>21</v>
      </c>
      <c r="D573" s="14">
        <v>0</v>
      </c>
      <c r="E573" s="14">
        <v>0</v>
      </c>
      <c r="F573" s="14">
        <v>0</v>
      </c>
      <c r="G573" s="14">
        <v>0</v>
      </c>
      <c r="H573" s="16">
        <v>5</v>
      </c>
      <c r="I573" s="33">
        <v>0</v>
      </c>
      <c r="J573" s="34">
        <v>4</v>
      </c>
      <c r="K573" s="34">
        <v>0</v>
      </c>
      <c r="L573" s="14">
        <v>0</v>
      </c>
      <c r="M573" s="14">
        <v>0</v>
      </c>
      <c r="N573" s="14">
        <v>0</v>
      </c>
      <c r="O573" s="14">
        <v>0</v>
      </c>
      <c r="P573" s="14">
        <v>0</v>
      </c>
      <c r="Q573" s="14">
        <v>1</v>
      </c>
      <c r="R573" s="14">
        <v>0</v>
      </c>
      <c r="S573" s="14">
        <v>0</v>
      </c>
      <c r="T573" s="18">
        <v>0</v>
      </c>
      <c r="U573" s="14">
        <v>1</v>
      </c>
      <c r="W573" s="38">
        <f t="shared" si="128"/>
        <v>5</v>
      </c>
      <c r="AB573" s="37" t="str">
        <f t="shared" si="129"/>
        <v>Repair</v>
      </c>
      <c r="AC573" s="36">
        <f t="shared" si="130"/>
        <v>0</v>
      </c>
    </row>
    <row r="574" spans="1:29" x14ac:dyDescent="0.25">
      <c r="A574" s="7" t="s">
        <v>83</v>
      </c>
      <c r="B574" s="15" t="s">
        <v>67</v>
      </c>
      <c r="C574" s="7" t="s">
        <v>21</v>
      </c>
      <c r="D574" s="14">
        <v>0</v>
      </c>
      <c r="E574" s="14">
        <v>0</v>
      </c>
      <c r="F574" s="14">
        <v>0</v>
      </c>
      <c r="G574" s="14">
        <v>0</v>
      </c>
      <c r="H574" s="16">
        <v>76</v>
      </c>
      <c r="I574" s="17">
        <v>7</v>
      </c>
      <c r="J574" s="14">
        <v>7</v>
      </c>
      <c r="K574" s="14">
        <v>7</v>
      </c>
      <c r="L574" s="14">
        <v>7</v>
      </c>
      <c r="M574" s="14">
        <v>6</v>
      </c>
      <c r="N574" s="14">
        <v>6</v>
      </c>
      <c r="O574" s="14">
        <v>6</v>
      </c>
      <c r="P574" s="14">
        <v>6</v>
      </c>
      <c r="Q574" s="14">
        <v>6</v>
      </c>
      <c r="R574" s="14">
        <v>6</v>
      </c>
      <c r="S574" s="14">
        <v>6</v>
      </c>
      <c r="T574" s="18">
        <v>6</v>
      </c>
      <c r="U574" s="14">
        <v>1</v>
      </c>
      <c r="W574" s="38">
        <f t="shared" si="128"/>
        <v>76</v>
      </c>
      <c r="AB574" s="37" t="str">
        <f t="shared" si="129"/>
        <v>Rental</v>
      </c>
      <c r="AC574" s="36">
        <f t="shared" si="130"/>
        <v>7</v>
      </c>
    </row>
    <row r="575" spans="1:29" x14ac:dyDescent="0.25">
      <c r="A575" s="7" t="s">
        <v>83</v>
      </c>
      <c r="B575" s="15" t="s">
        <v>73</v>
      </c>
      <c r="C575" s="7" t="s">
        <v>21</v>
      </c>
      <c r="D575" s="14">
        <v>0</v>
      </c>
      <c r="E575" s="14">
        <v>0</v>
      </c>
      <c r="F575" s="14">
        <v>0</v>
      </c>
      <c r="G575" s="14">
        <v>0</v>
      </c>
      <c r="H575" s="16">
        <v>65</v>
      </c>
      <c r="I575" s="17">
        <v>3</v>
      </c>
      <c r="J575" s="14">
        <v>15</v>
      </c>
      <c r="K575" s="14">
        <v>5</v>
      </c>
      <c r="L575" s="14">
        <v>7</v>
      </c>
      <c r="M575" s="14">
        <v>7</v>
      </c>
      <c r="N575" s="14">
        <v>7</v>
      </c>
      <c r="O575" s="14">
        <v>7</v>
      </c>
      <c r="P575" s="14">
        <v>7</v>
      </c>
      <c r="Q575" s="14">
        <v>7</v>
      </c>
      <c r="R575" s="14">
        <v>0</v>
      </c>
      <c r="S575" s="14">
        <v>0</v>
      </c>
      <c r="T575" s="18">
        <v>0</v>
      </c>
      <c r="U575" s="14">
        <v>1</v>
      </c>
      <c r="W575" s="38">
        <f t="shared" si="128"/>
        <v>65</v>
      </c>
      <c r="AB575" s="37"/>
    </row>
    <row r="576" spans="1:29" x14ac:dyDescent="0.25">
      <c r="A576" s="7" t="s">
        <v>83</v>
      </c>
      <c r="B576" s="15" t="s">
        <v>19</v>
      </c>
      <c r="C576" s="7" t="s">
        <v>21</v>
      </c>
      <c r="D576" s="14">
        <v>0</v>
      </c>
      <c r="E576" s="14">
        <v>0</v>
      </c>
      <c r="F576" s="14">
        <v>0</v>
      </c>
      <c r="G576" s="14">
        <v>0</v>
      </c>
      <c r="H576" s="16">
        <v>12</v>
      </c>
      <c r="I576" s="17">
        <v>1</v>
      </c>
      <c r="J576" s="14">
        <v>1</v>
      </c>
      <c r="K576" s="14">
        <v>1</v>
      </c>
      <c r="L576" s="14">
        <v>1</v>
      </c>
      <c r="M576" s="14">
        <v>1</v>
      </c>
      <c r="N576" s="14">
        <v>1</v>
      </c>
      <c r="O576" s="14">
        <v>1</v>
      </c>
      <c r="P576" s="14">
        <v>1</v>
      </c>
      <c r="Q576" s="14">
        <v>1</v>
      </c>
      <c r="R576" s="14">
        <v>1</v>
      </c>
      <c r="S576" s="14">
        <v>1</v>
      </c>
      <c r="T576" s="18">
        <v>1</v>
      </c>
      <c r="U576" s="14">
        <v>1</v>
      </c>
      <c r="W576" s="38">
        <f t="shared" si="128"/>
        <v>12</v>
      </c>
      <c r="AB576" s="37" t="str">
        <f t="shared" si="129"/>
        <v>Maintenance</v>
      </c>
      <c r="AC576" s="36">
        <f t="shared" si="130"/>
        <v>1</v>
      </c>
    </row>
    <row r="577" spans="1:29" ht="13" thickBot="1" x14ac:dyDescent="0.3">
      <c r="A577" s="7" t="s">
        <v>83</v>
      </c>
      <c r="B577" s="19" t="s">
        <v>20</v>
      </c>
      <c r="C577" s="20" t="s">
        <v>21</v>
      </c>
      <c r="D577" s="21">
        <v>0</v>
      </c>
      <c r="E577" s="21">
        <v>0</v>
      </c>
      <c r="F577" s="21">
        <v>0</v>
      </c>
      <c r="G577" s="21">
        <v>0</v>
      </c>
      <c r="H577" s="22">
        <v>47</v>
      </c>
      <c r="I577" s="23">
        <v>5</v>
      </c>
      <c r="J577" s="21">
        <v>6</v>
      </c>
      <c r="K577" s="21">
        <v>0</v>
      </c>
      <c r="L577" s="21">
        <v>0</v>
      </c>
      <c r="M577" s="21">
        <v>30</v>
      </c>
      <c r="N577" s="21">
        <v>0</v>
      </c>
      <c r="O577" s="21">
        <v>0</v>
      </c>
      <c r="P577" s="21">
        <v>0</v>
      </c>
      <c r="Q577" s="21">
        <v>0</v>
      </c>
      <c r="R577" s="21">
        <v>0</v>
      </c>
      <c r="S577" s="21">
        <v>6</v>
      </c>
      <c r="T577" s="24">
        <v>0</v>
      </c>
      <c r="U577" s="14">
        <v>1</v>
      </c>
      <c r="W577" s="38">
        <f t="shared" si="128"/>
        <v>47</v>
      </c>
      <c r="AB577" s="37" t="str">
        <f t="shared" si="129"/>
        <v>Startup</v>
      </c>
      <c r="AC577" s="36">
        <f t="shared" si="130"/>
        <v>5</v>
      </c>
    </row>
    <row r="578" spans="1:29" ht="13" thickBot="1" x14ac:dyDescent="0.3">
      <c r="A578" s="20" t="s">
        <v>83</v>
      </c>
      <c r="B578" s="25" t="s">
        <v>12</v>
      </c>
      <c r="C578" s="26" t="s">
        <v>21</v>
      </c>
      <c r="D578" s="27">
        <v>0</v>
      </c>
      <c r="E578" s="27">
        <v>0</v>
      </c>
      <c r="F578" s="27">
        <v>0</v>
      </c>
      <c r="G578" s="27">
        <v>0</v>
      </c>
      <c r="H578" s="28">
        <v>444</v>
      </c>
      <c r="I578" s="29">
        <v>60</v>
      </c>
      <c r="J578" s="27">
        <v>110</v>
      </c>
      <c r="K578" s="27">
        <v>28</v>
      </c>
      <c r="L578" s="27">
        <v>22</v>
      </c>
      <c r="M578" s="27">
        <v>51</v>
      </c>
      <c r="N578" s="27">
        <v>14</v>
      </c>
      <c r="O578" s="27">
        <v>14</v>
      </c>
      <c r="P578" s="27">
        <v>47</v>
      </c>
      <c r="Q578" s="27">
        <v>42</v>
      </c>
      <c r="R578" s="27">
        <v>36</v>
      </c>
      <c r="S578" s="27">
        <v>13</v>
      </c>
      <c r="T578" s="29">
        <v>7</v>
      </c>
      <c r="U578" s="14">
        <v>1</v>
      </c>
      <c r="W578" s="38">
        <f t="shared" si="128"/>
        <v>444</v>
      </c>
      <c r="X578" s="35">
        <f>W577+W576+W573</f>
        <v>64</v>
      </c>
      <c r="Y578" s="35">
        <f>W571</f>
        <v>220</v>
      </c>
      <c r="Z578" s="40">
        <f>V569/X578</f>
        <v>0</v>
      </c>
      <c r="AA578" s="40">
        <f>IF((Y578=0),0,Y570/Y578)</f>
        <v>5.9545454545454541</v>
      </c>
      <c r="AB578" s="48"/>
      <c r="AC578" s="48"/>
    </row>
    <row r="579" spans="1:29" ht="13" thickBot="1" x14ac:dyDescent="0.3">
      <c r="A579" s="9" t="s">
        <v>32</v>
      </c>
      <c r="B579" s="30" t="s">
        <v>15</v>
      </c>
      <c r="C579" s="31" t="s">
        <v>94</v>
      </c>
      <c r="D579" s="32" t="s">
        <v>47</v>
      </c>
      <c r="E579" s="53" t="s">
        <v>104</v>
      </c>
      <c r="F579" s="53" t="s">
        <v>105</v>
      </c>
      <c r="G579" s="53" t="s">
        <v>106</v>
      </c>
      <c r="H579" s="28" t="s">
        <v>12</v>
      </c>
      <c r="I579" s="54" t="s">
        <v>107</v>
      </c>
      <c r="J579" s="53" t="s">
        <v>108</v>
      </c>
      <c r="K579" s="53" t="s">
        <v>109</v>
      </c>
      <c r="L579" s="53" t="s">
        <v>110</v>
      </c>
      <c r="M579" s="53" t="s">
        <v>111</v>
      </c>
      <c r="N579" s="53" t="s">
        <v>115</v>
      </c>
      <c r="O579" s="53" t="s">
        <v>120</v>
      </c>
      <c r="P579" s="53" t="s">
        <v>121</v>
      </c>
      <c r="Q579" s="53" t="s">
        <v>164</v>
      </c>
      <c r="R579" s="53" t="s">
        <v>173</v>
      </c>
      <c r="S579" s="53" t="s">
        <v>177</v>
      </c>
      <c r="T579" s="55" t="s">
        <v>182</v>
      </c>
      <c r="U579" s="14">
        <v>3.2567780380000002</v>
      </c>
      <c r="V579" s="14" t="s">
        <v>183</v>
      </c>
      <c r="W579" s="35"/>
      <c r="X579" s="14" t="s">
        <v>37</v>
      </c>
      <c r="Y579" s="14" t="s">
        <v>38</v>
      </c>
      <c r="AB579" s="48"/>
      <c r="AC579" s="48"/>
    </row>
    <row r="580" spans="1:29" x14ac:dyDescent="0.25">
      <c r="A580" s="7" t="s">
        <v>32</v>
      </c>
      <c r="B580" s="8" t="s">
        <v>17</v>
      </c>
      <c r="C580" s="9" t="s">
        <v>18</v>
      </c>
      <c r="D580" s="10">
        <v>0</v>
      </c>
      <c r="E580" s="10">
        <v>0</v>
      </c>
      <c r="F580" s="165">
        <v>0</v>
      </c>
      <c r="G580" s="163">
        <v>0</v>
      </c>
      <c r="H580" s="11">
        <v>559</v>
      </c>
      <c r="I580" s="164">
        <v>0</v>
      </c>
      <c r="J580" s="163">
        <v>0</v>
      </c>
      <c r="K580" s="165">
        <v>14</v>
      </c>
      <c r="L580" s="10">
        <v>0</v>
      </c>
      <c r="M580" s="10">
        <v>1</v>
      </c>
      <c r="N580" s="10">
        <v>0</v>
      </c>
      <c r="O580" s="10">
        <v>0</v>
      </c>
      <c r="P580" s="10">
        <v>7</v>
      </c>
      <c r="Q580" s="10">
        <v>537</v>
      </c>
      <c r="R580" s="10">
        <v>0</v>
      </c>
      <c r="S580" s="10">
        <v>0</v>
      </c>
      <c r="T580" s="13">
        <v>0</v>
      </c>
      <c r="U580" s="14">
        <v>3.2567780380000002</v>
      </c>
      <c r="V580" s="42">
        <f>SUM(I580:T580)/H580</f>
        <v>1</v>
      </c>
      <c r="W580" s="39">
        <f>SUM(I580:T580)*U580</f>
        <v>1820.538923242</v>
      </c>
    </row>
    <row r="581" spans="1:29" x14ac:dyDescent="0.25">
      <c r="A581" s="7" t="s">
        <v>32</v>
      </c>
      <c r="B581" s="15" t="s">
        <v>66</v>
      </c>
      <c r="C581" s="7" t="s">
        <v>18</v>
      </c>
      <c r="D581" s="14">
        <v>0</v>
      </c>
      <c r="E581" s="14">
        <v>0</v>
      </c>
      <c r="F581" s="14">
        <v>0</v>
      </c>
      <c r="G581" s="14">
        <v>0</v>
      </c>
      <c r="H581" s="16">
        <v>774</v>
      </c>
      <c r="I581" s="17">
        <v>0</v>
      </c>
      <c r="J581" s="14">
        <v>0</v>
      </c>
      <c r="K581" s="14">
        <v>0</v>
      </c>
      <c r="L581" s="14">
        <v>7</v>
      </c>
      <c r="M581" s="14">
        <v>6</v>
      </c>
      <c r="N581" s="14">
        <v>0</v>
      </c>
      <c r="O581" s="14">
        <v>25</v>
      </c>
      <c r="P581" s="14">
        <v>32</v>
      </c>
      <c r="Q581" s="14">
        <v>704</v>
      </c>
      <c r="R581" s="14">
        <v>0</v>
      </c>
      <c r="S581" s="14">
        <v>0</v>
      </c>
      <c r="T581" s="18">
        <v>0</v>
      </c>
      <c r="U581" s="14">
        <v>3.2567780380000002</v>
      </c>
      <c r="V581" s="44"/>
      <c r="W581" s="39">
        <f t="shared" ref="W581:W587" si="131">SUM(I581:T581)*U581</f>
        <v>2520.7462014120001</v>
      </c>
    </row>
    <row r="582" spans="1:29" x14ac:dyDescent="0.25">
      <c r="A582" s="7" t="s">
        <v>32</v>
      </c>
      <c r="B582" s="15" t="s">
        <v>13</v>
      </c>
      <c r="C582" s="7" t="s">
        <v>18</v>
      </c>
      <c r="D582" s="14">
        <v>0</v>
      </c>
      <c r="E582" s="14">
        <v>0</v>
      </c>
      <c r="F582" s="14">
        <v>0</v>
      </c>
      <c r="G582" s="14">
        <v>0</v>
      </c>
      <c r="H582" s="16">
        <v>1394</v>
      </c>
      <c r="I582" s="17">
        <v>1</v>
      </c>
      <c r="J582" s="14">
        <v>4</v>
      </c>
      <c r="K582" s="14">
        <v>25</v>
      </c>
      <c r="L582" s="14">
        <v>92</v>
      </c>
      <c r="M582" s="14">
        <v>160</v>
      </c>
      <c r="N582" s="14">
        <v>86</v>
      </c>
      <c r="O582" s="14">
        <v>16</v>
      </c>
      <c r="P582" s="14">
        <v>1</v>
      </c>
      <c r="Q582" s="14">
        <v>1009</v>
      </c>
      <c r="R582" s="14">
        <v>0</v>
      </c>
      <c r="S582" s="14">
        <v>0</v>
      </c>
      <c r="T582" s="18">
        <v>0</v>
      </c>
      <c r="U582" s="14">
        <v>3.2567780380000002</v>
      </c>
      <c r="V582" s="41"/>
      <c r="W582" s="39">
        <f t="shared" si="131"/>
        <v>4539.9485849720004</v>
      </c>
    </row>
    <row r="583" spans="1:29" x14ac:dyDescent="0.25">
      <c r="A583" s="7" t="s">
        <v>32</v>
      </c>
      <c r="B583" s="15" t="s">
        <v>67</v>
      </c>
      <c r="C583" s="7" t="s">
        <v>18</v>
      </c>
      <c r="D583" s="14">
        <v>0</v>
      </c>
      <c r="E583" s="14">
        <v>0</v>
      </c>
      <c r="F583" s="14">
        <v>0</v>
      </c>
      <c r="G583" s="14">
        <v>0</v>
      </c>
      <c r="H583" s="16">
        <v>397</v>
      </c>
      <c r="I583" s="17">
        <v>1</v>
      </c>
      <c r="J583" s="14">
        <v>134</v>
      </c>
      <c r="K583" s="14">
        <v>27</v>
      </c>
      <c r="L583" s="14">
        <v>7</v>
      </c>
      <c r="M583" s="14">
        <v>2</v>
      </c>
      <c r="N583" s="14">
        <v>4</v>
      </c>
      <c r="O583" s="14">
        <v>41</v>
      </c>
      <c r="P583" s="14">
        <v>115</v>
      </c>
      <c r="Q583" s="14">
        <v>66</v>
      </c>
      <c r="R583" s="14">
        <v>0</v>
      </c>
      <c r="S583" s="14">
        <v>0</v>
      </c>
      <c r="T583" s="18">
        <v>0</v>
      </c>
      <c r="U583" s="14">
        <v>3.2567780380000002</v>
      </c>
      <c r="V583" s="41"/>
      <c r="W583" s="39">
        <f t="shared" si="131"/>
        <v>1292.940881086</v>
      </c>
    </row>
    <row r="584" spans="1:29" x14ac:dyDescent="0.25">
      <c r="A584" s="7" t="s">
        <v>32</v>
      </c>
      <c r="B584" s="15" t="s">
        <v>73</v>
      </c>
      <c r="C584" s="7" t="s">
        <v>18</v>
      </c>
      <c r="D584" s="14">
        <v>0</v>
      </c>
      <c r="E584" s="14">
        <v>0</v>
      </c>
      <c r="F584" s="14">
        <v>0</v>
      </c>
      <c r="G584" s="14">
        <v>0</v>
      </c>
      <c r="H584" s="16">
        <v>691</v>
      </c>
      <c r="I584" s="17">
        <v>0</v>
      </c>
      <c r="J584" s="14">
        <v>0</v>
      </c>
      <c r="K584" s="14">
        <v>27</v>
      </c>
      <c r="L584" s="14">
        <v>19</v>
      </c>
      <c r="M584" s="14">
        <v>3</v>
      </c>
      <c r="N584" s="14">
        <v>29</v>
      </c>
      <c r="O584" s="14">
        <v>13</v>
      </c>
      <c r="P584" s="14">
        <v>47</v>
      </c>
      <c r="Q584" s="14">
        <v>553</v>
      </c>
      <c r="R584" s="14">
        <v>0</v>
      </c>
      <c r="S584" s="14">
        <v>0</v>
      </c>
      <c r="T584" s="18">
        <v>0</v>
      </c>
      <c r="U584" s="14">
        <v>3.2567780380000002</v>
      </c>
      <c r="V584" s="41"/>
      <c r="W584" s="39">
        <f t="shared" si="131"/>
        <v>2250.4336242580002</v>
      </c>
    </row>
    <row r="585" spans="1:29" x14ac:dyDescent="0.25">
      <c r="A585" s="7" t="s">
        <v>32</v>
      </c>
      <c r="B585" s="15" t="s">
        <v>19</v>
      </c>
      <c r="C585" s="7" t="s">
        <v>18</v>
      </c>
      <c r="D585" s="14">
        <v>0</v>
      </c>
      <c r="E585" s="14">
        <v>0</v>
      </c>
      <c r="F585" s="14">
        <v>0</v>
      </c>
      <c r="G585" s="14">
        <v>0</v>
      </c>
      <c r="H585" s="16">
        <v>304</v>
      </c>
      <c r="I585" s="17">
        <v>7</v>
      </c>
      <c r="J585" s="14">
        <v>52</v>
      </c>
      <c r="K585" s="14">
        <v>0</v>
      </c>
      <c r="L585" s="14">
        <v>0</v>
      </c>
      <c r="M585" s="14">
        <v>4</v>
      </c>
      <c r="N585" s="14">
        <v>0</v>
      </c>
      <c r="O585" s="14">
        <v>0</v>
      </c>
      <c r="P585" s="14">
        <v>4</v>
      </c>
      <c r="Q585" s="14">
        <v>237</v>
      </c>
      <c r="R585" s="14">
        <v>0</v>
      </c>
      <c r="S585" s="14">
        <v>0</v>
      </c>
      <c r="T585" s="18">
        <v>0</v>
      </c>
      <c r="U585" s="14">
        <v>3.2567780380000002</v>
      </c>
      <c r="V585" s="41"/>
      <c r="W585" s="39">
        <f t="shared" si="131"/>
        <v>990.06052355200006</v>
      </c>
    </row>
    <row r="586" spans="1:29" ht="13" thickBot="1" x14ac:dyDescent="0.3">
      <c r="A586" s="7" t="s">
        <v>32</v>
      </c>
      <c r="B586" s="19" t="s">
        <v>20</v>
      </c>
      <c r="C586" s="20" t="s">
        <v>18</v>
      </c>
      <c r="D586" s="21">
        <v>0</v>
      </c>
      <c r="E586" s="21">
        <v>0</v>
      </c>
      <c r="F586" s="21">
        <v>0</v>
      </c>
      <c r="G586" s="21">
        <v>0</v>
      </c>
      <c r="H586" s="22">
        <v>0</v>
      </c>
      <c r="I586" s="23">
        <v>0</v>
      </c>
      <c r="J586" s="21">
        <v>0</v>
      </c>
      <c r="K586" s="21">
        <v>0</v>
      </c>
      <c r="L586" s="21">
        <v>0</v>
      </c>
      <c r="M586" s="21">
        <v>0</v>
      </c>
      <c r="N586" s="21">
        <v>0</v>
      </c>
      <c r="O586" s="21">
        <v>0</v>
      </c>
      <c r="P586" s="21">
        <v>0</v>
      </c>
      <c r="Q586" s="21">
        <v>0</v>
      </c>
      <c r="R586" s="21">
        <v>0</v>
      </c>
      <c r="S586" s="21">
        <v>0</v>
      </c>
      <c r="T586" s="24">
        <v>0</v>
      </c>
      <c r="U586" s="14">
        <v>3.2567780380000002</v>
      </c>
      <c r="V586" s="44"/>
      <c r="W586" s="39">
        <f t="shared" si="131"/>
        <v>0</v>
      </c>
    </row>
    <row r="587" spans="1:29" ht="13" thickBot="1" x14ac:dyDescent="0.3">
      <c r="A587" s="7" t="s">
        <v>32</v>
      </c>
      <c r="B587" s="25" t="s">
        <v>12</v>
      </c>
      <c r="C587" s="26" t="s">
        <v>18</v>
      </c>
      <c r="D587" s="27">
        <v>0</v>
      </c>
      <c r="E587" s="27">
        <v>0</v>
      </c>
      <c r="F587" s="27">
        <v>0</v>
      </c>
      <c r="G587" s="27">
        <v>0</v>
      </c>
      <c r="H587" s="28">
        <v>4119</v>
      </c>
      <c r="I587" s="29">
        <v>9</v>
      </c>
      <c r="J587" s="27">
        <v>190</v>
      </c>
      <c r="K587" s="27">
        <v>93</v>
      </c>
      <c r="L587" s="27">
        <v>125</v>
      </c>
      <c r="M587" s="27">
        <v>176</v>
      </c>
      <c r="N587" s="27">
        <v>119</v>
      </c>
      <c r="O587" s="27">
        <v>95</v>
      </c>
      <c r="P587" s="27">
        <v>206</v>
      </c>
      <c r="Q587" s="27">
        <v>3106</v>
      </c>
      <c r="R587" s="27">
        <v>0</v>
      </c>
      <c r="S587" s="27">
        <v>0</v>
      </c>
      <c r="T587" s="29">
        <v>0</v>
      </c>
      <c r="U587" s="14">
        <v>3.2567780380000002</v>
      </c>
      <c r="V587" s="43">
        <f>SUM(I582:T585)/SUM(H582:H585)</f>
        <v>1</v>
      </c>
      <c r="W587" s="39">
        <f t="shared" si="131"/>
        <v>13414.668738522001</v>
      </c>
      <c r="X587" s="35">
        <f>W585+W582</f>
        <v>5530.0091085240001</v>
      </c>
      <c r="Y587" s="35">
        <f>W580</f>
        <v>1820.538923242</v>
      </c>
    </row>
    <row r="588" spans="1:29" x14ac:dyDescent="0.25">
      <c r="A588" s="7" t="s">
        <v>32</v>
      </c>
      <c r="B588" s="8" t="s">
        <v>17</v>
      </c>
      <c r="C588" s="9" t="s">
        <v>21</v>
      </c>
      <c r="D588" s="10">
        <v>0</v>
      </c>
      <c r="E588" s="10">
        <v>0</v>
      </c>
      <c r="F588" s="10">
        <v>0</v>
      </c>
      <c r="G588" s="10">
        <v>0</v>
      </c>
      <c r="H588" s="11">
        <v>67</v>
      </c>
      <c r="I588" s="12">
        <v>5</v>
      </c>
      <c r="J588" s="10">
        <v>4</v>
      </c>
      <c r="K588" s="10">
        <v>3</v>
      </c>
      <c r="L588" s="10">
        <v>0</v>
      </c>
      <c r="M588" s="10">
        <v>0</v>
      </c>
      <c r="N588" s="10">
        <v>0</v>
      </c>
      <c r="O588" s="10">
        <v>0</v>
      </c>
      <c r="P588" s="10">
        <v>0</v>
      </c>
      <c r="Q588" s="10">
        <v>55</v>
      </c>
      <c r="R588" s="10">
        <v>0</v>
      </c>
      <c r="S588" s="10">
        <v>0</v>
      </c>
      <c r="T588" s="13">
        <v>0</v>
      </c>
      <c r="U588" s="14">
        <v>3.2567780380000002</v>
      </c>
      <c r="W588" s="38">
        <f t="shared" si="124"/>
        <v>218.20412854600002</v>
      </c>
      <c r="AB588" s="37" t="str">
        <f t="shared" ref="AB588:AB594" si="132">B588</f>
        <v>Parts-OTC</v>
      </c>
      <c r="AC588" s="36">
        <f t="shared" ref="AC588:AC594" si="133">I588*U588</f>
        <v>16.283890190000001</v>
      </c>
    </row>
    <row r="589" spans="1:29" x14ac:dyDescent="0.25">
      <c r="A589" s="7" t="s">
        <v>32</v>
      </c>
      <c r="B589" s="15" t="s">
        <v>66</v>
      </c>
      <c r="C589" s="7" t="s">
        <v>21</v>
      </c>
      <c r="D589" s="14">
        <v>0</v>
      </c>
      <c r="E589" s="14">
        <v>0</v>
      </c>
      <c r="F589" s="14">
        <v>0</v>
      </c>
      <c r="G589" s="14">
        <v>0</v>
      </c>
      <c r="H589" s="16">
        <v>107</v>
      </c>
      <c r="I589" s="17">
        <v>21</v>
      </c>
      <c r="J589" s="14">
        <v>0</v>
      </c>
      <c r="K589" s="14">
        <v>30</v>
      </c>
      <c r="L589" s="14">
        <v>0</v>
      </c>
      <c r="M589" s="14">
        <v>0</v>
      </c>
      <c r="N589" s="14">
        <v>0</v>
      </c>
      <c r="O589" s="14">
        <v>0</v>
      </c>
      <c r="P589" s="14">
        <v>0</v>
      </c>
      <c r="Q589" s="14">
        <v>56</v>
      </c>
      <c r="R589" s="14">
        <v>0</v>
      </c>
      <c r="S589" s="14">
        <v>0</v>
      </c>
      <c r="T589" s="18">
        <v>0</v>
      </c>
      <c r="U589" s="14">
        <v>3.2567780380000002</v>
      </c>
      <c r="W589" s="38">
        <f t="shared" si="124"/>
        <v>348.475250066</v>
      </c>
      <c r="AB589" s="37" t="str">
        <f t="shared" si="132"/>
        <v>CTKS</v>
      </c>
      <c r="AC589" s="36">
        <f t="shared" si="133"/>
        <v>68.392338797999997</v>
      </c>
    </row>
    <row r="590" spans="1:29" x14ac:dyDescent="0.25">
      <c r="A590" s="7" t="s">
        <v>32</v>
      </c>
      <c r="B590" s="15" t="s">
        <v>13</v>
      </c>
      <c r="C590" s="7" t="s">
        <v>21</v>
      </c>
      <c r="D590" s="14">
        <v>0</v>
      </c>
      <c r="E590" s="14">
        <v>0</v>
      </c>
      <c r="F590" s="14">
        <v>0</v>
      </c>
      <c r="G590" s="14">
        <v>0</v>
      </c>
      <c r="H590" s="16">
        <v>77</v>
      </c>
      <c r="I590" s="33">
        <v>17</v>
      </c>
      <c r="J590" s="34">
        <v>34</v>
      </c>
      <c r="K590" s="34">
        <v>4</v>
      </c>
      <c r="L590" s="14">
        <v>0</v>
      </c>
      <c r="M590" s="14">
        <v>0</v>
      </c>
      <c r="N590" s="14">
        <v>0</v>
      </c>
      <c r="O590" s="14">
        <v>0</v>
      </c>
      <c r="P590" s="14">
        <v>0</v>
      </c>
      <c r="Q590" s="14">
        <v>22</v>
      </c>
      <c r="R590" s="14">
        <v>0</v>
      </c>
      <c r="S590" s="14">
        <v>0</v>
      </c>
      <c r="T590" s="18">
        <v>0</v>
      </c>
      <c r="U590" s="14">
        <v>3.2567780380000002</v>
      </c>
      <c r="W590" s="38">
        <f t="shared" si="124"/>
        <v>250.77190892600001</v>
      </c>
      <c r="AB590" s="37" t="str">
        <f t="shared" si="132"/>
        <v>Repair</v>
      </c>
      <c r="AC590" s="36">
        <f t="shared" si="133"/>
        <v>55.365226646000004</v>
      </c>
    </row>
    <row r="591" spans="1:29" x14ac:dyDescent="0.25">
      <c r="A591" s="7" t="s">
        <v>32</v>
      </c>
      <c r="B591" s="15" t="s">
        <v>67</v>
      </c>
      <c r="C591" s="7" t="s">
        <v>21</v>
      </c>
      <c r="D591" s="14">
        <v>0</v>
      </c>
      <c r="E591" s="14">
        <v>0</v>
      </c>
      <c r="F591" s="14">
        <v>0</v>
      </c>
      <c r="G591" s="14">
        <v>0</v>
      </c>
      <c r="H591" s="16">
        <v>23</v>
      </c>
      <c r="I591" s="17">
        <v>2</v>
      </c>
      <c r="J591" s="14">
        <v>2</v>
      </c>
      <c r="K591" s="14">
        <v>2</v>
      </c>
      <c r="L591" s="14">
        <v>2</v>
      </c>
      <c r="M591" s="14">
        <v>2</v>
      </c>
      <c r="N591" s="14">
        <v>3</v>
      </c>
      <c r="O591" s="14">
        <v>5</v>
      </c>
      <c r="P591" s="14">
        <v>1</v>
      </c>
      <c r="Q591" s="14">
        <v>1</v>
      </c>
      <c r="R591" s="14">
        <v>1</v>
      </c>
      <c r="S591" s="14">
        <v>1</v>
      </c>
      <c r="T591" s="18">
        <v>1</v>
      </c>
      <c r="U591" s="14">
        <v>3.2567780380000002</v>
      </c>
      <c r="W591" s="38">
        <f t="shared" si="124"/>
        <v>74.905894874000012</v>
      </c>
      <c r="AB591" s="37" t="str">
        <f t="shared" si="132"/>
        <v>Rental</v>
      </c>
      <c r="AC591" s="36">
        <f t="shared" si="133"/>
        <v>6.5135560760000004</v>
      </c>
    </row>
    <row r="592" spans="1:29" x14ac:dyDescent="0.25">
      <c r="A592" s="7" t="s">
        <v>32</v>
      </c>
      <c r="B592" s="15" t="s">
        <v>73</v>
      </c>
      <c r="C592" s="7" t="s">
        <v>21</v>
      </c>
      <c r="D592" s="14">
        <v>0</v>
      </c>
      <c r="E592" s="14">
        <v>0</v>
      </c>
      <c r="F592" s="14">
        <v>0</v>
      </c>
      <c r="G592" s="14">
        <v>0</v>
      </c>
      <c r="H592" s="16">
        <v>150</v>
      </c>
      <c r="I592" s="17">
        <v>58</v>
      </c>
      <c r="J592" s="14">
        <v>6</v>
      </c>
      <c r="K592" s="14">
        <v>3</v>
      </c>
      <c r="L592" s="14">
        <v>9</v>
      </c>
      <c r="M592" s="14">
        <v>0</v>
      </c>
      <c r="N592" s="14">
        <v>0</v>
      </c>
      <c r="O592" s="14">
        <v>0</v>
      </c>
      <c r="P592" s="14">
        <v>0</v>
      </c>
      <c r="Q592" s="14">
        <v>74</v>
      </c>
      <c r="R592" s="14">
        <v>0</v>
      </c>
      <c r="S592" s="14">
        <v>0</v>
      </c>
      <c r="T592" s="18">
        <v>0</v>
      </c>
      <c r="U592" s="14">
        <v>3.2567780380000002</v>
      </c>
      <c r="W592" s="38">
        <f t="shared" si="124"/>
        <v>488.51670570000005</v>
      </c>
      <c r="AB592" s="37"/>
    </row>
    <row r="593" spans="1:29" x14ac:dyDescent="0.25">
      <c r="A593" s="7" t="s">
        <v>32</v>
      </c>
      <c r="B593" s="15" t="s">
        <v>19</v>
      </c>
      <c r="C593" s="7" t="s">
        <v>21</v>
      </c>
      <c r="D593" s="14">
        <v>0</v>
      </c>
      <c r="E593" s="14">
        <v>0</v>
      </c>
      <c r="F593" s="14">
        <v>0</v>
      </c>
      <c r="G593" s="14">
        <v>0</v>
      </c>
      <c r="H593" s="16">
        <v>130</v>
      </c>
      <c r="I593" s="17">
        <v>16</v>
      </c>
      <c r="J593" s="14">
        <v>15</v>
      </c>
      <c r="K593" s="14">
        <v>13</v>
      </c>
      <c r="L593" s="14">
        <v>14</v>
      </c>
      <c r="M593" s="14">
        <v>13</v>
      </c>
      <c r="N593" s="14">
        <v>14</v>
      </c>
      <c r="O593" s="14">
        <v>13</v>
      </c>
      <c r="P593" s="14">
        <v>12</v>
      </c>
      <c r="Q593" s="14">
        <v>11</v>
      </c>
      <c r="R593" s="14">
        <v>4</v>
      </c>
      <c r="S593" s="14">
        <v>3</v>
      </c>
      <c r="T593" s="18">
        <v>2</v>
      </c>
      <c r="U593" s="14">
        <v>3.2567780380000002</v>
      </c>
      <c r="W593" s="38">
        <f t="shared" si="124"/>
        <v>423.38114494000001</v>
      </c>
      <c r="AB593" s="37" t="str">
        <f t="shared" si="132"/>
        <v>Maintenance</v>
      </c>
      <c r="AC593" s="36">
        <f t="shared" si="133"/>
        <v>52.108448608000003</v>
      </c>
    </row>
    <row r="594" spans="1:29" ht="13" thickBot="1" x14ac:dyDescent="0.3">
      <c r="A594" s="7" t="s">
        <v>32</v>
      </c>
      <c r="B594" s="19" t="s">
        <v>20</v>
      </c>
      <c r="C594" s="20" t="s">
        <v>21</v>
      </c>
      <c r="D594" s="21">
        <v>0</v>
      </c>
      <c r="E594" s="21">
        <v>0</v>
      </c>
      <c r="F594" s="21">
        <v>0</v>
      </c>
      <c r="G594" s="21">
        <v>0</v>
      </c>
      <c r="H594" s="22">
        <v>4</v>
      </c>
      <c r="I594" s="23">
        <v>0</v>
      </c>
      <c r="J594" s="21">
        <v>0</v>
      </c>
      <c r="K594" s="21">
        <v>0</v>
      </c>
      <c r="L594" s="21">
        <v>0</v>
      </c>
      <c r="M594" s="21">
        <v>3</v>
      </c>
      <c r="N594" s="21">
        <v>0</v>
      </c>
      <c r="O594" s="21">
        <v>1</v>
      </c>
      <c r="P594" s="21">
        <v>0</v>
      </c>
      <c r="Q594" s="21">
        <v>0</v>
      </c>
      <c r="R594" s="21">
        <v>0</v>
      </c>
      <c r="S594" s="21">
        <v>0</v>
      </c>
      <c r="T594" s="24">
        <v>0</v>
      </c>
      <c r="U594" s="14">
        <v>3.2567780380000002</v>
      </c>
      <c r="W594" s="38">
        <f t="shared" si="124"/>
        <v>13.027112152000001</v>
      </c>
      <c r="AB594" s="37" t="str">
        <f t="shared" si="132"/>
        <v>Startup</v>
      </c>
      <c r="AC594" s="36">
        <f t="shared" si="133"/>
        <v>0</v>
      </c>
    </row>
    <row r="595" spans="1:29" ht="13" thickBot="1" x14ac:dyDescent="0.3">
      <c r="A595" s="20" t="s">
        <v>32</v>
      </c>
      <c r="B595" s="25" t="s">
        <v>12</v>
      </c>
      <c r="C595" s="26" t="s">
        <v>21</v>
      </c>
      <c r="D595" s="27">
        <v>0</v>
      </c>
      <c r="E595" s="27">
        <v>0</v>
      </c>
      <c r="F595" s="27">
        <v>0</v>
      </c>
      <c r="G595" s="27">
        <v>0</v>
      </c>
      <c r="H595" s="28">
        <v>558</v>
      </c>
      <c r="I595" s="29">
        <v>119</v>
      </c>
      <c r="J595" s="27">
        <v>61</v>
      </c>
      <c r="K595" s="27">
        <v>55</v>
      </c>
      <c r="L595" s="27">
        <v>25</v>
      </c>
      <c r="M595" s="27">
        <v>18</v>
      </c>
      <c r="N595" s="27">
        <v>17</v>
      </c>
      <c r="O595" s="27">
        <v>19</v>
      </c>
      <c r="P595" s="27">
        <v>13</v>
      </c>
      <c r="Q595" s="27">
        <v>219</v>
      </c>
      <c r="R595" s="27">
        <v>5</v>
      </c>
      <c r="S595" s="27">
        <v>4</v>
      </c>
      <c r="T595" s="29">
        <v>3</v>
      </c>
      <c r="U595" s="14">
        <v>3.2567780380000002</v>
      </c>
      <c r="W595" s="38">
        <f t="shared" si="124"/>
        <v>1817.282145204</v>
      </c>
      <c r="X595" s="35">
        <f>W594+W593+W590</f>
        <v>687.18016601800002</v>
      </c>
      <c r="Y595" s="35">
        <f>W588</f>
        <v>218.20412854600002</v>
      </c>
      <c r="Z595" s="40">
        <f>V586/X595</f>
        <v>0</v>
      </c>
      <c r="AA595" s="40">
        <f>IF((Y595=0),0,Y587/Y595)</f>
        <v>8.3432835820895512</v>
      </c>
      <c r="AB595" s="48"/>
      <c r="AC595" s="48"/>
    </row>
    <row r="596" spans="1:29" ht="13" thickBot="1" x14ac:dyDescent="0.3">
      <c r="A596" s="9" t="s">
        <v>33</v>
      </c>
      <c r="B596" s="30" t="s">
        <v>15</v>
      </c>
      <c r="C596" s="31" t="s">
        <v>94</v>
      </c>
      <c r="D596" s="32" t="s">
        <v>47</v>
      </c>
      <c r="E596" s="53" t="s">
        <v>104</v>
      </c>
      <c r="F596" s="53" t="s">
        <v>105</v>
      </c>
      <c r="G596" s="53" t="s">
        <v>106</v>
      </c>
      <c r="H596" s="28" t="s">
        <v>12</v>
      </c>
      <c r="I596" s="54" t="s">
        <v>107</v>
      </c>
      <c r="J596" s="53" t="s">
        <v>108</v>
      </c>
      <c r="K596" s="53" t="s">
        <v>109</v>
      </c>
      <c r="L596" s="53" t="s">
        <v>110</v>
      </c>
      <c r="M596" s="53" t="s">
        <v>111</v>
      </c>
      <c r="N596" s="53" t="s">
        <v>115</v>
      </c>
      <c r="O596" s="53" t="s">
        <v>120</v>
      </c>
      <c r="P596" s="53" t="s">
        <v>121</v>
      </c>
      <c r="Q596" s="53" t="s">
        <v>164</v>
      </c>
      <c r="R596" s="53" t="s">
        <v>173</v>
      </c>
      <c r="S596" s="53" t="s">
        <v>177</v>
      </c>
      <c r="T596" s="55" t="s">
        <v>182</v>
      </c>
      <c r="U596" s="14">
        <v>1.11668E-5</v>
      </c>
      <c r="V596" s="14" t="s">
        <v>183</v>
      </c>
      <c r="W596" s="35"/>
      <c r="X596" s="14" t="s">
        <v>37</v>
      </c>
      <c r="Y596" s="14" t="s">
        <v>38</v>
      </c>
      <c r="AB596" s="48"/>
      <c r="AC596" s="48"/>
    </row>
    <row r="597" spans="1:29" x14ac:dyDescent="0.25">
      <c r="A597" s="7" t="s">
        <v>33</v>
      </c>
      <c r="B597" s="8" t="s">
        <v>17</v>
      </c>
      <c r="C597" s="9" t="s">
        <v>18</v>
      </c>
      <c r="D597" s="10">
        <v>69</v>
      </c>
      <c r="E597" s="10">
        <v>0</v>
      </c>
      <c r="F597" s="10">
        <v>23</v>
      </c>
      <c r="G597" s="10">
        <v>9</v>
      </c>
      <c r="H597" s="11">
        <v>101</v>
      </c>
      <c r="I597" s="12">
        <v>0</v>
      </c>
      <c r="J597" s="10">
        <v>0</v>
      </c>
      <c r="K597" s="10">
        <v>0</v>
      </c>
      <c r="L597" s="10">
        <v>0</v>
      </c>
      <c r="M597" s="10">
        <v>0</v>
      </c>
      <c r="N597" s="10">
        <v>0</v>
      </c>
      <c r="O597" s="10">
        <v>0</v>
      </c>
      <c r="P597" s="10">
        <v>0</v>
      </c>
      <c r="Q597" s="10">
        <v>0</v>
      </c>
      <c r="R597" s="10">
        <v>0</v>
      </c>
      <c r="S597" s="10">
        <v>0</v>
      </c>
      <c r="T597" s="13">
        <v>0</v>
      </c>
      <c r="U597" s="14">
        <v>1.11668E-5</v>
      </c>
      <c r="V597" s="42">
        <f>SUM(I597:T597)/H597</f>
        <v>0</v>
      </c>
      <c r="W597" s="39">
        <f>SUM(I597:T597)*U597</f>
        <v>0</v>
      </c>
    </row>
    <row r="598" spans="1:29" x14ac:dyDescent="0.25">
      <c r="A598" s="7" t="s">
        <v>33</v>
      </c>
      <c r="B598" s="15" t="s">
        <v>66</v>
      </c>
      <c r="C598" s="7" t="s">
        <v>18</v>
      </c>
      <c r="D598" s="14">
        <v>0</v>
      </c>
      <c r="E598" s="14">
        <v>0</v>
      </c>
      <c r="F598" s="14">
        <v>0</v>
      </c>
      <c r="G598" s="14">
        <v>0</v>
      </c>
      <c r="H598" s="16">
        <v>46</v>
      </c>
      <c r="I598" s="17">
        <v>46</v>
      </c>
      <c r="J598" s="14">
        <v>0</v>
      </c>
      <c r="K598" s="14">
        <v>0</v>
      </c>
      <c r="L598" s="14">
        <v>0</v>
      </c>
      <c r="M598" s="14">
        <v>0</v>
      </c>
      <c r="N598" s="14">
        <v>0</v>
      </c>
      <c r="O598" s="14">
        <v>0</v>
      </c>
      <c r="P598" s="14">
        <v>0</v>
      </c>
      <c r="Q598" s="14">
        <v>0</v>
      </c>
      <c r="R598" s="14">
        <v>0</v>
      </c>
      <c r="S598" s="14">
        <v>0</v>
      </c>
      <c r="T598" s="18">
        <v>0</v>
      </c>
      <c r="U598" s="14">
        <v>1.11668E-5</v>
      </c>
      <c r="V598" s="44"/>
      <c r="W598" s="39">
        <f t="shared" ref="W598:W604" si="134">SUM(I598:T598)*U598</f>
        <v>5.1367280000000001E-4</v>
      </c>
    </row>
    <row r="599" spans="1:29" x14ac:dyDescent="0.25">
      <c r="A599" s="7" t="s">
        <v>33</v>
      </c>
      <c r="B599" s="15" t="s">
        <v>13</v>
      </c>
      <c r="C599" s="7" t="s">
        <v>18</v>
      </c>
      <c r="D599" s="14">
        <v>0</v>
      </c>
      <c r="E599" s="14">
        <v>0</v>
      </c>
      <c r="F599" s="14">
        <v>0</v>
      </c>
      <c r="G599" s="14">
        <v>47</v>
      </c>
      <c r="H599" s="16">
        <v>991</v>
      </c>
      <c r="I599" s="17">
        <v>944</v>
      </c>
      <c r="J599" s="14">
        <v>0</v>
      </c>
      <c r="K599" s="14">
        <v>0</v>
      </c>
      <c r="L599" s="14">
        <v>0</v>
      </c>
      <c r="M599" s="14">
        <v>0</v>
      </c>
      <c r="N599" s="14">
        <v>0</v>
      </c>
      <c r="O599" s="14">
        <v>0</v>
      </c>
      <c r="P599" s="14">
        <v>0</v>
      </c>
      <c r="Q599" s="14">
        <v>0</v>
      </c>
      <c r="R599" s="14">
        <v>0</v>
      </c>
      <c r="S599" s="14">
        <v>0</v>
      </c>
      <c r="T599" s="18">
        <v>0</v>
      </c>
      <c r="U599" s="14">
        <v>1.11668E-5</v>
      </c>
      <c r="V599" s="41"/>
      <c r="W599" s="39">
        <f t="shared" si="134"/>
        <v>1.0541459199999999E-2</v>
      </c>
    </row>
    <row r="600" spans="1:29" x14ac:dyDescent="0.25">
      <c r="A600" s="7" t="s">
        <v>33</v>
      </c>
      <c r="B600" s="15" t="s">
        <v>67</v>
      </c>
      <c r="C600" s="7" t="s">
        <v>18</v>
      </c>
      <c r="D600" s="14">
        <v>5</v>
      </c>
      <c r="E600" s="14">
        <v>0</v>
      </c>
      <c r="F600" s="14">
        <v>0</v>
      </c>
      <c r="G600" s="14">
        <v>0</v>
      </c>
      <c r="H600" s="16">
        <v>5</v>
      </c>
      <c r="I600" s="17">
        <v>0</v>
      </c>
      <c r="J600" s="14">
        <v>0</v>
      </c>
      <c r="K600" s="14">
        <v>0</v>
      </c>
      <c r="L600" s="14">
        <v>0</v>
      </c>
      <c r="M600" s="14">
        <v>0</v>
      </c>
      <c r="N600" s="14">
        <v>0</v>
      </c>
      <c r="O600" s="14">
        <v>0</v>
      </c>
      <c r="P600" s="14">
        <v>0</v>
      </c>
      <c r="Q600" s="14">
        <v>0</v>
      </c>
      <c r="R600" s="14">
        <v>0</v>
      </c>
      <c r="S600" s="14">
        <v>0</v>
      </c>
      <c r="T600" s="18">
        <v>0</v>
      </c>
      <c r="U600" s="14">
        <v>1.11668E-5</v>
      </c>
      <c r="V600" s="41"/>
      <c r="W600" s="39">
        <f t="shared" si="134"/>
        <v>0</v>
      </c>
    </row>
    <row r="601" spans="1:29" x14ac:dyDescent="0.25">
      <c r="A601" s="7" t="s">
        <v>33</v>
      </c>
      <c r="B601" s="15" t="s">
        <v>73</v>
      </c>
      <c r="C601" s="7" t="s">
        <v>18</v>
      </c>
      <c r="D601" s="14">
        <v>0</v>
      </c>
      <c r="E601" s="14">
        <v>0</v>
      </c>
      <c r="F601" s="14">
        <v>0</v>
      </c>
      <c r="G601" s="14">
        <v>0</v>
      </c>
      <c r="H601" s="16">
        <v>626</v>
      </c>
      <c r="I601" s="17">
        <v>626</v>
      </c>
      <c r="J601" s="14">
        <v>0</v>
      </c>
      <c r="K601" s="14">
        <v>0</v>
      </c>
      <c r="L601" s="14">
        <v>0</v>
      </c>
      <c r="M601" s="14">
        <v>0</v>
      </c>
      <c r="N601" s="14">
        <v>0</v>
      </c>
      <c r="O601" s="14">
        <v>0</v>
      </c>
      <c r="P601" s="14">
        <v>0</v>
      </c>
      <c r="Q601" s="14">
        <v>0</v>
      </c>
      <c r="R601" s="14">
        <v>0</v>
      </c>
      <c r="S601" s="14">
        <v>0</v>
      </c>
      <c r="T601" s="18">
        <v>0</v>
      </c>
      <c r="U601" s="14">
        <v>1.11668E-5</v>
      </c>
      <c r="V601" s="41"/>
      <c r="W601" s="39">
        <f t="shared" si="134"/>
        <v>6.9904167999999996E-3</v>
      </c>
    </row>
    <row r="602" spans="1:29" x14ac:dyDescent="0.25">
      <c r="A602" s="7" t="s">
        <v>33</v>
      </c>
      <c r="B602" s="15" t="s">
        <v>19</v>
      </c>
      <c r="C602" s="7" t="s">
        <v>18</v>
      </c>
      <c r="D602" s="14">
        <v>1</v>
      </c>
      <c r="E602" s="14">
        <v>0</v>
      </c>
      <c r="F602" s="14">
        <v>0</v>
      </c>
      <c r="G602" s="14">
        <v>0</v>
      </c>
      <c r="H602" s="16">
        <v>153</v>
      </c>
      <c r="I602" s="17">
        <v>152</v>
      </c>
      <c r="J602" s="14">
        <v>0</v>
      </c>
      <c r="K602" s="14">
        <v>0</v>
      </c>
      <c r="L602" s="14">
        <v>0</v>
      </c>
      <c r="M602" s="14">
        <v>0</v>
      </c>
      <c r="N602" s="14">
        <v>0</v>
      </c>
      <c r="O602" s="14">
        <v>0</v>
      </c>
      <c r="P602" s="14">
        <v>0</v>
      </c>
      <c r="Q602" s="14">
        <v>0</v>
      </c>
      <c r="R602" s="14">
        <v>0</v>
      </c>
      <c r="S602" s="14">
        <v>0</v>
      </c>
      <c r="T602" s="18">
        <v>0</v>
      </c>
      <c r="U602" s="14">
        <v>1.11668E-5</v>
      </c>
      <c r="V602" s="41"/>
      <c r="W602" s="39">
        <f t="shared" si="134"/>
        <v>1.6973536E-3</v>
      </c>
    </row>
    <row r="603" spans="1:29" ht="13" thickBot="1" x14ac:dyDescent="0.3">
      <c r="A603" s="7" t="s">
        <v>33</v>
      </c>
      <c r="B603" s="19" t="s">
        <v>20</v>
      </c>
      <c r="C603" s="20" t="s">
        <v>18</v>
      </c>
      <c r="D603" s="21">
        <v>0</v>
      </c>
      <c r="E603" s="21">
        <v>0</v>
      </c>
      <c r="F603" s="21">
        <v>0</v>
      </c>
      <c r="G603" s="21">
        <v>0</v>
      </c>
      <c r="H603" s="22">
        <v>0</v>
      </c>
      <c r="I603" s="23">
        <v>0</v>
      </c>
      <c r="J603" s="21">
        <v>0</v>
      </c>
      <c r="K603" s="21">
        <v>0</v>
      </c>
      <c r="L603" s="21">
        <v>0</v>
      </c>
      <c r="M603" s="21">
        <v>0</v>
      </c>
      <c r="N603" s="21">
        <v>0</v>
      </c>
      <c r="O603" s="21">
        <v>0</v>
      </c>
      <c r="P603" s="21">
        <v>0</v>
      </c>
      <c r="Q603" s="21">
        <v>0</v>
      </c>
      <c r="R603" s="21">
        <v>0</v>
      </c>
      <c r="S603" s="21">
        <v>0</v>
      </c>
      <c r="T603" s="24">
        <v>0</v>
      </c>
      <c r="U603" s="14">
        <v>1.11668E-5</v>
      </c>
      <c r="V603" s="44"/>
      <c r="W603" s="39">
        <f t="shared" si="134"/>
        <v>0</v>
      </c>
    </row>
    <row r="604" spans="1:29" ht="13" thickBot="1" x14ac:dyDescent="0.3">
      <c r="A604" s="7" t="s">
        <v>33</v>
      </c>
      <c r="B604" s="25" t="s">
        <v>12</v>
      </c>
      <c r="C604" s="26" t="s">
        <v>18</v>
      </c>
      <c r="D604" s="27">
        <v>75</v>
      </c>
      <c r="E604" s="27">
        <v>0</v>
      </c>
      <c r="F604" s="27">
        <v>23</v>
      </c>
      <c r="G604" s="27">
        <v>56</v>
      </c>
      <c r="H604" s="28">
        <v>1922</v>
      </c>
      <c r="I604" s="29">
        <v>1768</v>
      </c>
      <c r="J604" s="27">
        <v>0</v>
      </c>
      <c r="K604" s="27">
        <v>0</v>
      </c>
      <c r="L604" s="27">
        <v>0</v>
      </c>
      <c r="M604" s="27">
        <v>0</v>
      </c>
      <c r="N604" s="27">
        <v>0</v>
      </c>
      <c r="O604" s="27">
        <v>0</v>
      </c>
      <c r="P604" s="27">
        <v>0</v>
      </c>
      <c r="Q604" s="27">
        <v>0</v>
      </c>
      <c r="R604" s="27">
        <v>0</v>
      </c>
      <c r="S604" s="27">
        <v>0</v>
      </c>
      <c r="T604" s="29">
        <v>0</v>
      </c>
      <c r="U604" s="14">
        <v>1.11668E-5</v>
      </c>
      <c r="V604" s="43">
        <f>SUM(I599:T602)/SUM(H599:H602)</f>
        <v>0.97014084507042253</v>
      </c>
      <c r="W604" s="39">
        <f t="shared" si="134"/>
        <v>1.9742902399999998E-2</v>
      </c>
      <c r="X604" s="35">
        <f>W602+W599</f>
        <v>1.2238812799999998E-2</v>
      </c>
      <c r="Y604" s="35">
        <f>W597</f>
        <v>0</v>
      </c>
    </row>
    <row r="605" spans="1:29" x14ac:dyDescent="0.25">
      <c r="A605" s="7" t="s">
        <v>33</v>
      </c>
      <c r="B605" s="8" t="s">
        <v>17</v>
      </c>
      <c r="C605" s="9" t="s">
        <v>21</v>
      </c>
      <c r="D605" s="10">
        <v>0</v>
      </c>
      <c r="E605" s="10">
        <v>0</v>
      </c>
      <c r="F605" s="10">
        <v>0</v>
      </c>
      <c r="G605" s="10">
        <v>0</v>
      </c>
      <c r="H605" s="11">
        <v>0</v>
      </c>
      <c r="I605" s="12">
        <v>0</v>
      </c>
      <c r="J605" s="10">
        <v>0</v>
      </c>
      <c r="K605" s="10">
        <v>0</v>
      </c>
      <c r="L605" s="10">
        <v>0</v>
      </c>
      <c r="M605" s="10">
        <v>0</v>
      </c>
      <c r="N605" s="10">
        <v>0</v>
      </c>
      <c r="O605" s="10">
        <v>0</v>
      </c>
      <c r="P605" s="10">
        <v>0</v>
      </c>
      <c r="Q605" s="10">
        <v>0</v>
      </c>
      <c r="R605" s="10">
        <v>0</v>
      </c>
      <c r="S605" s="10">
        <v>0</v>
      </c>
      <c r="T605" s="13">
        <v>0</v>
      </c>
      <c r="U605" s="14">
        <v>1</v>
      </c>
      <c r="W605" s="38">
        <f t="shared" ref="W605:W612" si="135">H605*U605</f>
        <v>0</v>
      </c>
      <c r="AB605" s="37" t="str">
        <f t="shared" ref="AB605:AB611" si="136">B605</f>
        <v>Parts-OTC</v>
      </c>
      <c r="AC605" s="36">
        <f t="shared" ref="AC605:AC611" si="137">I605*U605</f>
        <v>0</v>
      </c>
    </row>
    <row r="606" spans="1:29" x14ac:dyDescent="0.25">
      <c r="A606" s="7" t="s">
        <v>33</v>
      </c>
      <c r="B606" s="15" t="s">
        <v>66</v>
      </c>
      <c r="C606" s="7" t="s">
        <v>21</v>
      </c>
      <c r="D606" s="14">
        <v>0</v>
      </c>
      <c r="E606" s="14">
        <v>0</v>
      </c>
      <c r="F606" s="14">
        <v>0</v>
      </c>
      <c r="G606" s="14">
        <v>0</v>
      </c>
      <c r="H606" s="16">
        <v>111</v>
      </c>
      <c r="I606" s="17">
        <v>0</v>
      </c>
      <c r="J606" s="14">
        <v>0</v>
      </c>
      <c r="K606" s="14">
        <v>111</v>
      </c>
      <c r="L606" s="14">
        <v>0</v>
      </c>
      <c r="M606" s="14">
        <v>0</v>
      </c>
      <c r="N606" s="14">
        <v>0</v>
      </c>
      <c r="O606" s="14">
        <v>0</v>
      </c>
      <c r="P606" s="14">
        <v>0</v>
      </c>
      <c r="Q606" s="14">
        <v>0</v>
      </c>
      <c r="R606" s="14">
        <v>0</v>
      </c>
      <c r="S606" s="14">
        <v>0</v>
      </c>
      <c r="T606" s="18">
        <v>0</v>
      </c>
      <c r="U606" s="14">
        <v>1</v>
      </c>
      <c r="W606" s="38">
        <f t="shared" si="135"/>
        <v>111</v>
      </c>
      <c r="AB606" s="37" t="str">
        <f t="shared" si="136"/>
        <v>CTKS</v>
      </c>
      <c r="AC606" s="36">
        <f t="shared" si="137"/>
        <v>0</v>
      </c>
    </row>
    <row r="607" spans="1:29" x14ac:dyDescent="0.25">
      <c r="A607" s="7" t="s">
        <v>33</v>
      </c>
      <c r="B607" s="15" t="s">
        <v>13</v>
      </c>
      <c r="C607" s="7" t="s">
        <v>21</v>
      </c>
      <c r="D607" s="14">
        <v>0</v>
      </c>
      <c r="E607" s="14">
        <v>0</v>
      </c>
      <c r="F607" s="14">
        <v>0</v>
      </c>
      <c r="G607" s="14">
        <v>0</v>
      </c>
      <c r="H607" s="16">
        <v>167</v>
      </c>
      <c r="I607" s="33">
        <v>51</v>
      </c>
      <c r="J607" s="34">
        <v>41</v>
      </c>
      <c r="K607" s="34">
        <v>75</v>
      </c>
      <c r="L607" s="14">
        <v>0</v>
      </c>
      <c r="M607" s="14">
        <v>0</v>
      </c>
      <c r="N607" s="14">
        <v>0</v>
      </c>
      <c r="O607" s="14">
        <v>0</v>
      </c>
      <c r="P607" s="14">
        <v>0</v>
      </c>
      <c r="Q607" s="14">
        <v>0</v>
      </c>
      <c r="R607" s="14">
        <v>0</v>
      </c>
      <c r="S607" s="14">
        <v>0</v>
      </c>
      <c r="T607" s="18">
        <v>0</v>
      </c>
      <c r="U607" s="14">
        <v>1</v>
      </c>
      <c r="W607" s="38">
        <f t="shared" si="135"/>
        <v>167</v>
      </c>
      <c r="AB607" s="37" t="str">
        <f t="shared" si="136"/>
        <v>Repair</v>
      </c>
      <c r="AC607" s="36">
        <f t="shared" si="137"/>
        <v>51</v>
      </c>
    </row>
    <row r="608" spans="1:29" x14ac:dyDescent="0.25">
      <c r="A608" s="7" t="s">
        <v>33</v>
      </c>
      <c r="B608" s="15" t="s">
        <v>67</v>
      </c>
      <c r="C608" s="7" t="s">
        <v>21</v>
      </c>
      <c r="D608" s="14">
        <v>0</v>
      </c>
      <c r="E608" s="14">
        <v>0</v>
      </c>
      <c r="F608" s="14">
        <v>0</v>
      </c>
      <c r="G608" s="14">
        <v>0</v>
      </c>
      <c r="H608" s="16">
        <v>0</v>
      </c>
      <c r="I608" s="17">
        <v>0</v>
      </c>
      <c r="J608" s="14">
        <v>0</v>
      </c>
      <c r="K608" s="14">
        <v>0</v>
      </c>
      <c r="L608" s="14">
        <v>0</v>
      </c>
      <c r="M608" s="14">
        <v>0</v>
      </c>
      <c r="N608" s="14">
        <v>0</v>
      </c>
      <c r="O608" s="14">
        <v>0</v>
      </c>
      <c r="P608" s="14">
        <v>0</v>
      </c>
      <c r="Q608" s="14">
        <v>0</v>
      </c>
      <c r="R608" s="14">
        <v>0</v>
      </c>
      <c r="S608" s="14">
        <v>0</v>
      </c>
      <c r="T608" s="18">
        <v>0</v>
      </c>
      <c r="U608" s="14">
        <v>1</v>
      </c>
      <c r="W608" s="38">
        <f t="shared" si="135"/>
        <v>0</v>
      </c>
      <c r="AB608" s="37" t="str">
        <f t="shared" si="136"/>
        <v>Rental</v>
      </c>
      <c r="AC608" s="36">
        <f t="shared" si="137"/>
        <v>0</v>
      </c>
    </row>
    <row r="609" spans="1:29" x14ac:dyDescent="0.25">
      <c r="A609" s="7" t="s">
        <v>33</v>
      </c>
      <c r="B609" s="15" t="s">
        <v>73</v>
      </c>
      <c r="C609" s="7" t="s">
        <v>21</v>
      </c>
      <c r="D609" s="14">
        <v>0</v>
      </c>
      <c r="E609" s="14">
        <v>0</v>
      </c>
      <c r="F609" s="14">
        <v>0</v>
      </c>
      <c r="G609" s="14">
        <v>0</v>
      </c>
      <c r="H609" s="16">
        <v>11</v>
      </c>
      <c r="I609" s="17">
        <v>5</v>
      </c>
      <c r="J609" s="14">
        <v>6</v>
      </c>
      <c r="K609" s="14">
        <v>0</v>
      </c>
      <c r="L609" s="14">
        <v>0</v>
      </c>
      <c r="M609" s="14">
        <v>0</v>
      </c>
      <c r="N609" s="14">
        <v>0</v>
      </c>
      <c r="O609" s="14">
        <v>0</v>
      </c>
      <c r="P609" s="14">
        <v>0</v>
      </c>
      <c r="Q609" s="14">
        <v>0</v>
      </c>
      <c r="R609" s="14">
        <v>0</v>
      </c>
      <c r="S609" s="14">
        <v>0</v>
      </c>
      <c r="T609" s="18">
        <v>0</v>
      </c>
      <c r="U609" s="14">
        <v>1</v>
      </c>
      <c r="W609" s="38">
        <f t="shared" si="135"/>
        <v>11</v>
      </c>
      <c r="AB609" s="37"/>
    </row>
    <row r="610" spans="1:29" x14ac:dyDescent="0.25">
      <c r="A610" s="7" t="s">
        <v>33</v>
      </c>
      <c r="B610" s="15" t="s">
        <v>19</v>
      </c>
      <c r="C610" s="7" t="s">
        <v>21</v>
      </c>
      <c r="D610" s="14">
        <v>0</v>
      </c>
      <c r="E610" s="14">
        <v>0</v>
      </c>
      <c r="F610" s="14">
        <v>0</v>
      </c>
      <c r="G610" s="14">
        <v>0</v>
      </c>
      <c r="H610" s="16">
        <v>109</v>
      </c>
      <c r="I610" s="17">
        <v>17</v>
      </c>
      <c r="J610" s="14">
        <v>19</v>
      </c>
      <c r="K610" s="14">
        <v>11</v>
      </c>
      <c r="L610" s="14">
        <v>15</v>
      </c>
      <c r="M610" s="14">
        <v>23</v>
      </c>
      <c r="N610" s="14">
        <v>7</v>
      </c>
      <c r="O610" s="14">
        <v>3</v>
      </c>
      <c r="P610" s="14">
        <v>5</v>
      </c>
      <c r="Q610" s="14">
        <v>0</v>
      </c>
      <c r="R610" s="14">
        <v>0</v>
      </c>
      <c r="S610" s="14">
        <v>1</v>
      </c>
      <c r="T610" s="18">
        <v>8</v>
      </c>
      <c r="U610" s="14">
        <v>1</v>
      </c>
      <c r="W610" s="38">
        <f t="shared" si="135"/>
        <v>109</v>
      </c>
      <c r="AB610" s="37" t="str">
        <f t="shared" si="136"/>
        <v>Maintenance</v>
      </c>
      <c r="AC610" s="36">
        <f t="shared" si="137"/>
        <v>17</v>
      </c>
    </row>
    <row r="611" spans="1:29" ht="13" thickBot="1" x14ac:dyDescent="0.3">
      <c r="A611" s="7" t="s">
        <v>33</v>
      </c>
      <c r="B611" s="19" t="s">
        <v>20</v>
      </c>
      <c r="C611" s="20" t="s">
        <v>21</v>
      </c>
      <c r="D611" s="21">
        <v>0</v>
      </c>
      <c r="E611" s="21">
        <v>0</v>
      </c>
      <c r="F611" s="21">
        <v>0</v>
      </c>
      <c r="G611" s="21">
        <v>0</v>
      </c>
      <c r="H611" s="22">
        <v>7</v>
      </c>
      <c r="I611" s="23">
        <v>0</v>
      </c>
      <c r="J611" s="21">
        <v>2</v>
      </c>
      <c r="K611" s="21">
        <v>3</v>
      </c>
      <c r="L611" s="21">
        <v>0</v>
      </c>
      <c r="M611" s="21">
        <v>0</v>
      </c>
      <c r="N611" s="21">
        <v>0</v>
      </c>
      <c r="O611" s="21">
        <v>0</v>
      </c>
      <c r="P611" s="21">
        <v>0</v>
      </c>
      <c r="Q611" s="21">
        <v>2</v>
      </c>
      <c r="R611" s="21">
        <v>0</v>
      </c>
      <c r="S611" s="21">
        <v>0</v>
      </c>
      <c r="T611" s="24">
        <v>0</v>
      </c>
      <c r="U611" s="14">
        <v>1</v>
      </c>
      <c r="W611" s="38">
        <f t="shared" si="135"/>
        <v>7</v>
      </c>
      <c r="AB611" s="37" t="str">
        <f t="shared" si="136"/>
        <v>Startup</v>
      </c>
      <c r="AC611" s="36">
        <f t="shared" si="137"/>
        <v>0</v>
      </c>
    </row>
    <row r="612" spans="1:29" ht="13" thickBot="1" x14ac:dyDescent="0.3">
      <c r="A612" s="20" t="s">
        <v>33</v>
      </c>
      <c r="B612" s="25" t="s">
        <v>12</v>
      </c>
      <c r="C612" s="26" t="s">
        <v>21</v>
      </c>
      <c r="D612" s="27">
        <v>0</v>
      </c>
      <c r="E612" s="27">
        <v>0</v>
      </c>
      <c r="F612" s="27">
        <v>0</v>
      </c>
      <c r="G612" s="27">
        <v>0</v>
      </c>
      <c r="H612" s="28">
        <v>405</v>
      </c>
      <c r="I612" s="29">
        <v>73</v>
      </c>
      <c r="J612" s="27">
        <v>68</v>
      </c>
      <c r="K612" s="27">
        <v>200</v>
      </c>
      <c r="L612" s="27">
        <v>15</v>
      </c>
      <c r="M612" s="27">
        <v>23</v>
      </c>
      <c r="N612" s="27">
        <v>7</v>
      </c>
      <c r="O612" s="27">
        <v>3</v>
      </c>
      <c r="P612" s="27">
        <v>5</v>
      </c>
      <c r="Q612" s="27">
        <v>2</v>
      </c>
      <c r="R612" s="27">
        <v>0</v>
      </c>
      <c r="S612" s="27">
        <v>1</v>
      </c>
      <c r="T612" s="29">
        <v>8</v>
      </c>
      <c r="U612" s="14">
        <v>1</v>
      </c>
      <c r="W612" s="38">
        <f t="shared" si="135"/>
        <v>405</v>
      </c>
      <c r="X612" s="35">
        <f>W611+W610+W607</f>
        <v>283</v>
      </c>
      <c r="Y612" s="35">
        <f>W605</f>
        <v>0</v>
      </c>
      <c r="Z612" s="40">
        <f>V603/X612</f>
        <v>0</v>
      </c>
      <c r="AA612" s="40">
        <f>IF((Y612=0),0,Y604/Y612)</f>
        <v>0</v>
      </c>
      <c r="AB612" s="48"/>
      <c r="AC612" s="48"/>
    </row>
    <row r="613" spans="1:29" ht="13" thickBot="1" x14ac:dyDescent="0.3">
      <c r="A613" s="9" t="s">
        <v>93</v>
      </c>
      <c r="B613" s="30" t="s">
        <v>15</v>
      </c>
      <c r="C613" s="31" t="s">
        <v>94</v>
      </c>
      <c r="D613" s="32" t="s">
        <v>47</v>
      </c>
      <c r="E613" s="53" t="s">
        <v>104</v>
      </c>
      <c r="F613" s="53" t="s">
        <v>105</v>
      </c>
      <c r="G613" s="53" t="s">
        <v>106</v>
      </c>
      <c r="H613" s="28" t="s">
        <v>12</v>
      </c>
      <c r="I613" s="54" t="s">
        <v>107</v>
      </c>
      <c r="J613" s="53" t="s">
        <v>108</v>
      </c>
      <c r="K613" s="53" t="s">
        <v>109</v>
      </c>
      <c r="L613" s="53" t="s">
        <v>110</v>
      </c>
      <c r="M613" s="53" t="s">
        <v>111</v>
      </c>
      <c r="N613" s="53" t="s">
        <v>115</v>
      </c>
      <c r="O613" s="53" t="s">
        <v>120</v>
      </c>
      <c r="P613" s="53" t="s">
        <v>121</v>
      </c>
      <c r="Q613" s="53" t="s">
        <v>164</v>
      </c>
      <c r="R613" s="53" t="s">
        <v>173</v>
      </c>
      <c r="S613" s="53" t="s">
        <v>177</v>
      </c>
      <c r="T613" s="55" t="s">
        <v>182</v>
      </c>
      <c r="U613" s="14">
        <v>1</v>
      </c>
      <c r="V613" s="14" t="s">
        <v>183</v>
      </c>
      <c r="W613" s="35"/>
      <c r="X613" s="14" t="s">
        <v>37</v>
      </c>
      <c r="Y613" s="14" t="s">
        <v>38</v>
      </c>
      <c r="AB613" s="48"/>
      <c r="AC613" s="48"/>
    </row>
    <row r="614" spans="1:29" x14ac:dyDescent="0.25">
      <c r="A614" s="7" t="s">
        <v>93</v>
      </c>
      <c r="B614" s="8" t="s">
        <v>17</v>
      </c>
      <c r="C614" s="9" t="s">
        <v>18</v>
      </c>
      <c r="D614" s="10">
        <v>0</v>
      </c>
      <c r="E614" s="10">
        <v>0</v>
      </c>
      <c r="F614" s="10">
        <v>0</v>
      </c>
      <c r="G614" s="10">
        <v>0</v>
      </c>
      <c r="H614" s="11">
        <v>2961</v>
      </c>
      <c r="I614" s="162">
        <v>1593</v>
      </c>
      <c r="J614" s="163">
        <v>1368</v>
      </c>
      <c r="K614" s="10">
        <v>0</v>
      </c>
      <c r="L614" s="10">
        <v>0</v>
      </c>
      <c r="M614" s="10">
        <v>0</v>
      </c>
      <c r="N614" s="10">
        <v>0</v>
      </c>
      <c r="O614" s="10">
        <v>0</v>
      </c>
      <c r="P614" s="10">
        <v>0</v>
      </c>
      <c r="Q614" s="10">
        <v>0</v>
      </c>
      <c r="R614" s="10">
        <v>0</v>
      </c>
      <c r="S614" s="10">
        <v>0</v>
      </c>
      <c r="T614" s="13">
        <v>0</v>
      </c>
      <c r="U614" s="14">
        <v>1</v>
      </c>
      <c r="V614" s="42">
        <f>SUM(I614:T614)/H614</f>
        <v>1</v>
      </c>
      <c r="W614" s="39">
        <f>SUM(I614:T614)*U614</f>
        <v>2961</v>
      </c>
    </row>
    <row r="615" spans="1:29" x14ac:dyDescent="0.25">
      <c r="A615" s="7" t="s">
        <v>93</v>
      </c>
      <c r="B615" s="15" t="s">
        <v>66</v>
      </c>
      <c r="C615" s="7" t="s">
        <v>18</v>
      </c>
      <c r="D615" s="14">
        <v>0</v>
      </c>
      <c r="E615" s="14">
        <v>0</v>
      </c>
      <c r="F615" s="14">
        <v>0</v>
      </c>
      <c r="G615" s="14">
        <v>0</v>
      </c>
      <c r="H615" s="16">
        <v>182</v>
      </c>
      <c r="I615" s="17">
        <v>0</v>
      </c>
      <c r="J615" s="14">
        <v>182</v>
      </c>
      <c r="K615" s="14">
        <v>0</v>
      </c>
      <c r="L615" s="14">
        <v>0</v>
      </c>
      <c r="M615" s="14">
        <v>0</v>
      </c>
      <c r="N615" s="14">
        <v>0</v>
      </c>
      <c r="O615" s="14">
        <v>0</v>
      </c>
      <c r="P615" s="14">
        <v>0</v>
      </c>
      <c r="Q615" s="14">
        <v>0</v>
      </c>
      <c r="R615" s="14">
        <v>0</v>
      </c>
      <c r="S615" s="14">
        <v>0</v>
      </c>
      <c r="T615" s="18">
        <v>0</v>
      </c>
      <c r="U615" s="14">
        <v>1</v>
      </c>
      <c r="V615" s="44"/>
      <c r="W615" s="39">
        <f t="shared" ref="W615:W621" si="138">SUM(I615:T615)*U615</f>
        <v>182</v>
      </c>
    </row>
    <row r="616" spans="1:29" x14ac:dyDescent="0.25">
      <c r="A616" s="7" t="s">
        <v>93</v>
      </c>
      <c r="B616" s="15" t="s">
        <v>13</v>
      </c>
      <c r="C616" s="7" t="s">
        <v>18</v>
      </c>
      <c r="D616" s="14">
        <v>0</v>
      </c>
      <c r="E616" s="14">
        <v>0</v>
      </c>
      <c r="F616" s="14">
        <v>0</v>
      </c>
      <c r="G616" s="14">
        <v>0</v>
      </c>
      <c r="H616" s="16">
        <v>1280</v>
      </c>
      <c r="I616" s="17">
        <v>386</v>
      </c>
      <c r="J616" s="14">
        <v>529</v>
      </c>
      <c r="K616" s="14">
        <v>365</v>
      </c>
      <c r="L616" s="14">
        <v>0</v>
      </c>
      <c r="M616" s="14">
        <v>0</v>
      </c>
      <c r="N616" s="14">
        <v>0</v>
      </c>
      <c r="O616" s="14">
        <v>0</v>
      </c>
      <c r="P616" s="14">
        <v>0</v>
      </c>
      <c r="Q616" s="14">
        <v>0</v>
      </c>
      <c r="R616" s="14">
        <v>0</v>
      </c>
      <c r="S616" s="14">
        <v>0</v>
      </c>
      <c r="T616" s="18">
        <v>0</v>
      </c>
      <c r="U616" s="14">
        <v>1</v>
      </c>
      <c r="V616" s="41"/>
      <c r="W616" s="39">
        <f t="shared" si="138"/>
        <v>1280</v>
      </c>
    </row>
    <row r="617" spans="1:29" x14ac:dyDescent="0.25">
      <c r="A617" s="7" t="s">
        <v>93</v>
      </c>
      <c r="B617" s="15" t="s">
        <v>67</v>
      </c>
      <c r="C617" s="7" t="s">
        <v>18</v>
      </c>
      <c r="D617" s="14">
        <v>0</v>
      </c>
      <c r="E617" s="14">
        <v>0</v>
      </c>
      <c r="F617" s="14">
        <v>0</v>
      </c>
      <c r="G617" s="14">
        <v>0</v>
      </c>
      <c r="H617" s="16">
        <v>4307</v>
      </c>
      <c r="I617" s="17">
        <v>0</v>
      </c>
      <c r="J617" s="14">
        <v>4081</v>
      </c>
      <c r="K617" s="14">
        <v>226</v>
      </c>
      <c r="L617" s="14">
        <v>0</v>
      </c>
      <c r="M617" s="14">
        <v>0</v>
      </c>
      <c r="N617" s="14">
        <v>0</v>
      </c>
      <c r="O617" s="14">
        <v>0</v>
      </c>
      <c r="P617" s="14">
        <v>0</v>
      </c>
      <c r="Q617" s="14">
        <v>0</v>
      </c>
      <c r="R617" s="14">
        <v>0</v>
      </c>
      <c r="S617" s="14">
        <v>0</v>
      </c>
      <c r="T617" s="18">
        <v>0</v>
      </c>
      <c r="U617" s="14">
        <v>1</v>
      </c>
      <c r="V617" s="41"/>
      <c r="W617" s="39">
        <f t="shared" si="138"/>
        <v>4307</v>
      </c>
    </row>
    <row r="618" spans="1:29" x14ac:dyDescent="0.25">
      <c r="A618" s="7" t="s">
        <v>93</v>
      </c>
      <c r="B618" s="15" t="s">
        <v>73</v>
      </c>
      <c r="C618" s="7" t="s">
        <v>18</v>
      </c>
      <c r="D618" s="14">
        <v>0</v>
      </c>
      <c r="E618" s="14">
        <v>0</v>
      </c>
      <c r="F618" s="14">
        <v>0</v>
      </c>
      <c r="G618" s="14">
        <v>0</v>
      </c>
      <c r="H618" s="16">
        <v>2517</v>
      </c>
      <c r="I618" s="17">
        <v>1377</v>
      </c>
      <c r="J618" s="14">
        <v>0</v>
      </c>
      <c r="K618" s="14">
        <v>803</v>
      </c>
      <c r="L618" s="14">
        <v>337</v>
      </c>
      <c r="M618" s="14">
        <v>0</v>
      </c>
      <c r="N618" s="14">
        <v>0</v>
      </c>
      <c r="O618" s="14">
        <v>0</v>
      </c>
      <c r="P618" s="14">
        <v>0</v>
      </c>
      <c r="Q618" s="14">
        <v>0</v>
      </c>
      <c r="R618" s="14">
        <v>0</v>
      </c>
      <c r="S618" s="14">
        <v>0</v>
      </c>
      <c r="T618" s="18">
        <v>0</v>
      </c>
      <c r="U618" s="14">
        <v>1</v>
      </c>
      <c r="V618" s="41"/>
      <c r="W618" s="39">
        <f t="shared" si="138"/>
        <v>2517</v>
      </c>
    </row>
    <row r="619" spans="1:29" x14ac:dyDescent="0.25">
      <c r="A619" s="7" t="s">
        <v>93</v>
      </c>
      <c r="B619" s="15" t="s">
        <v>19</v>
      </c>
      <c r="C619" s="7" t="s">
        <v>18</v>
      </c>
      <c r="D619" s="14">
        <v>0</v>
      </c>
      <c r="E619" s="14">
        <v>0</v>
      </c>
      <c r="F619" s="14">
        <v>0</v>
      </c>
      <c r="G619" s="14">
        <v>0</v>
      </c>
      <c r="H619" s="16">
        <v>970</v>
      </c>
      <c r="I619" s="17">
        <v>970</v>
      </c>
      <c r="J619" s="14">
        <v>0</v>
      </c>
      <c r="K619" s="14">
        <v>0</v>
      </c>
      <c r="L619" s="14">
        <v>0</v>
      </c>
      <c r="M619" s="14">
        <v>0</v>
      </c>
      <c r="N619" s="14">
        <v>0</v>
      </c>
      <c r="O619" s="14">
        <v>0</v>
      </c>
      <c r="P619" s="14">
        <v>0</v>
      </c>
      <c r="Q619" s="14">
        <v>0</v>
      </c>
      <c r="R619" s="14">
        <v>0</v>
      </c>
      <c r="S619" s="14">
        <v>0</v>
      </c>
      <c r="T619" s="18">
        <v>0</v>
      </c>
      <c r="U619" s="14">
        <v>1</v>
      </c>
      <c r="V619" s="41"/>
      <c r="W619" s="39">
        <f t="shared" si="138"/>
        <v>970</v>
      </c>
    </row>
    <row r="620" spans="1:29" ht="13" thickBot="1" x14ac:dyDescent="0.3">
      <c r="A620" s="7" t="s">
        <v>93</v>
      </c>
      <c r="B620" s="19" t="s">
        <v>20</v>
      </c>
      <c r="C620" s="20" t="s">
        <v>18</v>
      </c>
      <c r="D620" s="21">
        <v>0</v>
      </c>
      <c r="E620" s="21">
        <v>0</v>
      </c>
      <c r="F620" s="21">
        <v>0</v>
      </c>
      <c r="G620" s="21">
        <v>0</v>
      </c>
      <c r="H620" s="22">
        <v>24</v>
      </c>
      <c r="I620" s="23">
        <v>24</v>
      </c>
      <c r="J620" s="21">
        <v>0</v>
      </c>
      <c r="K620" s="21">
        <v>0</v>
      </c>
      <c r="L620" s="21">
        <v>0</v>
      </c>
      <c r="M620" s="21">
        <v>0</v>
      </c>
      <c r="N620" s="21">
        <v>0</v>
      </c>
      <c r="O620" s="21">
        <v>0</v>
      </c>
      <c r="P620" s="21">
        <v>0</v>
      </c>
      <c r="Q620" s="21">
        <v>0</v>
      </c>
      <c r="R620" s="21">
        <v>0</v>
      </c>
      <c r="S620" s="21">
        <v>0</v>
      </c>
      <c r="T620" s="24">
        <v>0</v>
      </c>
      <c r="U620" s="14">
        <v>1</v>
      </c>
      <c r="V620" s="44"/>
      <c r="W620" s="39">
        <f t="shared" si="138"/>
        <v>24</v>
      </c>
    </row>
    <row r="621" spans="1:29" ht="13" thickBot="1" x14ac:dyDescent="0.3">
      <c r="A621" s="7" t="s">
        <v>93</v>
      </c>
      <c r="B621" s="25" t="s">
        <v>12</v>
      </c>
      <c r="C621" s="26" t="s">
        <v>18</v>
      </c>
      <c r="D621" s="27">
        <v>0</v>
      </c>
      <c r="E621" s="27">
        <v>0</v>
      </c>
      <c r="F621" s="27">
        <v>0</v>
      </c>
      <c r="G621" s="27">
        <v>0</v>
      </c>
      <c r="H621" s="28">
        <v>12241</v>
      </c>
      <c r="I621" s="29">
        <v>4350</v>
      </c>
      <c r="J621" s="27">
        <v>6160</v>
      </c>
      <c r="K621" s="27">
        <v>1394</v>
      </c>
      <c r="L621" s="27">
        <v>337</v>
      </c>
      <c r="M621" s="27">
        <v>0</v>
      </c>
      <c r="N621" s="27">
        <v>0</v>
      </c>
      <c r="O621" s="27">
        <v>0</v>
      </c>
      <c r="P621" s="27">
        <v>0</v>
      </c>
      <c r="Q621" s="27">
        <v>0</v>
      </c>
      <c r="R621" s="27">
        <v>0</v>
      </c>
      <c r="S621" s="27">
        <v>0</v>
      </c>
      <c r="T621" s="29">
        <v>0</v>
      </c>
      <c r="U621" s="14">
        <v>1</v>
      </c>
      <c r="V621" s="43">
        <f>SUM(I616:T619)/SUM(H616:H619)</f>
        <v>1</v>
      </c>
      <c r="W621" s="39">
        <f t="shared" si="138"/>
        <v>12241</v>
      </c>
      <c r="X621" s="35">
        <f>W619+W616</f>
        <v>2250</v>
      </c>
      <c r="Y621" s="35">
        <f>W614</f>
        <v>2961</v>
      </c>
    </row>
    <row r="622" spans="1:29" x14ac:dyDescent="0.25">
      <c r="A622" s="7" t="s">
        <v>93</v>
      </c>
      <c r="B622" s="8" t="s">
        <v>17</v>
      </c>
      <c r="C622" s="9" t="s">
        <v>21</v>
      </c>
      <c r="D622" s="10">
        <v>0</v>
      </c>
      <c r="E622" s="10">
        <v>0</v>
      </c>
      <c r="F622" s="10">
        <v>0</v>
      </c>
      <c r="G622" s="10">
        <v>0</v>
      </c>
      <c r="H622" s="11">
        <v>109</v>
      </c>
      <c r="I622" s="12">
        <v>109</v>
      </c>
      <c r="J622" s="10">
        <v>0</v>
      </c>
      <c r="K622" s="10">
        <v>0</v>
      </c>
      <c r="L622" s="10">
        <v>0</v>
      </c>
      <c r="M622" s="10">
        <v>0</v>
      </c>
      <c r="N622" s="10">
        <v>0</v>
      </c>
      <c r="O622" s="10">
        <v>0</v>
      </c>
      <c r="P622" s="10">
        <v>0</v>
      </c>
      <c r="Q622" s="10">
        <v>0</v>
      </c>
      <c r="R622" s="10">
        <v>0</v>
      </c>
      <c r="S622" s="10">
        <v>0</v>
      </c>
      <c r="T622" s="13">
        <v>0</v>
      </c>
      <c r="U622" s="14">
        <v>1</v>
      </c>
      <c r="W622" s="38">
        <f t="shared" ref="W622:W629" si="139">H622*U622</f>
        <v>109</v>
      </c>
      <c r="AB622" s="37" t="str">
        <f t="shared" ref="AB622:AB625" si="140">B622</f>
        <v>Parts-OTC</v>
      </c>
      <c r="AC622" s="36">
        <f t="shared" ref="AC622:AC625" si="141">I622*U622</f>
        <v>109</v>
      </c>
    </row>
    <row r="623" spans="1:29" x14ac:dyDescent="0.25">
      <c r="A623" s="7" t="s">
        <v>93</v>
      </c>
      <c r="B623" s="15" t="s">
        <v>66</v>
      </c>
      <c r="C623" s="7" t="s">
        <v>21</v>
      </c>
      <c r="D623" s="14">
        <v>0</v>
      </c>
      <c r="E623" s="14">
        <v>0</v>
      </c>
      <c r="F623" s="14">
        <v>0</v>
      </c>
      <c r="G623" s="14">
        <v>0</v>
      </c>
      <c r="H623" s="16">
        <v>0</v>
      </c>
      <c r="I623" s="17">
        <v>0</v>
      </c>
      <c r="J623" s="14">
        <v>0</v>
      </c>
      <c r="K623" s="14">
        <v>0</v>
      </c>
      <c r="L623" s="14">
        <v>0</v>
      </c>
      <c r="M623" s="14">
        <v>0</v>
      </c>
      <c r="N623" s="14">
        <v>0</v>
      </c>
      <c r="O623" s="14">
        <v>0</v>
      </c>
      <c r="P623" s="14">
        <v>0</v>
      </c>
      <c r="Q623" s="14">
        <v>0</v>
      </c>
      <c r="R623" s="14">
        <v>0</v>
      </c>
      <c r="S623" s="14">
        <v>0</v>
      </c>
      <c r="T623" s="18">
        <v>0</v>
      </c>
      <c r="U623" s="14">
        <v>1</v>
      </c>
      <c r="W623" s="38">
        <f t="shared" si="139"/>
        <v>0</v>
      </c>
      <c r="AB623" s="37" t="str">
        <f t="shared" si="140"/>
        <v>CTKS</v>
      </c>
      <c r="AC623" s="36">
        <f t="shared" si="141"/>
        <v>0</v>
      </c>
    </row>
    <row r="624" spans="1:29" x14ac:dyDescent="0.25">
      <c r="A624" s="7" t="s">
        <v>93</v>
      </c>
      <c r="B624" s="15" t="s">
        <v>13</v>
      </c>
      <c r="C624" s="7" t="s">
        <v>21</v>
      </c>
      <c r="D624" s="14">
        <v>0</v>
      </c>
      <c r="E624" s="14">
        <v>0</v>
      </c>
      <c r="F624" s="14">
        <v>0</v>
      </c>
      <c r="G624" s="14">
        <v>0</v>
      </c>
      <c r="H624" s="16">
        <v>333</v>
      </c>
      <c r="I624" s="33">
        <v>213</v>
      </c>
      <c r="J624" s="34">
        <v>120</v>
      </c>
      <c r="K624" s="34">
        <v>0</v>
      </c>
      <c r="L624" s="14">
        <v>0</v>
      </c>
      <c r="M624" s="14">
        <v>0</v>
      </c>
      <c r="N624" s="14">
        <v>0</v>
      </c>
      <c r="O624" s="14">
        <v>0</v>
      </c>
      <c r="P624" s="14">
        <v>0</v>
      </c>
      <c r="Q624" s="14">
        <v>0</v>
      </c>
      <c r="R624" s="14">
        <v>0</v>
      </c>
      <c r="S624" s="14">
        <v>0</v>
      </c>
      <c r="T624" s="18">
        <v>0</v>
      </c>
      <c r="U624" s="14">
        <v>1</v>
      </c>
      <c r="W624" s="38">
        <f t="shared" si="139"/>
        <v>333</v>
      </c>
      <c r="AB624" s="37" t="str">
        <f t="shared" si="140"/>
        <v>Repair</v>
      </c>
      <c r="AC624" s="36">
        <f t="shared" si="141"/>
        <v>213</v>
      </c>
    </row>
    <row r="625" spans="1:29" x14ac:dyDescent="0.25">
      <c r="A625" s="7" t="s">
        <v>93</v>
      </c>
      <c r="B625" s="15" t="s">
        <v>67</v>
      </c>
      <c r="C625" s="7" t="s">
        <v>21</v>
      </c>
      <c r="D625" s="14">
        <v>0</v>
      </c>
      <c r="E625" s="14">
        <v>0</v>
      </c>
      <c r="F625" s="14">
        <v>0</v>
      </c>
      <c r="G625" s="14">
        <v>0</v>
      </c>
      <c r="H625" s="16">
        <v>283</v>
      </c>
      <c r="I625" s="17">
        <v>83</v>
      </c>
      <c r="J625" s="14">
        <v>20</v>
      </c>
      <c r="K625" s="14">
        <v>20</v>
      </c>
      <c r="L625" s="14">
        <v>20</v>
      </c>
      <c r="M625" s="14">
        <v>20</v>
      </c>
      <c r="N625" s="14">
        <v>20</v>
      </c>
      <c r="O625" s="14">
        <v>20</v>
      </c>
      <c r="P625" s="14">
        <v>20</v>
      </c>
      <c r="Q625" s="14">
        <v>20</v>
      </c>
      <c r="R625" s="14">
        <v>20</v>
      </c>
      <c r="S625" s="14">
        <v>20</v>
      </c>
      <c r="T625" s="18">
        <v>0</v>
      </c>
      <c r="U625" s="14">
        <v>1</v>
      </c>
      <c r="W625" s="38">
        <f t="shared" si="139"/>
        <v>283</v>
      </c>
      <c r="AB625" s="37" t="str">
        <f t="shared" si="140"/>
        <v>Rental</v>
      </c>
      <c r="AC625" s="36">
        <f t="shared" si="141"/>
        <v>83</v>
      </c>
    </row>
    <row r="626" spans="1:29" x14ac:dyDescent="0.25">
      <c r="A626" s="7" t="s">
        <v>93</v>
      </c>
      <c r="B626" s="15" t="s">
        <v>73</v>
      </c>
      <c r="C626" s="7" t="s">
        <v>21</v>
      </c>
      <c r="D626" s="14">
        <v>0</v>
      </c>
      <c r="E626" s="14">
        <v>0</v>
      </c>
      <c r="F626" s="14">
        <v>0</v>
      </c>
      <c r="G626" s="14">
        <v>0</v>
      </c>
      <c r="H626" s="16">
        <v>902</v>
      </c>
      <c r="I626" s="17">
        <v>902</v>
      </c>
      <c r="J626" s="14">
        <v>0</v>
      </c>
      <c r="K626" s="14">
        <v>0</v>
      </c>
      <c r="L626" s="14">
        <v>0</v>
      </c>
      <c r="M626" s="14">
        <v>0</v>
      </c>
      <c r="N626" s="14">
        <v>0</v>
      </c>
      <c r="O626" s="14">
        <v>0</v>
      </c>
      <c r="P626" s="14">
        <v>0</v>
      </c>
      <c r="Q626" s="14">
        <v>0</v>
      </c>
      <c r="R626" s="14">
        <v>0</v>
      </c>
      <c r="S626" s="14">
        <v>0</v>
      </c>
      <c r="T626" s="18">
        <v>0</v>
      </c>
      <c r="U626" s="14">
        <v>1</v>
      </c>
      <c r="W626" s="38">
        <f t="shared" si="139"/>
        <v>902</v>
      </c>
      <c r="AB626" s="37"/>
    </row>
    <row r="627" spans="1:29" x14ac:dyDescent="0.25">
      <c r="A627" s="7" t="s">
        <v>93</v>
      </c>
      <c r="B627" s="15" t="s">
        <v>19</v>
      </c>
      <c r="C627" s="7" t="s">
        <v>21</v>
      </c>
      <c r="D627" s="14">
        <v>0</v>
      </c>
      <c r="E627" s="14">
        <v>0</v>
      </c>
      <c r="F627" s="14">
        <v>0</v>
      </c>
      <c r="G627" s="14">
        <v>0</v>
      </c>
      <c r="H627" s="16">
        <v>780</v>
      </c>
      <c r="I627" s="17">
        <v>288</v>
      </c>
      <c r="J627" s="14">
        <v>148</v>
      </c>
      <c r="K627" s="14">
        <v>106</v>
      </c>
      <c r="L627" s="14">
        <v>98</v>
      </c>
      <c r="M627" s="14">
        <v>47</v>
      </c>
      <c r="N627" s="14">
        <v>45</v>
      </c>
      <c r="O627" s="14">
        <v>12</v>
      </c>
      <c r="P627" s="14">
        <v>12</v>
      </c>
      <c r="Q627" s="14">
        <v>12</v>
      </c>
      <c r="R627" s="14">
        <v>12</v>
      </c>
      <c r="S627" s="14">
        <v>0</v>
      </c>
      <c r="T627" s="18">
        <v>0</v>
      </c>
      <c r="U627" s="14">
        <v>1</v>
      </c>
      <c r="W627" s="38">
        <f t="shared" si="139"/>
        <v>780</v>
      </c>
      <c r="AB627" s="37" t="str">
        <f t="shared" ref="AB627:AB628" si="142">B627</f>
        <v>Maintenance</v>
      </c>
      <c r="AC627" s="36">
        <f t="shared" ref="AC627:AC628" si="143">I627*U627</f>
        <v>288</v>
      </c>
    </row>
    <row r="628" spans="1:29" ht="13" thickBot="1" x14ac:dyDescent="0.3">
      <c r="A628" s="7" t="s">
        <v>93</v>
      </c>
      <c r="B628" s="19" t="s">
        <v>20</v>
      </c>
      <c r="C628" s="20" t="s">
        <v>21</v>
      </c>
      <c r="D628" s="21">
        <v>0</v>
      </c>
      <c r="E628" s="21">
        <v>0</v>
      </c>
      <c r="F628" s="21">
        <v>0</v>
      </c>
      <c r="G628" s="21">
        <v>0</v>
      </c>
      <c r="H628" s="22">
        <v>297</v>
      </c>
      <c r="I628" s="23">
        <v>297</v>
      </c>
      <c r="J628" s="21">
        <v>0</v>
      </c>
      <c r="K628" s="21">
        <v>0</v>
      </c>
      <c r="L628" s="21">
        <v>0</v>
      </c>
      <c r="M628" s="21">
        <v>0</v>
      </c>
      <c r="N628" s="21">
        <v>0</v>
      </c>
      <c r="O628" s="21">
        <v>0</v>
      </c>
      <c r="P628" s="21">
        <v>0</v>
      </c>
      <c r="Q628" s="21">
        <v>0</v>
      </c>
      <c r="R628" s="21">
        <v>0</v>
      </c>
      <c r="S628" s="21">
        <v>0</v>
      </c>
      <c r="T628" s="24">
        <v>0</v>
      </c>
      <c r="U628" s="14">
        <v>1</v>
      </c>
      <c r="W628" s="38">
        <f t="shared" si="139"/>
        <v>297</v>
      </c>
      <c r="AB628" s="37" t="str">
        <f t="shared" si="142"/>
        <v>Startup</v>
      </c>
      <c r="AC628" s="36">
        <f t="shared" si="143"/>
        <v>297</v>
      </c>
    </row>
    <row r="629" spans="1:29" ht="13" thickBot="1" x14ac:dyDescent="0.3">
      <c r="A629" s="20" t="s">
        <v>93</v>
      </c>
      <c r="B629" s="25" t="s">
        <v>12</v>
      </c>
      <c r="C629" s="26" t="s">
        <v>21</v>
      </c>
      <c r="D629" s="27">
        <v>0</v>
      </c>
      <c r="E629" s="27">
        <v>0</v>
      </c>
      <c r="F629" s="27">
        <v>0</v>
      </c>
      <c r="G629" s="27">
        <v>0</v>
      </c>
      <c r="H629" s="28">
        <v>2704</v>
      </c>
      <c r="I629" s="29">
        <v>1892</v>
      </c>
      <c r="J629" s="27">
        <v>288</v>
      </c>
      <c r="K629" s="27">
        <v>126</v>
      </c>
      <c r="L629" s="27">
        <v>118</v>
      </c>
      <c r="M629" s="27">
        <v>67</v>
      </c>
      <c r="N629" s="27">
        <v>65</v>
      </c>
      <c r="O629" s="27">
        <v>32</v>
      </c>
      <c r="P629" s="27">
        <v>32</v>
      </c>
      <c r="Q629" s="27">
        <v>32</v>
      </c>
      <c r="R629" s="27">
        <v>32</v>
      </c>
      <c r="S629" s="27">
        <v>20</v>
      </c>
      <c r="T629" s="29">
        <v>0</v>
      </c>
      <c r="U629" s="14">
        <v>1</v>
      </c>
      <c r="W629" s="38">
        <f t="shared" si="139"/>
        <v>2704</v>
      </c>
      <c r="X629" s="35">
        <f>W628+W627+W624</f>
        <v>1410</v>
      </c>
      <c r="Y629" s="35">
        <f>W622</f>
        <v>109</v>
      </c>
      <c r="Z629" s="40">
        <f>V620/X629</f>
        <v>0</v>
      </c>
      <c r="AA629" s="40">
        <f>IF((Y629=0),0,Y621/Y629)</f>
        <v>27.165137614678898</v>
      </c>
      <c r="AB629" s="48"/>
      <c r="AC629" s="48"/>
    </row>
    <row r="630" spans="1:29" ht="13" thickBot="1" x14ac:dyDescent="0.3">
      <c r="A630" s="9" t="s">
        <v>86</v>
      </c>
      <c r="B630" s="30" t="s">
        <v>15</v>
      </c>
      <c r="C630" s="31" t="s">
        <v>94</v>
      </c>
      <c r="D630" s="32" t="s">
        <v>47</v>
      </c>
      <c r="E630" s="53" t="s">
        <v>104</v>
      </c>
      <c r="F630" s="53" t="s">
        <v>105</v>
      </c>
      <c r="G630" s="53" t="s">
        <v>106</v>
      </c>
      <c r="H630" s="28" t="s">
        <v>12</v>
      </c>
      <c r="I630" s="54" t="s">
        <v>107</v>
      </c>
      <c r="J630" s="53" t="s">
        <v>108</v>
      </c>
      <c r="K630" s="53" t="s">
        <v>109</v>
      </c>
      <c r="L630" s="53" t="s">
        <v>110</v>
      </c>
      <c r="M630" s="53" t="s">
        <v>111</v>
      </c>
      <c r="N630" s="53" t="s">
        <v>115</v>
      </c>
      <c r="O630" s="53" t="s">
        <v>120</v>
      </c>
      <c r="P630" s="53" t="s">
        <v>121</v>
      </c>
      <c r="Q630" s="53" t="s">
        <v>164</v>
      </c>
      <c r="R630" s="53" t="s">
        <v>173</v>
      </c>
      <c r="S630" s="53" t="s">
        <v>177</v>
      </c>
      <c r="T630" s="55" t="s">
        <v>182</v>
      </c>
      <c r="U630" s="14">
        <v>1</v>
      </c>
      <c r="V630" s="14" t="s">
        <v>183</v>
      </c>
      <c r="W630" s="35"/>
      <c r="X630" s="14" t="s">
        <v>37</v>
      </c>
      <c r="Y630" s="14" t="s">
        <v>38</v>
      </c>
      <c r="AB630" s="48"/>
      <c r="AC630" s="48"/>
    </row>
    <row r="631" spans="1:29" x14ac:dyDescent="0.25">
      <c r="A631" s="7" t="s">
        <v>86</v>
      </c>
      <c r="B631" s="8" t="s">
        <v>17</v>
      </c>
      <c r="C631" s="9" t="s">
        <v>18</v>
      </c>
      <c r="D631" s="10">
        <v>0</v>
      </c>
      <c r="E631" s="10">
        <v>0</v>
      </c>
      <c r="F631" s="10">
        <v>0</v>
      </c>
      <c r="G631" s="10">
        <v>0</v>
      </c>
      <c r="H631" s="11">
        <v>1183</v>
      </c>
      <c r="I631" s="17">
        <v>0</v>
      </c>
      <c r="J631" s="10">
        <v>502</v>
      </c>
      <c r="K631" s="10">
        <v>681</v>
      </c>
      <c r="L631" s="10">
        <v>0</v>
      </c>
      <c r="M631" s="10">
        <v>0</v>
      </c>
      <c r="N631" s="10">
        <v>0</v>
      </c>
      <c r="O631" s="10">
        <v>0</v>
      </c>
      <c r="P631" s="10">
        <v>0</v>
      </c>
      <c r="Q631" s="10">
        <v>0</v>
      </c>
      <c r="R631" s="10">
        <v>0</v>
      </c>
      <c r="S631" s="10">
        <v>0</v>
      </c>
      <c r="T631" s="13">
        <v>0</v>
      </c>
      <c r="U631" s="14">
        <v>1</v>
      </c>
      <c r="V631" s="42">
        <f>SUM(I631:T631)/H631</f>
        <v>1</v>
      </c>
      <c r="W631" s="39">
        <f>SUM(I631:T631)*U631</f>
        <v>1183</v>
      </c>
    </row>
    <row r="632" spans="1:29" x14ac:dyDescent="0.25">
      <c r="A632" s="7" t="s">
        <v>86</v>
      </c>
      <c r="B632" s="15" t="s">
        <v>66</v>
      </c>
      <c r="C632" s="7" t="s">
        <v>18</v>
      </c>
      <c r="D632" s="14">
        <v>0</v>
      </c>
      <c r="E632" s="14">
        <v>0</v>
      </c>
      <c r="F632" s="14">
        <v>0</v>
      </c>
      <c r="G632" s="14">
        <v>0</v>
      </c>
      <c r="H632" s="16">
        <v>0</v>
      </c>
      <c r="I632" s="17">
        <v>0</v>
      </c>
      <c r="J632" s="14">
        <v>0</v>
      </c>
      <c r="K632" s="14">
        <v>0</v>
      </c>
      <c r="L632" s="14">
        <v>0</v>
      </c>
      <c r="M632" s="14">
        <v>0</v>
      </c>
      <c r="N632" s="14">
        <v>0</v>
      </c>
      <c r="O632" s="14">
        <v>0</v>
      </c>
      <c r="P632" s="14">
        <v>0</v>
      </c>
      <c r="Q632" s="14">
        <v>0</v>
      </c>
      <c r="R632" s="14">
        <v>0</v>
      </c>
      <c r="S632" s="14">
        <v>0</v>
      </c>
      <c r="T632" s="18">
        <v>0</v>
      </c>
      <c r="U632" s="14">
        <v>1</v>
      </c>
      <c r="V632" s="44"/>
      <c r="W632" s="39">
        <f t="shared" ref="W632:W638" si="144">SUM(I632:T632)*U632</f>
        <v>0</v>
      </c>
    </row>
    <row r="633" spans="1:29" x14ac:dyDescent="0.25">
      <c r="A633" s="7" t="s">
        <v>86</v>
      </c>
      <c r="B633" s="15" t="s">
        <v>13</v>
      </c>
      <c r="C633" s="7" t="s">
        <v>18</v>
      </c>
      <c r="D633" s="14">
        <v>0</v>
      </c>
      <c r="E633" s="14">
        <v>0</v>
      </c>
      <c r="F633" s="14">
        <v>0</v>
      </c>
      <c r="G633" s="14">
        <v>0</v>
      </c>
      <c r="H633" s="16">
        <v>28</v>
      </c>
      <c r="I633" s="17">
        <v>0</v>
      </c>
      <c r="J633" s="14">
        <v>28</v>
      </c>
      <c r="K633" s="14">
        <v>0</v>
      </c>
      <c r="L633" s="14">
        <v>0</v>
      </c>
      <c r="M633" s="14">
        <v>0</v>
      </c>
      <c r="N633" s="14">
        <v>0</v>
      </c>
      <c r="O633" s="14">
        <v>0</v>
      </c>
      <c r="P633" s="14">
        <v>0</v>
      </c>
      <c r="Q633" s="14">
        <v>0</v>
      </c>
      <c r="R633" s="14">
        <v>0</v>
      </c>
      <c r="S633" s="14">
        <v>0</v>
      </c>
      <c r="T633" s="18">
        <v>0</v>
      </c>
      <c r="U633" s="14">
        <v>1</v>
      </c>
      <c r="V633" s="41"/>
      <c r="W633" s="39">
        <f t="shared" si="144"/>
        <v>28</v>
      </c>
    </row>
    <row r="634" spans="1:29" x14ac:dyDescent="0.25">
      <c r="A634" s="7" t="s">
        <v>86</v>
      </c>
      <c r="B634" s="15" t="s">
        <v>67</v>
      </c>
      <c r="C634" s="7" t="s">
        <v>18</v>
      </c>
      <c r="D634" s="14">
        <v>0</v>
      </c>
      <c r="E634" s="14">
        <v>0</v>
      </c>
      <c r="F634" s="14">
        <v>0</v>
      </c>
      <c r="G634" s="14">
        <v>0</v>
      </c>
      <c r="H634" s="16">
        <v>0</v>
      </c>
      <c r="I634" s="17">
        <v>0</v>
      </c>
      <c r="J634" s="14">
        <v>0</v>
      </c>
      <c r="K634" s="14">
        <v>0</v>
      </c>
      <c r="L634" s="14">
        <v>0</v>
      </c>
      <c r="M634" s="14">
        <v>0</v>
      </c>
      <c r="N634" s="14">
        <v>0</v>
      </c>
      <c r="O634" s="14">
        <v>0</v>
      </c>
      <c r="P634" s="14">
        <v>0</v>
      </c>
      <c r="Q634" s="14">
        <v>0</v>
      </c>
      <c r="R634" s="14">
        <v>0</v>
      </c>
      <c r="S634" s="14">
        <v>0</v>
      </c>
      <c r="T634" s="18">
        <v>0</v>
      </c>
      <c r="U634" s="14">
        <v>1</v>
      </c>
      <c r="V634" s="41"/>
      <c r="W634" s="39">
        <f t="shared" si="144"/>
        <v>0</v>
      </c>
    </row>
    <row r="635" spans="1:29" x14ac:dyDescent="0.25">
      <c r="A635" s="7" t="s">
        <v>86</v>
      </c>
      <c r="B635" s="15" t="s">
        <v>73</v>
      </c>
      <c r="C635" s="7" t="s">
        <v>18</v>
      </c>
      <c r="D635" s="14">
        <v>0</v>
      </c>
      <c r="E635" s="14">
        <v>0</v>
      </c>
      <c r="F635" s="14">
        <v>0</v>
      </c>
      <c r="G635" s="14">
        <v>0</v>
      </c>
      <c r="H635" s="16">
        <v>560</v>
      </c>
      <c r="I635" s="17">
        <v>0</v>
      </c>
      <c r="J635" s="14">
        <v>538</v>
      </c>
      <c r="K635" s="14">
        <v>22</v>
      </c>
      <c r="L635" s="14">
        <v>0</v>
      </c>
      <c r="M635" s="14">
        <v>0</v>
      </c>
      <c r="N635" s="14">
        <v>0</v>
      </c>
      <c r="O635" s="14">
        <v>0</v>
      </c>
      <c r="P635" s="14">
        <v>0</v>
      </c>
      <c r="Q635" s="14">
        <v>0</v>
      </c>
      <c r="R635" s="14">
        <v>0</v>
      </c>
      <c r="S635" s="14">
        <v>0</v>
      </c>
      <c r="T635" s="18">
        <v>0</v>
      </c>
      <c r="U635" s="14">
        <v>1</v>
      </c>
      <c r="V635" s="41"/>
      <c r="W635" s="39">
        <f t="shared" si="144"/>
        <v>560</v>
      </c>
    </row>
    <row r="636" spans="1:29" x14ac:dyDescent="0.25">
      <c r="A636" s="7" t="s">
        <v>86</v>
      </c>
      <c r="B636" s="15" t="s">
        <v>19</v>
      </c>
      <c r="C636" s="7" t="s">
        <v>18</v>
      </c>
      <c r="D636" s="14">
        <v>0</v>
      </c>
      <c r="E636" s="14">
        <v>0</v>
      </c>
      <c r="F636" s="14">
        <v>0</v>
      </c>
      <c r="G636" s="14">
        <v>0</v>
      </c>
      <c r="H636" s="16">
        <v>232</v>
      </c>
      <c r="I636" s="17">
        <v>160</v>
      </c>
      <c r="J636" s="14">
        <v>72</v>
      </c>
      <c r="K636" s="14">
        <v>0</v>
      </c>
      <c r="L636" s="14">
        <v>0</v>
      </c>
      <c r="M636" s="14">
        <v>0</v>
      </c>
      <c r="N636" s="14">
        <v>0</v>
      </c>
      <c r="O636" s="14">
        <v>0</v>
      </c>
      <c r="P636" s="14">
        <v>0</v>
      </c>
      <c r="Q636" s="14">
        <v>0</v>
      </c>
      <c r="R636" s="14">
        <v>0</v>
      </c>
      <c r="S636" s="14">
        <v>0</v>
      </c>
      <c r="T636" s="18">
        <v>0</v>
      </c>
      <c r="U636" s="14">
        <v>1</v>
      </c>
      <c r="V636" s="41"/>
      <c r="W636" s="39">
        <f t="shared" si="144"/>
        <v>232</v>
      </c>
    </row>
    <row r="637" spans="1:29" ht="13" thickBot="1" x14ac:dyDescent="0.3">
      <c r="A637" s="7" t="s">
        <v>86</v>
      </c>
      <c r="B637" s="19" t="s">
        <v>20</v>
      </c>
      <c r="C637" s="20" t="s">
        <v>18</v>
      </c>
      <c r="D637" s="21">
        <v>0</v>
      </c>
      <c r="E637" s="21">
        <v>0</v>
      </c>
      <c r="F637" s="21">
        <v>0</v>
      </c>
      <c r="G637" s="21">
        <v>0</v>
      </c>
      <c r="H637" s="22">
        <v>6</v>
      </c>
      <c r="I637" s="23">
        <v>0</v>
      </c>
      <c r="J637" s="21">
        <v>6</v>
      </c>
      <c r="K637" s="21">
        <v>0</v>
      </c>
      <c r="L637" s="21">
        <v>0</v>
      </c>
      <c r="M637" s="21">
        <v>0</v>
      </c>
      <c r="N637" s="21">
        <v>0</v>
      </c>
      <c r="O637" s="21">
        <v>0</v>
      </c>
      <c r="P637" s="21">
        <v>0</v>
      </c>
      <c r="Q637" s="21">
        <v>0</v>
      </c>
      <c r="R637" s="21">
        <v>0</v>
      </c>
      <c r="S637" s="21">
        <v>0</v>
      </c>
      <c r="T637" s="24">
        <v>0</v>
      </c>
      <c r="U637" s="14">
        <v>1</v>
      </c>
      <c r="V637" s="44"/>
      <c r="W637" s="39">
        <f t="shared" si="144"/>
        <v>6</v>
      </c>
    </row>
    <row r="638" spans="1:29" ht="13" thickBot="1" x14ac:dyDescent="0.3">
      <c r="A638" s="7" t="s">
        <v>86</v>
      </c>
      <c r="B638" s="25" t="s">
        <v>12</v>
      </c>
      <c r="C638" s="26" t="s">
        <v>18</v>
      </c>
      <c r="D638" s="27">
        <v>0</v>
      </c>
      <c r="E638" s="27">
        <v>0</v>
      </c>
      <c r="F638" s="27">
        <v>0</v>
      </c>
      <c r="G638" s="27">
        <v>0</v>
      </c>
      <c r="H638" s="28">
        <v>2009</v>
      </c>
      <c r="I638" s="29">
        <v>160</v>
      </c>
      <c r="J638" s="27">
        <v>1146</v>
      </c>
      <c r="K638" s="27">
        <v>703</v>
      </c>
      <c r="L638" s="27">
        <v>0</v>
      </c>
      <c r="M638" s="27">
        <v>0</v>
      </c>
      <c r="N638" s="27">
        <v>0</v>
      </c>
      <c r="O638" s="27">
        <v>0</v>
      </c>
      <c r="P638" s="27">
        <v>0</v>
      </c>
      <c r="Q638" s="27">
        <v>0</v>
      </c>
      <c r="R638" s="27">
        <v>0</v>
      </c>
      <c r="S638" s="27">
        <v>0</v>
      </c>
      <c r="T638" s="29">
        <v>0</v>
      </c>
      <c r="U638" s="14">
        <v>1</v>
      </c>
      <c r="V638" s="43">
        <f>SUM(I633:T636)/SUM(H633:H636)</f>
        <v>1</v>
      </c>
      <c r="W638" s="39">
        <f t="shared" si="144"/>
        <v>2009</v>
      </c>
      <c r="X638" s="35">
        <f>W636+W633</f>
        <v>260</v>
      </c>
      <c r="Y638" s="35">
        <f>W631</f>
        <v>1183</v>
      </c>
    </row>
    <row r="639" spans="1:29" x14ac:dyDescent="0.25">
      <c r="A639" s="7" t="s">
        <v>86</v>
      </c>
      <c r="B639" s="8" t="s">
        <v>17</v>
      </c>
      <c r="C639" s="9" t="s">
        <v>21</v>
      </c>
      <c r="D639" s="10">
        <v>0</v>
      </c>
      <c r="E639" s="10">
        <v>0</v>
      </c>
      <c r="F639" s="10">
        <v>0</v>
      </c>
      <c r="G639" s="10">
        <v>0</v>
      </c>
      <c r="H639" s="11">
        <v>395</v>
      </c>
      <c r="I639" s="12">
        <v>43</v>
      </c>
      <c r="J639" s="10">
        <v>286</v>
      </c>
      <c r="K639" s="10">
        <v>66</v>
      </c>
      <c r="L639" s="10">
        <v>0</v>
      </c>
      <c r="M639" s="10">
        <v>0</v>
      </c>
      <c r="N639" s="10">
        <v>0</v>
      </c>
      <c r="O639" s="10">
        <v>0</v>
      </c>
      <c r="P639" s="10">
        <v>0</v>
      </c>
      <c r="Q639" s="10">
        <v>0</v>
      </c>
      <c r="R639" s="10">
        <v>0</v>
      </c>
      <c r="S639" s="10">
        <v>0</v>
      </c>
      <c r="T639" s="13">
        <v>0</v>
      </c>
      <c r="U639" s="14">
        <v>1</v>
      </c>
      <c r="W639" s="38">
        <f t="shared" ref="W639:W646" si="145">H639*U639</f>
        <v>395</v>
      </c>
      <c r="AB639" s="37" t="str">
        <f t="shared" ref="AB639:AB642" si="146">B639</f>
        <v>Parts-OTC</v>
      </c>
      <c r="AC639" s="36">
        <f t="shared" ref="AC639:AC642" si="147">I639*U639</f>
        <v>43</v>
      </c>
    </row>
    <row r="640" spans="1:29" x14ac:dyDescent="0.25">
      <c r="A640" s="7" t="s">
        <v>86</v>
      </c>
      <c r="B640" s="15" t="s">
        <v>66</v>
      </c>
      <c r="C640" s="7" t="s">
        <v>21</v>
      </c>
      <c r="D640" s="14">
        <v>0</v>
      </c>
      <c r="E640" s="14">
        <v>0</v>
      </c>
      <c r="F640" s="14">
        <v>0</v>
      </c>
      <c r="G640" s="14">
        <v>0</v>
      </c>
      <c r="H640" s="16">
        <v>76</v>
      </c>
      <c r="I640" s="17">
        <v>40</v>
      </c>
      <c r="J640" s="14">
        <v>0</v>
      </c>
      <c r="K640" s="14">
        <v>32</v>
      </c>
      <c r="L640" s="14">
        <v>4</v>
      </c>
      <c r="M640" s="14">
        <v>0</v>
      </c>
      <c r="N640" s="14">
        <v>0</v>
      </c>
      <c r="O640" s="14">
        <v>0</v>
      </c>
      <c r="P640" s="14">
        <v>0</v>
      </c>
      <c r="Q640" s="14">
        <v>0</v>
      </c>
      <c r="R640" s="14">
        <v>0</v>
      </c>
      <c r="S640" s="14">
        <v>0</v>
      </c>
      <c r="T640" s="18">
        <v>0</v>
      </c>
      <c r="U640" s="14">
        <v>1</v>
      </c>
      <c r="W640" s="38">
        <f t="shared" si="145"/>
        <v>76</v>
      </c>
      <c r="AB640" s="37" t="str">
        <f t="shared" si="146"/>
        <v>CTKS</v>
      </c>
      <c r="AC640" s="36">
        <f t="shared" si="147"/>
        <v>40</v>
      </c>
    </row>
    <row r="641" spans="1:29" x14ac:dyDescent="0.25">
      <c r="A641" s="7" t="s">
        <v>86</v>
      </c>
      <c r="B641" s="15" t="s">
        <v>13</v>
      </c>
      <c r="C641" s="7" t="s">
        <v>21</v>
      </c>
      <c r="D641" s="14">
        <v>0</v>
      </c>
      <c r="E641" s="14">
        <v>0</v>
      </c>
      <c r="F641" s="14">
        <v>0</v>
      </c>
      <c r="G641" s="14">
        <v>0</v>
      </c>
      <c r="H641" s="16">
        <v>4</v>
      </c>
      <c r="I641" s="33">
        <v>4</v>
      </c>
      <c r="J641" s="34">
        <v>0</v>
      </c>
      <c r="K641" s="34">
        <v>0</v>
      </c>
      <c r="L641" s="14">
        <v>0</v>
      </c>
      <c r="M641" s="14">
        <v>0</v>
      </c>
      <c r="N641" s="14">
        <v>0</v>
      </c>
      <c r="O641" s="14">
        <v>0</v>
      </c>
      <c r="P641" s="14">
        <v>0</v>
      </c>
      <c r="Q641" s="14">
        <v>0</v>
      </c>
      <c r="R641" s="14">
        <v>0</v>
      </c>
      <c r="S641" s="14">
        <v>0</v>
      </c>
      <c r="T641" s="18">
        <v>0</v>
      </c>
      <c r="U641" s="14">
        <v>1</v>
      </c>
      <c r="W641" s="38">
        <f t="shared" si="145"/>
        <v>4</v>
      </c>
      <c r="AB641" s="37" t="str">
        <f t="shared" si="146"/>
        <v>Repair</v>
      </c>
      <c r="AC641" s="36">
        <f t="shared" si="147"/>
        <v>4</v>
      </c>
    </row>
    <row r="642" spans="1:29" x14ac:dyDescent="0.25">
      <c r="A642" s="7" t="s">
        <v>86</v>
      </c>
      <c r="B642" s="15" t="s">
        <v>67</v>
      </c>
      <c r="C642" s="7" t="s">
        <v>21</v>
      </c>
      <c r="D642" s="14">
        <v>0</v>
      </c>
      <c r="E642" s="14">
        <v>0</v>
      </c>
      <c r="F642" s="14">
        <v>0</v>
      </c>
      <c r="G642" s="14">
        <v>0</v>
      </c>
      <c r="H642" s="16">
        <v>0</v>
      </c>
      <c r="I642" s="17">
        <v>0</v>
      </c>
      <c r="J642" s="14">
        <v>0</v>
      </c>
      <c r="K642" s="14">
        <v>0</v>
      </c>
      <c r="L642" s="14">
        <v>0</v>
      </c>
      <c r="M642" s="14">
        <v>0</v>
      </c>
      <c r="N642" s="14">
        <v>0</v>
      </c>
      <c r="O642" s="14">
        <v>0</v>
      </c>
      <c r="P642" s="14">
        <v>0</v>
      </c>
      <c r="Q642" s="14">
        <v>0</v>
      </c>
      <c r="R642" s="14">
        <v>0</v>
      </c>
      <c r="S642" s="14">
        <v>0</v>
      </c>
      <c r="T642" s="18">
        <v>0</v>
      </c>
      <c r="U642" s="14">
        <v>1</v>
      </c>
      <c r="W642" s="38">
        <f t="shared" si="145"/>
        <v>0</v>
      </c>
      <c r="AB642" s="37" t="str">
        <f t="shared" si="146"/>
        <v>Rental</v>
      </c>
      <c r="AC642" s="36">
        <f t="shared" si="147"/>
        <v>0</v>
      </c>
    </row>
    <row r="643" spans="1:29" x14ac:dyDescent="0.25">
      <c r="A643" s="7" t="s">
        <v>86</v>
      </c>
      <c r="B643" s="15" t="s">
        <v>73</v>
      </c>
      <c r="C643" s="7" t="s">
        <v>21</v>
      </c>
      <c r="D643" s="14">
        <v>0</v>
      </c>
      <c r="E643" s="14">
        <v>0</v>
      </c>
      <c r="F643" s="14">
        <v>0</v>
      </c>
      <c r="G643" s="14">
        <v>0</v>
      </c>
      <c r="H643" s="16">
        <v>46</v>
      </c>
      <c r="I643" s="17">
        <v>0</v>
      </c>
      <c r="J643" s="14">
        <v>3</v>
      </c>
      <c r="K643" s="14">
        <v>43</v>
      </c>
      <c r="L643" s="14">
        <v>0</v>
      </c>
      <c r="M643" s="14">
        <v>0</v>
      </c>
      <c r="N643" s="14">
        <v>0</v>
      </c>
      <c r="O643" s="14">
        <v>0</v>
      </c>
      <c r="P643" s="14">
        <v>0</v>
      </c>
      <c r="Q643" s="14">
        <v>0</v>
      </c>
      <c r="R643" s="14">
        <v>0</v>
      </c>
      <c r="S643" s="14">
        <v>0</v>
      </c>
      <c r="T643" s="18">
        <v>0</v>
      </c>
      <c r="U643" s="14">
        <v>1</v>
      </c>
      <c r="W643" s="38">
        <f t="shared" si="145"/>
        <v>46</v>
      </c>
      <c r="AB643" s="37"/>
    </row>
    <row r="644" spans="1:29" x14ac:dyDescent="0.25">
      <c r="A644" s="7" t="s">
        <v>86</v>
      </c>
      <c r="B644" s="15" t="s">
        <v>19</v>
      </c>
      <c r="C644" s="7" t="s">
        <v>21</v>
      </c>
      <c r="D644" s="14">
        <v>0</v>
      </c>
      <c r="E644" s="14">
        <v>0</v>
      </c>
      <c r="F644" s="14">
        <v>0</v>
      </c>
      <c r="G644" s="14">
        <v>0</v>
      </c>
      <c r="H644" s="16">
        <v>161</v>
      </c>
      <c r="I644" s="17">
        <v>14</v>
      </c>
      <c r="J644" s="14">
        <v>34</v>
      </c>
      <c r="K644" s="14">
        <v>13</v>
      </c>
      <c r="L644" s="14">
        <v>12</v>
      </c>
      <c r="M644" s="14">
        <v>18</v>
      </c>
      <c r="N644" s="14">
        <v>15</v>
      </c>
      <c r="O644" s="14">
        <v>13</v>
      </c>
      <c r="P644" s="14">
        <v>24</v>
      </c>
      <c r="Q644" s="14">
        <v>15</v>
      </c>
      <c r="R644" s="14">
        <v>1</v>
      </c>
      <c r="S644" s="14">
        <v>1</v>
      </c>
      <c r="T644" s="18">
        <v>1</v>
      </c>
      <c r="U644" s="14">
        <v>1</v>
      </c>
      <c r="W644" s="38">
        <f t="shared" si="145"/>
        <v>161</v>
      </c>
      <c r="AB644" s="37" t="str">
        <f t="shared" ref="AB644:AB645" si="148">B644</f>
        <v>Maintenance</v>
      </c>
      <c r="AC644" s="36">
        <f t="shared" ref="AC644:AC645" si="149">I644*U644</f>
        <v>14</v>
      </c>
    </row>
    <row r="645" spans="1:29" ht="13" thickBot="1" x14ac:dyDescent="0.3">
      <c r="A645" s="7" t="s">
        <v>86</v>
      </c>
      <c r="B645" s="19" t="s">
        <v>20</v>
      </c>
      <c r="C645" s="20" t="s">
        <v>21</v>
      </c>
      <c r="D645" s="21">
        <v>0</v>
      </c>
      <c r="E645" s="21">
        <v>0</v>
      </c>
      <c r="F645" s="21">
        <v>0</v>
      </c>
      <c r="G645" s="21">
        <v>0</v>
      </c>
      <c r="H645" s="22">
        <v>0</v>
      </c>
      <c r="I645" s="23">
        <v>0</v>
      </c>
      <c r="J645" s="21">
        <v>0</v>
      </c>
      <c r="K645" s="21">
        <v>0</v>
      </c>
      <c r="L645" s="21">
        <v>0</v>
      </c>
      <c r="M645" s="21">
        <v>0</v>
      </c>
      <c r="N645" s="21">
        <v>0</v>
      </c>
      <c r="O645" s="21">
        <v>0</v>
      </c>
      <c r="P645" s="21">
        <v>0</v>
      </c>
      <c r="Q645" s="21">
        <v>0</v>
      </c>
      <c r="R645" s="21">
        <v>0</v>
      </c>
      <c r="S645" s="21">
        <v>0</v>
      </c>
      <c r="T645" s="24">
        <v>0</v>
      </c>
      <c r="U645" s="14">
        <v>1</v>
      </c>
      <c r="W645" s="38">
        <f t="shared" si="145"/>
        <v>0</v>
      </c>
      <c r="AB645" s="37" t="str">
        <f t="shared" si="148"/>
        <v>Startup</v>
      </c>
      <c r="AC645" s="36">
        <f t="shared" si="149"/>
        <v>0</v>
      </c>
    </row>
    <row r="646" spans="1:29" ht="13" thickBot="1" x14ac:dyDescent="0.3">
      <c r="A646" s="20" t="s">
        <v>86</v>
      </c>
      <c r="B646" s="25" t="s">
        <v>12</v>
      </c>
      <c r="C646" s="26" t="s">
        <v>21</v>
      </c>
      <c r="D646" s="27">
        <v>0</v>
      </c>
      <c r="E646" s="27">
        <v>0</v>
      </c>
      <c r="F646" s="27">
        <v>0</v>
      </c>
      <c r="G646" s="27">
        <v>0</v>
      </c>
      <c r="H646" s="28">
        <v>682</v>
      </c>
      <c r="I646" s="29">
        <v>101</v>
      </c>
      <c r="J646" s="27">
        <v>323</v>
      </c>
      <c r="K646" s="27">
        <v>154</v>
      </c>
      <c r="L646" s="27">
        <v>16</v>
      </c>
      <c r="M646" s="27">
        <v>18</v>
      </c>
      <c r="N646" s="27">
        <v>15</v>
      </c>
      <c r="O646" s="27">
        <v>13</v>
      </c>
      <c r="P646" s="27">
        <v>24</v>
      </c>
      <c r="Q646" s="27">
        <v>15</v>
      </c>
      <c r="R646" s="27">
        <v>1</v>
      </c>
      <c r="S646" s="27">
        <v>1</v>
      </c>
      <c r="T646" s="29">
        <v>1</v>
      </c>
      <c r="U646" s="14">
        <v>1</v>
      </c>
      <c r="W646" s="38">
        <f t="shared" si="145"/>
        <v>682</v>
      </c>
      <c r="X646" s="35">
        <f>W645+W644+W641</f>
        <v>165</v>
      </c>
      <c r="Y646" s="35">
        <f>W639</f>
        <v>395</v>
      </c>
      <c r="Z646" s="40">
        <f>V637/X646</f>
        <v>0</v>
      </c>
      <c r="AA646" s="40">
        <f>IF((Y646=0),0,Y638/Y646)</f>
        <v>2.9949367088607595</v>
      </c>
      <c r="AB646" s="48"/>
      <c r="AC646" s="48"/>
    </row>
    <row r="647" spans="1:29" ht="13" thickBot="1" x14ac:dyDescent="0.3">
      <c r="A647" s="9" t="s">
        <v>87</v>
      </c>
      <c r="B647" s="30" t="s">
        <v>15</v>
      </c>
      <c r="C647" s="31" t="s">
        <v>94</v>
      </c>
      <c r="D647" s="32" t="s">
        <v>47</v>
      </c>
      <c r="E647" s="53" t="s">
        <v>104</v>
      </c>
      <c r="F647" s="53" t="s">
        <v>105</v>
      </c>
      <c r="G647" s="53" t="s">
        <v>106</v>
      </c>
      <c r="H647" s="28" t="s">
        <v>12</v>
      </c>
      <c r="I647" s="54" t="s">
        <v>107</v>
      </c>
      <c r="J647" s="53" t="s">
        <v>108</v>
      </c>
      <c r="K647" s="53" t="s">
        <v>109</v>
      </c>
      <c r="L647" s="53" t="s">
        <v>110</v>
      </c>
      <c r="M647" s="53" t="s">
        <v>111</v>
      </c>
      <c r="N647" s="53" t="s">
        <v>115</v>
      </c>
      <c r="O647" s="53" t="s">
        <v>120</v>
      </c>
      <c r="P647" s="53" t="s">
        <v>121</v>
      </c>
      <c r="Q647" s="53" t="s">
        <v>164</v>
      </c>
      <c r="R647" s="53" t="s">
        <v>173</v>
      </c>
      <c r="S647" s="53" t="s">
        <v>177</v>
      </c>
      <c r="T647" s="55" t="s">
        <v>182</v>
      </c>
      <c r="U647" s="14">
        <v>1</v>
      </c>
      <c r="V647" s="14" t="s">
        <v>183</v>
      </c>
      <c r="W647" s="35"/>
      <c r="X647" s="14" t="s">
        <v>37</v>
      </c>
      <c r="Y647" s="14" t="s">
        <v>38</v>
      </c>
      <c r="AB647" s="48"/>
      <c r="AC647" s="48"/>
    </row>
    <row r="648" spans="1:29" x14ac:dyDescent="0.25">
      <c r="A648" s="7" t="s">
        <v>87</v>
      </c>
      <c r="B648" s="8" t="s">
        <v>17</v>
      </c>
      <c r="C648" s="9" t="s">
        <v>18</v>
      </c>
      <c r="D648" s="10">
        <v>46</v>
      </c>
      <c r="E648" s="10">
        <v>0</v>
      </c>
      <c r="F648" s="165">
        <v>0</v>
      </c>
      <c r="G648" s="163">
        <v>0</v>
      </c>
      <c r="H648" s="11">
        <v>46</v>
      </c>
      <c r="I648" s="164">
        <v>0</v>
      </c>
      <c r="J648" s="163">
        <v>0</v>
      </c>
      <c r="K648" s="165">
        <v>0</v>
      </c>
      <c r="L648" s="10">
        <v>0</v>
      </c>
      <c r="M648" s="10">
        <v>0</v>
      </c>
      <c r="N648" s="10">
        <v>0</v>
      </c>
      <c r="O648" s="10">
        <v>0</v>
      </c>
      <c r="P648" s="10">
        <v>0</v>
      </c>
      <c r="Q648" s="10">
        <v>0</v>
      </c>
      <c r="R648" s="10">
        <v>0</v>
      </c>
      <c r="S648" s="10">
        <v>0</v>
      </c>
      <c r="T648" s="13">
        <v>0</v>
      </c>
      <c r="U648" s="14">
        <v>0.38490000000000002</v>
      </c>
      <c r="V648" s="42">
        <f>SUM(I648:T648)/H648</f>
        <v>0</v>
      </c>
      <c r="W648" s="39">
        <f>SUM(I648:T648)*U648</f>
        <v>0</v>
      </c>
    </row>
    <row r="649" spans="1:29" x14ac:dyDescent="0.25">
      <c r="A649" s="7" t="s">
        <v>87</v>
      </c>
      <c r="B649" s="15" t="s">
        <v>66</v>
      </c>
      <c r="C649" s="7" t="s">
        <v>18</v>
      </c>
      <c r="D649" s="14">
        <v>0</v>
      </c>
      <c r="E649" s="14">
        <v>0</v>
      </c>
      <c r="F649" s="14">
        <v>0</v>
      </c>
      <c r="G649" s="14">
        <v>0</v>
      </c>
      <c r="H649" s="16">
        <v>226</v>
      </c>
      <c r="I649" s="17">
        <v>0</v>
      </c>
      <c r="J649" s="14">
        <v>226</v>
      </c>
      <c r="K649" s="14">
        <v>0</v>
      </c>
      <c r="L649" s="14">
        <v>0</v>
      </c>
      <c r="M649" s="14">
        <v>0</v>
      </c>
      <c r="N649" s="14">
        <v>0</v>
      </c>
      <c r="O649" s="14">
        <v>0</v>
      </c>
      <c r="P649" s="14">
        <v>0</v>
      </c>
      <c r="Q649" s="14">
        <v>0</v>
      </c>
      <c r="R649" s="14">
        <v>0</v>
      </c>
      <c r="S649" s="14">
        <v>0</v>
      </c>
      <c r="T649" s="18">
        <v>0</v>
      </c>
      <c r="U649" s="14">
        <v>0.38490000000000002</v>
      </c>
      <c r="V649" s="44"/>
      <c r="W649" s="39">
        <f t="shared" ref="W649:W655" si="150">SUM(I649:T649)*U649</f>
        <v>86.987400000000008</v>
      </c>
    </row>
    <row r="650" spans="1:29" x14ac:dyDescent="0.25">
      <c r="A650" s="7" t="s">
        <v>87</v>
      </c>
      <c r="B650" s="15" t="s">
        <v>13</v>
      </c>
      <c r="C650" s="7" t="s">
        <v>18</v>
      </c>
      <c r="D650" s="14">
        <v>0</v>
      </c>
      <c r="E650" s="14">
        <v>0</v>
      </c>
      <c r="F650" s="14">
        <v>0</v>
      </c>
      <c r="G650" s="14">
        <v>0</v>
      </c>
      <c r="H650" s="16">
        <v>53</v>
      </c>
      <c r="I650" s="17">
        <v>0</v>
      </c>
      <c r="J650" s="14">
        <v>53</v>
      </c>
      <c r="K650" s="14">
        <v>0</v>
      </c>
      <c r="L650" s="14">
        <v>0</v>
      </c>
      <c r="M650" s="14">
        <v>0</v>
      </c>
      <c r="N650" s="14">
        <v>0</v>
      </c>
      <c r="O650" s="14">
        <v>0</v>
      </c>
      <c r="P650" s="14">
        <v>0</v>
      </c>
      <c r="Q650" s="14">
        <v>0</v>
      </c>
      <c r="R650" s="14">
        <v>0</v>
      </c>
      <c r="S650" s="14">
        <v>0</v>
      </c>
      <c r="T650" s="18">
        <v>0</v>
      </c>
      <c r="U650" s="14">
        <v>0.38490000000000002</v>
      </c>
      <c r="V650" s="41"/>
      <c r="W650" s="39">
        <f t="shared" si="150"/>
        <v>20.399700000000003</v>
      </c>
    </row>
    <row r="651" spans="1:29" x14ac:dyDescent="0.25">
      <c r="A651" s="7" t="s">
        <v>87</v>
      </c>
      <c r="B651" s="15" t="s">
        <v>67</v>
      </c>
      <c r="C651" s="7" t="s">
        <v>18</v>
      </c>
      <c r="D651" s="14">
        <v>0</v>
      </c>
      <c r="E651" s="14">
        <v>7</v>
      </c>
      <c r="F651" s="14">
        <v>0</v>
      </c>
      <c r="G651" s="14">
        <v>0</v>
      </c>
      <c r="H651" s="16">
        <v>219</v>
      </c>
      <c r="I651" s="17">
        <v>74</v>
      </c>
      <c r="J651" s="14">
        <v>107</v>
      </c>
      <c r="K651" s="14">
        <v>31</v>
      </c>
      <c r="L651" s="14">
        <v>0</v>
      </c>
      <c r="M651" s="14">
        <v>0</v>
      </c>
      <c r="N651" s="14">
        <v>0</v>
      </c>
      <c r="O651" s="14">
        <v>0</v>
      </c>
      <c r="P651" s="14">
        <v>0</v>
      </c>
      <c r="Q651" s="14">
        <v>0</v>
      </c>
      <c r="R651" s="14">
        <v>0</v>
      </c>
      <c r="S651" s="14">
        <v>0</v>
      </c>
      <c r="T651" s="18">
        <v>0</v>
      </c>
      <c r="U651" s="14">
        <v>0.38490000000000002</v>
      </c>
      <c r="V651" s="41"/>
      <c r="W651" s="39">
        <f t="shared" si="150"/>
        <v>81.598800000000011</v>
      </c>
    </row>
    <row r="652" spans="1:29" x14ac:dyDescent="0.25">
      <c r="A652" s="7" t="s">
        <v>87</v>
      </c>
      <c r="B652" s="15" t="s">
        <v>73</v>
      </c>
      <c r="C652" s="7" t="s">
        <v>18</v>
      </c>
      <c r="D652" s="14">
        <v>0</v>
      </c>
      <c r="E652" s="14">
        <v>0</v>
      </c>
      <c r="F652" s="14">
        <v>0</v>
      </c>
      <c r="G652" s="14">
        <v>0</v>
      </c>
      <c r="H652" s="16">
        <v>72</v>
      </c>
      <c r="I652" s="17">
        <v>0</v>
      </c>
      <c r="J652" s="14">
        <v>72</v>
      </c>
      <c r="K652" s="14">
        <v>0</v>
      </c>
      <c r="L652" s="14">
        <v>0</v>
      </c>
      <c r="M652" s="14">
        <v>0</v>
      </c>
      <c r="N652" s="14">
        <v>0</v>
      </c>
      <c r="O652" s="14">
        <v>0</v>
      </c>
      <c r="P652" s="14">
        <v>0</v>
      </c>
      <c r="Q652" s="14">
        <v>0</v>
      </c>
      <c r="R652" s="14">
        <v>0</v>
      </c>
      <c r="S652" s="14">
        <v>0</v>
      </c>
      <c r="T652" s="18">
        <v>0</v>
      </c>
      <c r="U652" s="14">
        <v>0.38490000000000002</v>
      </c>
      <c r="V652" s="41"/>
      <c r="W652" s="39">
        <f t="shared" si="150"/>
        <v>27.712800000000001</v>
      </c>
    </row>
    <row r="653" spans="1:29" x14ac:dyDescent="0.25">
      <c r="A653" s="7" t="s">
        <v>87</v>
      </c>
      <c r="B653" s="15" t="s">
        <v>19</v>
      </c>
      <c r="C653" s="7" t="s">
        <v>18</v>
      </c>
      <c r="D653" s="14">
        <v>0</v>
      </c>
      <c r="E653" s="14">
        <v>0</v>
      </c>
      <c r="F653" s="14">
        <v>0</v>
      </c>
      <c r="G653" s="14">
        <v>0</v>
      </c>
      <c r="H653" s="16">
        <v>0</v>
      </c>
      <c r="I653" s="17">
        <v>0</v>
      </c>
      <c r="J653" s="14">
        <v>0</v>
      </c>
      <c r="K653" s="14">
        <v>0</v>
      </c>
      <c r="L653" s="14">
        <v>0</v>
      </c>
      <c r="M653" s="14">
        <v>0</v>
      </c>
      <c r="N653" s="14">
        <v>0</v>
      </c>
      <c r="O653" s="14">
        <v>0</v>
      </c>
      <c r="P653" s="14">
        <v>0</v>
      </c>
      <c r="Q653" s="14">
        <v>0</v>
      </c>
      <c r="R653" s="14">
        <v>0</v>
      </c>
      <c r="S653" s="14">
        <v>0</v>
      </c>
      <c r="T653" s="18">
        <v>0</v>
      </c>
      <c r="U653" s="14">
        <v>0.38490000000000002</v>
      </c>
      <c r="V653" s="41"/>
      <c r="W653" s="39">
        <f t="shared" si="150"/>
        <v>0</v>
      </c>
    </row>
    <row r="654" spans="1:29" ht="13" thickBot="1" x14ac:dyDescent="0.3">
      <c r="A654" s="7" t="s">
        <v>87</v>
      </c>
      <c r="B654" s="19" t="s">
        <v>20</v>
      </c>
      <c r="C654" s="20" t="s">
        <v>18</v>
      </c>
      <c r="D654" s="21">
        <v>0</v>
      </c>
      <c r="E654" s="21">
        <v>0</v>
      </c>
      <c r="F654" s="21">
        <v>0</v>
      </c>
      <c r="G654" s="21">
        <v>0</v>
      </c>
      <c r="H654" s="22">
        <v>0</v>
      </c>
      <c r="I654" s="23">
        <v>0</v>
      </c>
      <c r="J654" s="21">
        <v>0</v>
      </c>
      <c r="K654" s="21">
        <v>0</v>
      </c>
      <c r="L654" s="21">
        <v>0</v>
      </c>
      <c r="M654" s="21">
        <v>0</v>
      </c>
      <c r="N654" s="21">
        <v>0</v>
      </c>
      <c r="O654" s="21">
        <v>0</v>
      </c>
      <c r="P654" s="21">
        <v>0</v>
      </c>
      <c r="Q654" s="21">
        <v>0</v>
      </c>
      <c r="R654" s="21">
        <v>0</v>
      </c>
      <c r="S654" s="21">
        <v>0</v>
      </c>
      <c r="T654" s="24">
        <v>0</v>
      </c>
      <c r="U654" s="14">
        <v>0.38490000000000002</v>
      </c>
      <c r="V654" s="44"/>
      <c r="W654" s="39">
        <f t="shared" si="150"/>
        <v>0</v>
      </c>
    </row>
    <row r="655" spans="1:29" ht="13" thickBot="1" x14ac:dyDescent="0.3">
      <c r="A655" s="7" t="s">
        <v>87</v>
      </c>
      <c r="B655" s="25" t="s">
        <v>12</v>
      </c>
      <c r="C655" s="26" t="s">
        <v>18</v>
      </c>
      <c r="D655" s="27">
        <v>46</v>
      </c>
      <c r="E655" s="27">
        <v>7</v>
      </c>
      <c r="F655" s="27">
        <v>0</v>
      </c>
      <c r="G655" s="27">
        <v>0</v>
      </c>
      <c r="H655" s="28">
        <v>616</v>
      </c>
      <c r="I655" s="29">
        <v>74</v>
      </c>
      <c r="J655" s="27">
        <v>458</v>
      </c>
      <c r="K655" s="27">
        <v>31</v>
      </c>
      <c r="L655" s="27">
        <v>0</v>
      </c>
      <c r="M655" s="27">
        <v>0</v>
      </c>
      <c r="N655" s="27">
        <v>0</v>
      </c>
      <c r="O655" s="27">
        <v>0</v>
      </c>
      <c r="P655" s="27">
        <v>0</v>
      </c>
      <c r="Q655" s="27">
        <v>0</v>
      </c>
      <c r="R655" s="27">
        <v>0</v>
      </c>
      <c r="S655" s="27">
        <v>0</v>
      </c>
      <c r="T655" s="29">
        <v>0</v>
      </c>
      <c r="U655" s="14">
        <v>0.38490000000000002</v>
      </c>
      <c r="V655" s="43">
        <f>SUM(I650:T653)/SUM(H650:H653)</f>
        <v>0.97965116279069764</v>
      </c>
      <c r="W655" s="39">
        <f t="shared" si="150"/>
        <v>216.6987</v>
      </c>
      <c r="X655" s="35">
        <f>W653+W650</f>
        <v>20.399700000000003</v>
      </c>
      <c r="Y655" s="35">
        <f>W648</f>
        <v>0</v>
      </c>
    </row>
    <row r="656" spans="1:29" x14ac:dyDescent="0.25">
      <c r="A656" s="7" t="s">
        <v>87</v>
      </c>
      <c r="B656" s="8" t="s">
        <v>17</v>
      </c>
      <c r="C656" s="9" t="s">
        <v>21</v>
      </c>
      <c r="D656" s="10">
        <v>0</v>
      </c>
      <c r="E656" s="10">
        <v>0</v>
      </c>
      <c r="F656" s="10">
        <v>0</v>
      </c>
      <c r="G656" s="10">
        <v>0</v>
      </c>
      <c r="H656" s="11">
        <v>91</v>
      </c>
      <c r="I656" s="12">
        <v>30</v>
      </c>
      <c r="J656" s="10">
        <v>30</v>
      </c>
      <c r="K656" s="10">
        <v>0</v>
      </c>
      <c r="L656" s="10">
        <v>31</v>
      </c>
      <c r="M656" s="10">
        <v>0</v>
      </c>
      <c r="N656" s="10">
        <v>0</v>
      </c>
      <c r="O656" s="10">
        <v>0</v>
      </c>
      <c r="P656" s="10">
        <v>0</v>
      </c>
      <c r="Q656" s="10">
        <v>0</v>
      </c>
      <c r="R656" s="10">
        <v>0</v>
      </c>
      <c r="S656" s="10">
        <v>0</v>
      </c>
      <c r="T656" s="13">
        <v>0</v>
      </c>
      <c r="U656" s="14">
        <v>0.38490000000000002</v>
      </c>
      <c r="W656" s="38">
        <f t="shared" ref="W656:W663" si="151">H656*U656</f>
        <v>35.0259</v>
      </c>
      <c r="AB656" s="37" t="str">
        <f t="shared" ref="AB656:AB659" si="152">B656</f>
        <v>Parts-OTC</v>
      </c>
      <c r="AC656" s="36">
        <f t="shared" ref="AC656:AC659" si="153">I656*U656</f>
        <v>11.547000000000001</v>
      </c>
    </row>
    <row r="657" spans="1:29" x14ac:dyDescent="0.25">
      <c r="A657" s="7" t="s">
        <v>87</v>
      </c>
      <c r="B657" s="15" t="s">
        <v>66</v>
      </c>
      <c r="C657" s="7" t="s">
        <v>21</v>
      </c>
      <c r="D657" s="14">
        <v>0</v>
      </c>
      <c r="E657" s="14">
        <v>0</v>
      </c>
      <c r="F657" s="14">
        <v>0</v>
      </c>
      <c r="G657" s="14">
        <v>0</v>
      </c>
      <c r="H657" s="16">
        <v>27</v>
      </c>
      <c r="I657" s="17">
        <v>0</v>
      </c>
      <c r="J657" s="14">
        <v>0</v>
      </c>
      <c r="K657" s="14">
        <v>10</v>
      </c>
      <c r="L657" s="14">
        <v>17</v>
      </c>
      <c r="M657" s="14">
        <v>0</v>
      </c>
      <c r="N657" s="14">
        <v>0</v>
      </c>
      <c r="O657" s="14">
        <v>0</v>
      </c>
      <c r="P657" s="14">
        <v>0</v>
      </c>
      <c r="Q657" s="14">
        <v>0</v>
      </c>
      <c r="R657" s="14">
        <v>0</v>
      </c>
      <c r="S657" s="14">
        <v>0</v>
      </c>
      <c r="T657" s="18">
        <v>0</v>
      </c>
      <c r="U657" s="14">
        <v>0.38490000000000002</v>
      </c>
      <c r="W657" s="38">
        <f t="shared" si="151"/>
        <v>10.392300000000001</v>
      </c>
      <c r="AB657" s="37" t="str">
        <f t="shared" si="152"/>
        <v>CTKS</v>
      </c>
      <c r="AC657" s="36">
        <f t="shared" si="153"/>
        <v>0</v>
      </c>
    </row>
    <row r="658" spans="1:29" x14ac:dyDescent="0.25">
      <c r="A658" s="7" t="s">
        <v>87</v>
      </c>
      <c r="B658" s="15" t="s">
        <v>13</v>
      </c>
      <c r="C658" s="7" t="s">
        <v>21</v>
      </c>
      <c r="D658" s="14">
        <v>0</v>
      </c>
      <c r="E658" s="14">
        <v>0</v>
      </c>
      <c r="F658" s="14">
        <v>0</v>
      </c>
      <c r="G658" s="14">
        <v>0</v>
      </c>
      <c r="H658" s="16">
        <v>0</v>
      </c>
      <c r="I658" s="33">
        <v>0</v>
      </c>
      <c r="J658" s="34">
        <v>0</v>
      </c>
      <c r="K658" s="34">
        <v>0</v>
      </c>
      <c r="L658" s="14">
        <v>0</v>
      </c>
      <c r="M658" s="14">
        <v>0</v>
      </c>
      <c r="N658" s="14">
        <v>0</v>
      </c>
      <c r="O658" s="14">
        <v>0</v>
      </c>
      <c r="P658" s="14">
        <v>0</v>
      </c>
      <c r="Q658" s="14">
        <v>0</v>
      </c>
      <c r="R658" s="14">
        <v>0</v>
      </c>
      <c r="S658" s="14">
        <v>0</v>
      </c>
      <c r="T658" s="18">
        <v>0</v>
      </c>
      <c r="U658" s="14">
        <v>0.38490000000000002</v>
      </c>
      <c r="W658" s="38">
        <f t="shared" si="151"/>
        <v>0</v>
      </c>
      <c r="AB658" s="37" t="str">
        <f t="shared" si="152"/>
        <v>Repair</v>
      </c>
      <c r="AC658" s="36">
        <f t="shared" si="153"/>
        <v>0</v>
      </c>
    </row>
    <row r="659" spans="1:29" x14ac:dyDescent="0.25">
      <c r="A659" s="7" t="s">
        <v>87</v>
      </c>
      <c r="B659" s="15" t="s">
        <v>67</v>
      </c>
      <c r="C659" s="7" t="s">
        <v>21</v>
      </c>
      <c r="D659" s="14">
        <v>0</v>
      </c>
      <c r="E659" s="14">
        <v>0</v>
      </c>
      <c r="F659" s="14">
        <v>0</v>
      </c>
      <c r="G659" s="14">
        <v>0</v>
      </c>
      <c r="H659" s="16">
        <v>90</v>
      </c>
      <c r="I659" s="17">
        <v>13</v>
      </c>
      <c r="J659" s="14">
        <v>10</v>
      </c>
      <c r="K659" s="14">
        <v>7</v>
      </c>
      <c r="L659" s="14">
        <v>21</v>
      </c>
      <c r="M659" s="14">
        <v>8</v>
      </c>
      <c r="N659" s="14">
        <v>5</v>
      </c>
      <c r="O659" s="14">
        <v>5</v>
      </c>
      <c r="P659" s="14">
        <v>6</v>
      </c>
      <c r="Q659" s="14">
        <v>5</v>
      </c>
      <c r="R659" s="14">
        <v>5</v>
      </c>
      <c r="S659" s="14">
        <v>2</v>
      </c>
      <c r="T659" s="18">
        <v>3</v>
      </c>
      <c r="U659" s="14">
        <v>0.38490000000000002</v>
      </c>
      <c r="W659" s="38">
        <f t="shared" si="151"/>
        <v>34.641000000000005</v>
      </c>
      <c r="AB659" s="37" t="str">
        <f t="shared" si="152"/>
        <v>Rental</v>
      </c>
      <c r="AC659" s="36">
        <f t="shared" si="153"/>
        <v>5.0037000000000003</v>
      </c>
    </row>
    <row r="660" spans="1:29" x14ac:dyDescent="0.25">
      <c r="A660" s="7" t="s">
        <v>87</v>
      </c>
      <c r="B660" s="15" t="s">
        <v>73</v>
      </c>
      <c r="C660" s="7" t="s">
        <v>21</v>
      </c>
      <c r="D660" s="14">
        <v>0</v>
      </c>
      <c r="E660" s="14">
        <v>0</v>
      </c>
      <c r="F660" s="14">
        <v>0</v>
      </c>
      <c r="G660" s="14">
        <v>0</v>
      </c>
      <c r="H660" s="16">
        <v>13</v>
      </c>
      <c r="I660" s="17">
        <v>2</v>
      </c>
      <c r="J660" s="14">
        <v>0</v>
      </c>
      <c r="K660" s="14">
        <v>10</v>
      </c>
      <c r="L660" s="14">
        <v>1</v>
      </c>
      <c r="M660" s="14">
        <v>0</v>
      </c>
      <c r="N660" s="14">
        <v>0</v>
      </c>
      <c r="O660" s="14">
        <v>0</v>
      </c>
      <c r="P660" s="14">
        <v>0</v>
      </c>
      <c r="Q660" s="14">
        <v>0</v>
      </c>
      <c r="R660" s="14">
        <v>0</v>
      </c>
      <c r="S660" s="14">
        <v>0</v>
      </c>
      <c r="T660" s="18">
        <v>0</v>
      </c>
      <c r="U660" s="14">
        <v>0.38490000000000002</v>
      </c>
      <c r="W660" s="38">
        <f t="shared" si="151"/>
        <v>5.0037000000000003</v>
      </c>
      <c r="AB660" s="37"/>
    </row>
    <row r="661" spans="1:29" x14ac:dyDescent="0.25">
      <c r="A661" s="7" t="s">
        <v>87</v>
      </c>
      <c r="B661" s="15" t="s">
        <v>19</v>
      </c>
      <c r="C661" s="7" t="s">
        <v>21</v>
      </c>
      <c r="D661" s="14">
        <v>0</v>
      </c>
      <c r="E661" s="14">
        <v>0</v>
      </c>
      <c r="F661" s="14">
        <v>0</v>
      </c>
      <c r="G661" s="14">
        <v>0</v>
      </c>
      <c r="H661" s="16">
        <v>3</v>
      </c>
      <c r="I661" s="17">
        <v>3</v>
      </c>
      <c r="J661" s="14">
        <v>0</v>
      </c>
      <c r="K661" s="14">
        <v>0</v>
      </c>
      <c r="L661" s="14">
        <v>0</v>
      </c>
      <c r="M661" s="14">
        <v>0</v>
      </c>
      <c r="N661" s="14">
        <v>0</v>
      </c>
      <c r="O661" s="14">
        <v>0</v>
      </c>
      <c r="P661" s="14">
        <v>0</v>
      </c>
      <c r="Q661" s="14">
        <v>0</v>
      </c>
      <c r="R661" s="14">
        <v>0</v>
      </c>
      <c r="S661" s="14">
        <v>0</v>
      </c>
      <c r="T661" s="18">
        <v>0</v>
      </c>
      <c r="U661" s="14">
        <v>0.38490000000000002</v>
      </c>
      <c r="W661" s="38">
        <f t="shared" si="151"/>
        <v>1.1547000000000001</v>
      </c>
      <c r="AB661" s="37" t="str">
        <f t="shared" ref="AB661:AB662" si="154">B661</f>
        <v>Maintenance</v>
      </c>
      <c r="AC661" s="36">
        <f t="shared" ref="AC661:AC662" si="155">I661*U661</f>
        <v>1.1547000000000001</v>
      </c>
    </row>
    <row r="662" spans="1:29" ht="13" thickBot="1" x14ac:dyDescent="0.3">
      <c r="A662" s="7" t="s">
        <v>87</v>
      </c>
      <c r="B662" s="19" t="s">
        <v>20</v>
      </c>
      <c r="C662" s="20" t="s">
        <v>21</v>
      </c>
      <c r="D662" s="21">
        <v>0</v>
      </c>
      <c r="E662" s="21">
        <v>0</v>
      </c>
      <c r="F662" s="21">
        <v>0</v>
      </c>
      <c r="G662" s="21">
        <v>0</v>
      </c>
      <c r="H662" s="22">
        <v>2</v>
      </c>
      <c r="I662" s="23">
        <v>0</v>
      </c>
      <c r="J662" s="21">
        <v>0</v>
      </c>
      <c r="K662" s="21">
        <v>0</v>
      </c>
      <c r="L662" s="21">
        <v>0</v>
      </c>
      <c r="M662" s="21">
        <v>2</v>
      </c>
      <c r="N662" s="21">
        <v>0</v>
      </c>
      <c r="O662" s="21">
        <v>0</v>
      </c>
      <c r="P662" s="21">
        <v>0</v>
      </c>
      <c r="Q662" s="21">
        <v>0</v>
      </c>
      <c r="R662" s="21">
        <v>0</v>
      </c>
      <c r="S662" s="21">
        <v>0</v>
      </c>
      <c r="T662" s="24">
        <v>0</v>
      </c>
      <c r="U662" s="14">
        <v>0.38490000000000002</v>
      </c>
      <c r="W662" s="38">
        <f t="shared" si="151"/>
        <v>0.76980000000000004</v>
      </c>
      <c r="AB662" s="37" t="str">
        <f t="shared" si="154"/>
        <v>Startup</v>
      </c>
      <c r="AC662" s="36">
        <f t="shared" si="155"/>
        <v>0</v>
      </c>
    </row>
    <row r="663" spans="1:29" ht="13" thickBot="1" x14ac:dyDescent="0.3">
      <c r="A663" s="20" t="s">
        <v>87</v>
      </c>
      <c r="B663" s="25" t="s">
        <v>12</v>
      </c>
      <c r="C663" s="26" t="s">
        <v>21</v>
      </c>
      <c r="D663" s="27">
        <v>0</v>
      </c>
      <c r="E663" s="27">
        <v>0</v>
      </c>
      <c r="F663" s="27">
        <v>0</v>
      </c>
      <c r="G663" s="27">
        <v>0</v>
      </c>
      <c r="H663" s="28">
        <v>226</v>
      </c>
      <c r="I663" s="29">
        <v>48</v>
      </c>
      <c r="J663" s="27">
        <v>40</v>
      </c>
      <c r="K663" s="27">
        <v>27</v>
      </c>
      <c r="L663" s="27">
        <v>70</v>
      </c>
      <c r="M663" s="27">
        <v>10</v>
      </c>
      <c r="N663" s="27">
        <v>5</v>
      </c>
      <c r="O663" s="27">
        <v>5</v>
      </c>
      <c r="P663" s="27">
        <v>6</v>
      </c>
      <c r="Q663" s="27">
        <v>5</v>
      </c>
      <c r="R663" s="27">
        <v>5</v>
      </c>
      <c r="S663" s="27">
        <v>2</v>
      </c>
      <c r="T663" s="29">
        <v>3</v>
      </c>
      <c r="U663" s="14">
        <v>0.38490000000000002</v>
      </c>
      <c r="W663" s="38">
        <f t="shared" si="151"/>
        <v>86.987400000000008</v>
      </c>
      <c r="X663" s="35">
        <f>W662+W661+W658</f>
        <v>1.9245000000000001</v>
      </c>
      <c r="Y663" s="35">
        <f>W656</f>
        <v>35.0259</v>
      </c>
      <c r="Z663" s="40">
        <f>V654/X663</f>
        <v>0</v>
      </c>
      <c r="AA663" s="40">
        <f>IF((Y663=0),0,Y655/Y663)</f>
        <v>0</v>
      </c>
      <c r="AB663" s="48"/>
      <c r="AC663" s="48"/>
    </row>
    <row r="664" spans="1:29" ht="13" thickBot="1" x14ac:dyDescent="0.3">
      <c r="A664" s="9" t="s">
        <v>56</v>
      </c>
      <c r="B664" s="30" t="s">
        <v>15</v>
      </c>
      <c r="C664" s="31" t="s">
        <v>94</v>
      </c>
      <c r="D664" s="32" t="s">
        <v>47</v>
      </c>
      <c r="E664" s="53" t="s">
        <v>104</v>
      </c>
      <c r="F664" s="53" t="s">
        <v>105</v>
      </c>
      <c r="G664" s="53" t="s">
        <v>106</v>
      </c>
      <c r="H664" s="28" t="s">
        <v>12</v>
      </c>
      <c r="I664" s="54" t="s">
        <v>107</v>
      </c>
      <c r="J664" s="53" t="s">
        <v>108</v>
      </c>
      <c r="K664" s="53" t="s">
        <v>109</v>
      </c>
      <c r="L664" s="53" t="s">
        <v>110</v>
      </c>
      <c r="M664" s="53" t="s">
        <v>111</v>
      </c>
      <c r="N664" s="53" t="s">
        <v>115</v>
      </c>
      <c r="O664" s="53" t="s">
        <v>120</v>
      </c>
      <c r="P664" s="53" t="s">
        <v>121</v>
      </c>
      <c r="Q664" s="53" t="s">
        <v>164</v>
      </c>
      <c r="R664" s="53" t="s">
        <v>173</v>
      </c>
      <c r="S664" s="53" t="s">
        <v>177</v>
      </c>
      <c r="T664" s="55" t="s">
        <v>182</v>
      </c>
      <c r="U664" s="14">
        <v>0.27429695920000002</v>
      </c>
      <c r="V664" s="14" t="s">
        <v>183</v>
      </c>
      <c r="W664" s="35"/>
      <c r="X664" s="14" t="s">
        <v>37</v>
      </c>
      <c r="Y664" s="14" t="s">
        <v>38</v>
      </c>
      <c r="AB664" s="48"/>
      <c r="AC664" s="48"/>
    </row>
    <row r="665" spans="1:29" x14ac:dyDescent="0.25">
      <c r="A665" s="7" t="s">
        <v>56</v>
      </c>
      <c r="B665" s="8" t="s">
        <v>17</v>
      </c>
      <c r="C665" s="9" t="s">
        <v>18</v>
      </c>
      <c r="D665" s="10">
        <v>0</v>
      </c>
      <c r="E665" s="10">
        <v>0</v>
      </c>
      <c r="F665" s="10">
        <v>0</v>
      </c>
      <c r="G665" s="10">
        <v>0</v>
      </c>
      <c r="H665" s="11">
        <v>18609</v>
      </c>
      <c r="I665" s="12">
        <v>1057</v>
      </c>
      <c r="J665" s="10">
        <v>3506</v>
      </c>
      <c r="K665" s="10">
        <v>12384</v>
      </c>
      <c r="L665" s="10">
        <v>1360</v>
      </c>
      <c r="M665" s="10">
        <v>183</v>
      </c>
      <c r="N665" s="10">
        <v>31</v>
      </c>
      <c r="O665" s="10">
        <v>0</v>
      </c>
      <c r="P665" s="10">
        <v>0</v>
      </c>
      <c r="Q665" s="10">
        <v>0</v>
      </c>
      <c r="R665" s="10">
        <v>0</v>
      </c>
      <c r="S665" s="10">
        <v>0</v>
      </c>
      <c r="T665" s="13">
        <v>88</v>
      </c>
      <c r="U665" s="14">
        <v>0.27429695920000002</v>
      </c>
      <c r="V665" s="42">
        <f>SUM(I665:T665)/H665</f>
        <v>1</v>
      </c>
      <c r="W665" s="39">
        <f>SUM(I665:T665)*U665</f>
        <v>5104.3921137528005</v>
      </c>
    </row>
    <row r="666" spans="1:29" x14ac:dyDescent="0.25">
      <c r="A666" s="7" t="s">
        <v>56</v>
      </c>
      <c r="B666" s="15" t="s">
        <v>66</v>
      </c>
      <c r="C666" s="7" t="s">
        <v>18</v>
      </c>
      <c r="D666" s="14">
        <v>0</v>
      </c>
      <c r="E666" s="14">
        <v>0</v>
      </c>
      <c r="F666" s="14">
        <v>0</v>
      </c>
      <c r="G666" s="14">
        <v>0</v>
      </c>
      <c r="H666" s="16">
        <v>35014</v>
      </c>
      <c r="I666" s="17">
        <v>5655</v>
      </c>
      <c r="J666" s="14">
        <v>10907</v>
      </c>
      <c r="K666" s="14">
        <v>4607</v>
      </c>
      <c r="L666" s="14">
        <v>5165</v>
      </c>
      <c r="M666" s="14">
        <v>1455</v>
      </c>
      <c r="N666" s="14">
        <v>7000</v>
      </c>
      <c r="O666" s="14">
        <v>225</v>
      </c>
      <c r="P666" s="14">
        <v>0</v>
      </c>
      <c r="Q666" s="14">
        <v>0</v>
      </c>
      <c r="R666" s="14">
        <v>0</v>
      </c>
      <c r="S666" s="14">
        <v>0</v>
      </c>
      <c r="T666" s="18">
        <v>0</v>
      </c>
      <c r="U666" s="14">
        <v>0.27429695920000002</v>
      </c>
      <c r="V666" s="44"/>
      <c r="W666" s="39">
        <f t="shared" ref="W666:W672" si="156">SUM(I666:T666)*U666</f>
        <v>9604.2337294288009</v>
      </c>
    </row>
    <row r="667" spans="1:29" x14ac:dyDescent="0.25">
      <c r="A667" s="7" t="s">
        <v>56</v>
      </c>
      <c r="B667" s="15" t="s">
        <v>13</v>
      </c>
      <c r="C667" s="7" t="s">
        <v>18</v>
      </c>
      <c r="D667" s="14">
        <v>0</v>
      </c>
      <c r="E667" s="14">
        <v>0</v>
      </c>
      <c r="F667" s="14">
        <v>0</v>
      </c>
      <c r="G667" s="14">
        <v>0</v>
      </c>
      <c r="H667" s="16">
        <v>11981</v>
      </c>
      <c r="I667" s="17">
        <v>767</v>
      </c>
      <c r="J667" s="14">
        <v>4420</v>
      </c>
      <c r="K667" s="14">
        <v>2468</v>
      </c>
      <c r="L667" s="14">
        <v>3412</v>
      </c>
      <c r="M667" s="14">
        <v>914</v>
      </c>
      <c r="N667" s="14">
        <v>0</v>
      </c>
      <c r="O667" s="14">
        <v>0</v>
      </c>
      <c r="P667" s="14">
        <v>0</v>
      </c>
      <c r="Q667" s="14">
        <v>0</v>
      </c>
      <c r="R667" s="14">
        <v>0</v>
      </c>
      <c r="S667" s="14">
        <v>0</v>
      </c>
      <c r="T667" s="18">
        <v>0</v>
      </c>
      <c r="U667" s="14">
        <v>0.27429695920000002</v>
      </c>
      <c r="V667" s="41"/>
      <c r="W667" s="39">
        <f t="shared" si="156"/>
        <v>3286.3518681752003</v>
      </c>
    </row>
    <row r="668" spans="1:29" x14ac:dyDescent="0.25">
      <c r="A668" s="7" t="s">
        <v>56</v>
      </c>
      <c r="B668" s="15" t="s">
        <v>67</v>
      </c>
      <c r="C668" s="7" t="s">
        <v>18</v>
      </c>
      <c r="D668" s="14">
        <v>0</v>
      </c>
      <c r="E668" s="14">
        <v>0</v>
      </c>
      <c r="F668" s="14">
        <v>0</v>
      </c>
      <c r="G668" s="14">
        <v>0</v>
      </c>
      <c r="H668" s="16">
        <v>14319</v>
      </c>
      <c r="I668" s="17">
        <v>1368</v>
      </c>
      <c r="J668" s="14">
        <v>4201</v>
      </c>
      <c r="K668" s="14">
        <v>2019</v>
      </c>
      <c r="L668" s="14">
        <v>0</v>
      </c>
      <c r="M668" s="14">
        <v>900</v>
      </c>
      <c r="N668" s="14">
        <v>0</v>
      </c>
      <c r="O668" s="14">
        <v>5811</v>
      </c>
      <c r="P668" s="14">
        <v>20</v>
      </c>
      <c r="Q668" s="14">
        <v>0</v>
      </c>
      <c r="R668" s="14">
        <v>0</v>
      </c>
      <c r="S668" s="14">
        <v>0</v>
      </c>
      <c r="T668" s="18">
        <v>0</v>
      </c>
      <c r="U668" s="14">
        <v>0.27429695920000002</v>
      </c>
      <c r="V668" s="41"/>
      <c r="W668" s="39">
        <f t="shared" si="156"/>
        <v>3927.6581587848004</v>
      </c>
    </row>
    <row r="669" spans="1:29" x14ac:dyDescent="0.25">
      <c r="A669" s="7" t="s">
        <v>56</v>
      </c>
      <c r="B669" s="15" t="s">
        <v>73</v>
      </c>
      <c r="C669" s="7" t="s">
        <v>18</v>
      </c>
      <c r="D669" s="14">
        <v>0</v>
      </c>
      <c r="E669" s="14">
        <v>0</v>
      </c>
      <c r="F669" s="14">
        <v>0</v>
      </c>
      <c r="G669" s="14">
        <v>0</v>
      </c>
      <c r="H669" s="16">
        <v>13924</v>
      </c>
      <c r="I669" s="17">
        <v>727</v>
      </c>
      <c r="J669" s="14">
        <v>6866</v>
      </c>
      <c r="K669" s="14">
        <v>2790</v>
      </c>
      <c r="L669" s="14">
        <v>2492</v>
      </c>
      <c r="M669" s="14">
        <v>719</v>
      </c>
      <c r="N669" s="14">
        <v>165</v>
      </c>
      <c r="O669" s="14">
        <v>0</v>
      </c>
      <c r="P669" s="14">
        <v>165</v>
      </c>
      <c r="Q669" s="14">
        <v>0</v>
      </c>
      <c r="R669" s="14">
        <v>0</v>
      </c>
      <c r="S669" s="14">
        <v>0</v>
      </c>
      <c r="T669" s="18">
        <v>0</v>
      </c>
      <c r="U669" s="14">
        <v>0.27429695920000002</v>
      </c>
      <c r="V669" s="41"/>
      <c r="W669" s="39">
        <f t="shared" si="156"/>
        <v>3819.3108599008006</v>
      </c>
    </row>
    <row r="670" spans="1:29" x14ac:dyDescent="0.25">
      <c r="A670" s="7" t="s">
        <v>56</v>
      </c>
      <c r="B670" s="15" t="s">
        <v>19</v>
      </c>
      <c r="C670" s="7" t="s">
        <v>18</v>
      </c>
      <c r="D670" s="14">
        <v>2</v>
      </c>
      <c r="E670" s="14">
        <v>0</v>
      </c>
      <c r="F670" s="14">
        <v>0</v>
      </c>
      <c r="G670" s="14">
        <v>0</v>
      </c>
      <c r="H670" s="16">
        <v>3333</v>
      </c>
      <c r="I670" s="17">
        <v>1033</v>
      </c>
      <c r="J670" s="14">
        <v>1109</v>
      </c>
      <c r="K670" s="14">
        <v>786</v>
      </c>
      <c r="L670" s="14">
        <v>335</v>
      </c>
      <c r="M670" s="14">
        <v>58</v>
      </c>
      <c r="N670" s="14">
        <v>10</v>
      </c>
      <c r="O670" s="14">
        <v>0</v>
      </c>
      <c r="P670" s="14">
        <v>0</v>
      </c>
      <c r="Q670" s="14">
        <v>0</v>
      </c>
      <c r="R670" s="14">
        <v>0</v>
      </c>
      <c r="S670" s="14">
        <v>0</v>
      </c>
      <c r="T670" s="18">
        <v>0</v>
      </c>
      <c r="U670" s="14">
        <v>0.27429695920000002</v>
      </c>
      <c r="V670" s="41"/>
      <c r="W670" s="39">
        <f t="shared" si="156"/>
        <v>913.68317109520012</v>
      </c>
    </row>
    <row r="671" spans="1:29" ht="13" thickBot="1" x14ac:dyDescent="0.3">
      <c r="A671" s="7" t="s">
        <v>56</v>
      </c>
      <c r="B671" s="19" t="s">
        <v>20</v>
      </c>
      <c r="C671" s="20" t="s">
        <v>18</v>
      </c>
      <c r="D671" s="21">
        <v>0</v>
      </c>
      <c r="E671" s="21">
        <v>0</v>
      </c>
      <c r="F671" s="21">
        <v>0</v>
      </c>
      <c r="G671" s="21">
        <v>0</v>
      </c>
      <c r="H671" s="22">
        <v>0</v>
      </c>
      <c r="I671" s="23">
        <v>0</v>
      </c>
      <c r="J671" s="21">
        <v>0</v>
      </c>
      <c r="K671" s="21">
        <v>0</v>
      </c>
      <c r="L671" s="21">
        <v>0</v>
      </c>
      <c r="M671" s="21">
        <v>0</v>
      </c>
      <c r="N671" s="21">
        <v>0</v>
      </c>
      <c r="O671" s="21">
        <v>0</v>
      </c>
      <c r="P671" s="21">
        <v>0</v>
      </c>
      <c r="Q671" s="21">
        <v>0</v>
      </c>
      <c r="R671" s="21">
        <v>0</v>
      </c>
      <c r="S671" s="21">
        <v>0</v>
      </c>
      <c r="T671" s="24">
        <v>0</v>
      </c>
      <c r="U671" s="14">
        <v>0.27429695920000002</v>
      </c>
      <c r="V671" s="44"/>
      <c r="W671" s="39">
        <f t="shared" si="156"/>
        <v>0</v>
      </c>
    </row>
    <row r="672" spans="1:29" ht="13" thickBot="1" x14ac:dyDescent="0.3">
      <c r="A672" s="7" t="s">
        <v>56</v>
      </c>
      <c r="B672" s="25" t="s">
        <v>12</v>
      </c>
      <c r="C672" s="26" t="s">
        <v>18</v>
      </c>
      <c r="D672" s="27">
        <v>2</v>
      </c>
      <c r="E672" s="27">
        <v>0</v>
      </c>
      <c r="F672" s="27">
        <v>0</v>
      </c>
      <c r="G672" s="27">
        <v>0</v>
      </c>
      <c r="H672" s="28">
        <v>97180</v>
      </c>
      <c r="I672" s="29">
        <v>10607</v>
      </c>
      <c r="J672" s="27">
        <v>31009</v>
      </c>
      <c r="K672" s="27">
        <v>25054</v>
      </c>
      <c r="L672" s="27">
        <v>12764</v>
      </c>
      <c r="M672" s="27">
        <v>4229</v>
      </c>
      <c r="N672" s="27">
        <v>7206</v>
      </c>
      <c r="O672" s="27">
        <v>6036</v>
      </c>
      <c r="P672" s="27">
        <v>185</v>
      </c>
      <c r="Q672" s="27">
        <v>0</v>
      </c>
      <c r="R672" s="27">
        <v>0</v>
      </c>
      <c r="S672" s="27">
        <v>0</v>
      </c>
      <c r="T672" s="29">
        <v>88</v>
      </c>
      <c r="U672" s="14">
        <v>0.27429695920000002</v>
      </c>
      <c r="V672" s="43">
        <f>SUM(I667:T670)/SUM(H667:H670)</f>
        <v>0.99995408315540557</v>
      </c>
      <c r="W672" s="39">
        <f t="shared" si="156"/>
        <v>26655.629901137603</v>
      </c>
      <c r="X672" s="35">
        <f>W670+W667</f>
        <v>4200.0350392704004</v>
      </c>
      <c r="Y672" s="35">
        <f>W665</f>
        <v>5104.3921137528005</v>
      </c>
    </row>
    <row r="673" spans="1:29" x14ac:dyDescent="0.25">
      <c r="A673" s="7" t="s">
        <v>56</v>
      </c>
      <c r="B673" s="8" t="s">
        <v>17</v>
      </c>
      <c r="C673" s="9" t="s">
        <v>21</v>
      </c>
      <c r="D673" s="10">
        <v>0</v>
      </c>
      <c r="E673" s="10">
        <v>0</v>
      </c>
      <c r="F673" s="10">
        <v>0</v>
      </c>
      <c r="G673" s="10">
        <v>0</v>
      </c>
      <c r="H673" s="11">
        <v>1024</v>
      </c>
      <c r="I673" s="12">
        <v>887</v>
      </c>
      <c r="J673" s="10">
        <v>109</v>
      </c>
      <c r="K673" s="10">
        <v>28</v>
      </c>
      <c r="L673" s="10">
        <v>0</v>
      </c>
      <c r="M673" s="10">
        <v>0</v>
      </c>
      <c r="N673" s="10">
        <v>0</v>
      </c>
      <c r="O673" s="10">
        <v>0</v>
      </c>
      <c r="P673" s="10">
        <v>0</v>
      </c>
      <c r="Q673" s="10">
        <v>0</v>
      </c>
      <c r="R673" s="10">
        <v>0</v>
      </c>
      <c r="S673" s="10">
        <v>0</v>
      </c>
      <c r="T673" s="13">
        <v>0</v>
      </c>
      <c r="U673" s="14">
        <v>0.27429695920000002</v>
      </c>
      <c r="W673" s="38">
        <f t="shared" ref="W673:W680" si="157">H673*U673</f>
        <v>280.88008622080002</v>
      </c>
      <c r="AB673" s="37" t="str">
        <f t="shared" ref="AB673:AB676" si="158">B673</f>
        <v>Parts-OTC</v>
      </c>
      <c r="AC673" s="36">
        <f t="shared" ref="AC673:AC676" si="159">I673*U673</f>
        <v>243.30140281040002</v>
      </c>
    </row>
    <row r="674" spans="1:29" x14ac:dyDescent="0.25">
      <c r="A674" s="7" t="s">
        <v>56</v>
      </c>
      <c r="B674" s="15" t="s">
        <v>66</v>
      </c>
      <c r="C674" s="7" t="s">
        <v>21</v>
      </c>
      <c r="D674" s="14">
        <v>0</v>
      </c>
      <c r="E674" s="14">
        <v>0</v>
      </c>
      <c r="F674" s="14">
        <v>0</v>
      </c>
      <c r="G674" s="14">
        <v>0</v>
      </c>
      <c r="H674" s="16">
        <v>1567</v>
      </c>
      <c r="I674" s="17">
        <v>316</v>
      </c>
      <c r="J674" s="14">
        <v>49</v>
      </c>
      <c r="K674" s="14">
        <v>908</v>
      </c>
      <c r="L674" s="14">
        <v>0</v>
      </c>
      <c r="M674" s="14">
        <v>0</v>
      </c>
      <c r="N674" s="14">
        <v>240</v>
      </c>
      <c r="O674" s="14">
        <v>0</v>
      </c>
      <c r="P674" s="14">
        <v>0</v>
      </c>
      <c r="Q674" s="14">
        <v>54</v>
      </c>
      <c r="R674" s="14">
        <v>0</v>
      </c>
      <c r="S674" s="14">
        <v>0</v>
      </c>
      <c r="T674" s="18">
        <v>0</v>
      </c>
      <c r="U674" s="14">
        <v>0.27429695920000002</v>
      </c>
      <c r="W674" s="38">
        <f t="shared" si="157"/>
        <v>429.82333506640003</v>
      </c>
      <c r="AB674" s="37" t="str">
        <f t="shared" si="158"/>
        <v>CTKS</v>
      </c>
      <c r="AC674" s="36">
        <f t="shared" si="159"/>
        <v>86.677839107200001</v>
      </c>
    </row>
    <row r="675" spans="1:29" x14ac:dyDescent="0.25">
      <c r="A675" s="7" t="s">
        <v>56</v>
      </c>
      <c r="B675" s="15" t="s">
        <v>13</v>
      </c>
      <c r="C675" s="7" t="s">
        <v>21</v>
      </c>
      <c r="D675" s="14">
        <v>0</v>
      </c>
      <c r="E675" s="14">
        <v>0</v>
      </c>
      <c r="F675" s="14">
        <v>0</v>
      </c>
      <c r="G675" s="14">
        <v>0</v>
      </c>
      <c r="H675" s="16">
        <v>2482</v>
      </c>
      <c r="I675" s="33">
        <v>136</v>
      </c>
      <c r="J675" s="34">
        <v>64</v>
      </c>
      <c r="K675" s="34">
        <v>2282</v>
      </c>
      <c r="L675" s="14">
        <v>0</v>
      </c>
      <c r="M675" s="14">
        <v>0</v>
      </c>
      <c r="N675" s="14">
        <v>0</v>
      </c>
      <c r="O675" s="14">
        <v>0</v>
      </c>
      <c r="P675" s="14">
        <v>0</v>
      </c>
      <c r="Q675" s="14">
        <v>0</v>
      </c>
      <c r="R675" s="14">
        <v>0</v>
      </c>
      <c r="S675" s="14">
        <v>0</v>
      </c>
      <c r="T675" s="18">
        <v>0</v>
      </c>
      <c r="U675" s="14">
        <v>0.27429695920000002</v>
      </c>
      <c r="W675" s="38">
        <f t="shared" si="157"/>
        <v>680.80505273440008</v>
      </c>
      <c r="AB675" s="37" t="str">
        <f t="shared" si="158"/>
        <v>Repair</v>
      </c>
      <c r="AC675" s="36">
        <f t="shared" si="159"/>
        <v>37.304386451200003</v>
      </c>
    </row>
    <row r="676" spans="1:29" x14ac:dyDescent="0.25">
      <c r="A676" s="7" t="s">
        <v>56</v>
      </c>
      <c r="B676" s="15" t="s">
        <v>67</v>
      </c>
      <c r="C676" s="7" t="s">
        <v>21</v>
      </c>
      <c r="D676" s="14">
        <v>0</v>
      </c>
      <c r="E676" s="14">
        <v>0</v>
      </c>
      <c r="F676" s="14">
        <v>0</v>
      </c>
      <c r="G676" s="14">
        <v>0</v>
      </c>
      <c r="H676" s="16">
        <v>770</v>
      </c>
      <c r="I676" s="17">
        <v>130</v>
      </c>
      <c r="J676" s="14">
        <v>86</v>
      </c>
      <c r="K676" s="14">
        <v>79</v>
      </c>
      <c r="L676" s="14">
        <v>88</v>
      </c>
      <c r="M676" s="14">
        <v>54</v>
      </c>
      <c r="N676" s="14">
        <v>54</v>
      </c>
      <c r="O676" s="14">
        <v>54</v>
      </c>
      <c r="P676" s="14">
        <v>45</v>
      </c>
      <c r="Q676" s="14">
        <v>45</v>
      </c>
      <c r="R676" s="14">
        <v>45</v>
      </c>
      <c r="S676" s="14">
        <v>45</v>
      </c>
      <c r="T676" s="18">
        <v>45</v>
      </c>
      <c r="U676" s="14">
        <v>0.27429695920000002</v>
      </c>
      <c r="W676" s="38">
        <f t="shared" si="157"/>
        <v>211.20865858400001</v>
      </c>
      <c r="AB676" s="37" t="str">
        <f t="shared" si="158"/>
        <v>Rental</v>
      </c>
      <c r="AC676" s="36">
        <f t="shared" si="159"/>
        <v>35.658604696000005</v>
      </c>
    </row>
    <row r="677" spans="1:29" x14ac:dyDescent="0.25">
      <c r="A677" s="7" t="s">
        <v>56</v>
      </c>
      <c r="B677" s="15" t="s">
        <v>73</v>
      </c>
      <c r="C677" s="7" t="s">
        <v>21</v>
      </c>
      <c r="D677" s="14">
        <v>0</v>
      </c>
      <c r="E677" s="14">
        <v>0</v>
      </c>
      <c r="F677" s="14">
        <v>0</v>
      </c>
      <c r="G677" s="14">
        <v>0</v>
      </c>
      <c r="H677" s="16">
        <v>136</v>
      </c>
      <c r="I677" s="17">
        <v>0</v>
      </c>
      <c r="J677" s="14">
        <v>127</v>
      </c>
      <c r="K677" s="14">
        <v>9</v>
      </c>
      <c r="L677" s="14">
        <v>0</v>
      </c>
      <c r="M677" s="14">
        <v>0</v>
      </c>
      <c r="N677" s="14">
        <v>0</v>
      </c>
      <c r="O677" s="14">
        <v>0</v>
      </c>
      <c r="P677" s="14">
        <v>0</v>
      </c>
      <c r="Q677" s="14">
        <v>0</v>
      </c>
      <c r="R677" s="14">
        <v>0</v>
      </c>
      <c r="S677" s="14">
        <v>0</v>
      </c>
      <c r="T677" s="18">
        <v>0</v>
      </c>
      <c r="U677" s="14">
        <v>0.27429695920000002</v>
      </c>
      <c r="W677" s="38">
        <f t="shared" si="157"/>
        <v>37.304386451200003</v>
      </c>
      <c r="AB677" s="37"/>
    </row>
    <row r="678" spans="1:29" x14ac:dyDescent="0.25">
      <c r="A678" s="7" t="s">
        <v>56</v>
      </c>
      <c r="B678" s="15" t="s">
        <v>19</v>
      </c>
      <c r="C678" s="7" t="s">
        <v>21</v>
      </c>
      <c r="D678" s="14">
        <v>0</v>
      </c>
      <c r="E678" s="14">
        <v>0</v>
      </c>
      <c r="F678" s="14">
        <v>0</v>
      </c>
      <c r="G678" s="14">
        <v>0</v>
      </c>
      <c r="H678" s="16">
        <v>3357</v>
      </c>
      <c r="I678" s="17">
        <v>675</v>
      </c>
      <c r="J678" s="14">
        <v>255</v>
      </c>
      <c r="K678" s="14">
        <v>507</v>
      </c>
      <c r="L678" s="14">
        <v>552</v>
      </c>
      <c r="M678" s="14">
        <v>147</v>
      </c>
      <c r="N678" s="14">
        <v>347</v>
      </c>
      <c r="O678" s="14">
        <v>362</v>
      </c>
      <c r="P678" s="14">
        <v>114</v>
      </c>
      <c r="Q678" s="14">
        <v>268</v>
      </c>
      <c r="R678" s="14">
        <v>101</v>
      </c>
      <c r="S678" s="14">
        <v>12</v>
      </c>
      <c r="T678" s="18">
        <v>17</v>
      </c>
      <c r="U678" s="14">
        <v>0.27429695920000002</v>
      </c>
      <c r="W678" s="38">
        <f t="shared" si="157"/>
        <v>920.81489203440003</v>
      </c>
      <c r="AB678" s="37" t="str">
        <f t="shared" ref="AB678:AB679" si="160">B678</f>
        <v>Maintenance</v>
      </c>
      <c r="AC678" s="36">
        <f t="shared" ref="AC678:AC679" si="161">I678*U678</f>
        <v>185.15044746000001</v>
      </c>
    </row>
    <row r="679" spans="1:29" ht="13" thickBot="1" x14ac:dyDescent="0.3">
      <c r="A679" s="7" t="s">
        <v>56</v>
      </c>
      <c r="B679" s="19" t="s">
        <v>20</v>
      </c>
      <c r="C679" s="20" t="s">
        <v>21</v>
      </c>
      <c r="D679" s="21">
        <v>0</v>
      </c>
      <c r="E679" s="21">
        <v>0</v>
      </c>
      <c r="F679" s="21">
        <v>0</v>
      </c>
      <c r="G679" s="21">
        <v>0</v>
      </c>
      <c r="H679" s="22">
        <v>18</v>
      </c>
      <c r="I679" s="23">
        <v>6</v>
      </c>
      <c r="J679" s="21">
        <v>12</v>
      </c>
      <c r="K679" s="21">
        <v>0</v>
      </c>
      <c r="L679" s="21">
        <v>0</v>
      </c>
      <c r="M679" s="21">
        <v>0</v>
      </c>
      <c r="N679" s="21">
        <v>0</v>
      </c>
      <c r="O679" s="21">
        <v>0</v>
      </c>
      <c r="P679" s="21">
        <v>0</v>
      </c>
      <c r="Q679" s="21">
        <v>0</v>
      </c>
      <c r="R679" s="21">
        <v>0</v>
      </c>
      <c r="S679" s="21">
        <v>0</v>
      </c>
      <c r="T679" s="24">
        <v>0</v>
      </c>
      <c r="U679" s="14">
        <v>0.27429695920000002</v>
      </c>
      <c r="W679" s="38">
        <f t="shared" si="157"/>
        <v>4.9373452656000003</v>
      </c>
      <c r="AB679" s="37" t="str">
        <f t="shared" si="160"/>
        <v>Startup</v>
      </c>
      <c r="AC679" s="36">
        <f t="shared" si="161"/>
        <v>1.6457817552000003</v>
      </c>
    </row>
    <row r="680" spans="1:29" ht="13" thickBot="1" x14ac:dyDescent="0.3">
      <c r="A680" s="20" t="s">
        <v>56</v>
      </c>
      <c r="B680" s="25" t="s">
        <v>12</v>
      </c>
      <c r="C680" s="26" t="s">
        <v>21</v>
      </c>
      <c r="D680" s="27">
        <v>0</v>
      </c>
      <c r="E680" s="27">
        <v>0</v>
      </c>
      <c r="F680" s="27">
        <v>0</v>
      </c>
      <c r="G680" s="27">
        <v>0</v>
      </c>
      <c r="H680" s="28">
        <v>9354</v>
      </c>
      <c r="I680" s="29">
        <v>2150</v>
      </c>
      <c r="J680" s="27">
        <v>702</v>
      </c>
      <c r="K680" s="27">
        <v>3813</v>
      </c>
      <c r="L680" s="27">
        <v>640</v>
      </c>
      <c r="M680" s="27">
        <v>201</v>
      </c>
      <c r="N680" s="27">
        <v>641</v>
      </c>
      <c r="O680" s="27">
        <v>416</v>
      </c>
      <c r="P680" s="27">
        <v>159</v>
      </c>
      <c r="Q680" s="27">
        <v>367</v>
      </c>
      <c r="R680" s="27">
        <v>146</v>
      </c>
      <c r="S680" s="27">
        <v>57</v>
      </c>
      <c r="T680" s="29">
        <v>62</v>
      </c>
      <c r="U680" s="14">
        <v>0.27429695920000002</v>
      </c>
      <c r="W680" s="38">
        <f t="shared" si="157"/>
        <v>2565.7737563568003</v>
      </c>
      <c r="X680" s="35">
        <f>W679+W678+W675</f>
        <v>1606.5572900344</v>
      </c>
      <c r="Y680" s="35">
        <f>W673</f>
        <v>280.88008622080002</v>
      </c>
      <c r="Z680" s="40">
        <f>V671/X680</f>
        <v>0</v>
      </c>
      <c r="AA680" s="40">
        <f>IF((Y680=0),0,Y672/Y680)</f>
        <v>18.1728515625</v>
      </c>
      <c r="AB680" s="48"/>
      <c r="AC680" s="48"/>
    </row>
    <row r="681" spans="1:29" ht="13" thickBot="1" x14ac:dyDescent="0.3">
      <c r="A681" s="9" t="s">
        <v>34</v>
      </c>
      <c r="B681" s="30" t="s">
        <v>15</v>
      </c>
      <c r="C681" s="31" t="s">
        <v>94</v>
      </c>
      <c r="D681" s="32" t="s">
        <v>47</v>
      </c>
      <c r="E681" s="53" t="s">
        <v>104</v>
      </c>
      <c r="F681" s="53" t="s">
        <v>105</v>
      </c>
      <c r="G681" s="53" t="s">
        <v>106</v>
      </c>
      <c r="H681" s="28" t="s">
        <v>12</v>
      </c>
      <c r="I681" s="54" t="s">
        <v>107</v>
      </c>
      <c r="J681" s="53" t="s">
        <v>108</v>
      </c>
      <c r="K681" s="53" t="s">
        <v>109</v>
      </c>
      <c r="L681" s="53" t="s">
        <v>110</v>
      </c>
      <c r="M681" s="53" t="s">
        <v>111</v>
      </c>
      <c r="N681" s="53" t="s">
        <v>115</v>
      </c>
      <c r="O681" s="53" t="s">
        <v>120</v>
      </c>
      <c r="P681" s="53" t="s">
        <v>121</v>
      </c>
      <c r="Q681" s="53" t="s">
        <v>164</v>
      </c>
      <c r="R681" s="53" t="s">
        <v>173</v>
      </c>
      <c r="S681" s="53" t="s">
        <v>177</v>
      </c>
      <c r="T681" s="55" t="s">
        <v>182</v>
      </c>
      <c r="U681" s="14">
        <v>0.26654124899999998</v>
      </c>
      <c r="V681" s="14" t="s">
        <v>183</v>
      </c>
      <c r="W681" s="35"/>
      <c r="X681" s="14" t="s">
        <v>37</v>
      </c>
      <c r="Y681" s="14" t="s">
        <v>38</v>
      </c>
      <c r="AB681" s="48"/>
      <c r="AC681" s="48"/>
    </row>
    <row r="682" spans="1:29" x14ac:dyDescent="0.25">
      <c r="A682" s="7" t="s">
        <v>34</v>
      </c>
      <c r="B682" s="8" t="s">
        <v>17</v>
      </c>
      <c r="C682" s="9" t="s">
        <v>18</v>
      </c>
      <c r="D682" s="10">
        <v>0</v>
      </c>
      <c r="E682" s="10">
        <v>0</v>
      </c>
      <c r="F682" s="10">
        <v>0</v>
      </c>
      <c r="G682" s="10">
        <v>0</v>
      </c>
      <c r="H682" s="11">
        <v>0</v>
      </c>
      <c r="I682" s="162">
        <v>0</v>
      </c>
      <c r="J682" s="163">
        <v>0</v>
      </c>
      <c r="K682" s="10">
        <v>0</v>
      </c>
      <c r="L682" s="10">
        <v>0</v>
      </c>
      <c r="M682" s="10">
        <v>0</v>
      </c>
      <c r="N682" s="10">
        <v>0</v>
      </c>
      <c r="O682" s="10">
        <v>0</v>
      </c>
      <c r="P682" s="10">
        <v>0</v>
      </c>
      <c r="Q682" s="10">
        <v>0</v>
      </c>
      <c r="R682" s="10">
        <v>0</v>
      </c>
      <c r="S682" s="10">
        <v>0</v>
      </c>
      <c r="T682" s="13">
        <v>0</v>
      </c>
      <c r="U682" s="14">
        <v>0.26654124899999998</v>
      </c>
      <c r="V682" s="42" t="e">
        <f>SUM(I682:T682)/H682</f>
        <v>#DIV/0!</v>
      </c>
      <c r="W682" s="39">
        <f>SUM(I682:T682)*U682</f>
        <v>0</v>
      </c>
    </row>
    <row r="683" spans="1:29" x14ac:dyDescent="0.25">
      <c r="A683" s="7" t="s">
        <v>34</v>
      </c>
      <c r="B683" s="15" t="s">
        <v>66</v>
      </c>
      <c r="C683" s="7" t="s">
        <v>18</v>
      </c>
      <c r="D683" s="14">
        <v>0</v>
      </c>
      <c r="E683" s="14">
        <v>0</v>
      </c>
      <c r="F683" s="14">
        <v>0</v>
      </c>
      <c r="G683" s="14">
        <v>0</v>
      </c>
      <c r="H683" s="16">
        <v>206</v>
      </c>
      <c r="I683" s="17">
        <v>206</v>
      </c>
      <c r="J683" s="14">
        <v>0</v>
      </c>
      <c r="K683" s="14">
        <v>0</v>
      </c>
      <c r="L683" s="14">
        <v>0</v>
      </c>
      <c r="M683" s="14">
        <v>0</v>
      </c>
      <c r="N683" s="14">
        <v>0</v>
      </c>
      <c r="O683" s="14">
        <v>0</v>
      </c>
      <c r="P683" s="14">
        <v>0</v>
      </c>
      <c r="Q683" s="14">
        <v>0</v>
      </c>
      <c r="R683" s="14">
        <v>0</v>
      </c>
      <c r="S683" s="14">
        <v>0</v>
      </c>
      <c r="T683" s="18">
        <v>0</v>
      </c>
      <c r="U683" s="14">
        <v>0.26654124899999998</v>
      </c>
      <c r="V683" s="44"/>
      <c r="W683" s="39">
        <f t="shared" ref="W683:W689" si="162">SUM(I683:T683)*U683</f>
        <v>54.907497293999995</v>
      </c>
    </row>
    <row r="684" spans="1:29" x14ac:dyDescent="0.25">
      <c r="A684" s="7" t="s">
        <v>34</v>
      </c>
      <c r="B684" s="15" t="s">
        <v>13</v>
      </c>
      <c r="C684" s="7" t="s">
        <v>18</v>
      </c>
      <c r="D684" s="14">
        <v>0</v>
      </c>
      <c r="E684" s="14">
        <v>0</v>
      </c>
      <c r="F684" s="14">
        <v>0</v>
      </c>
      <c r="G684" s="14">
        <v>0</v>
      </c>
      <c r="H684" s="16">
        <v>1159</v>
      </c>
      <c r="I684" s="17">
        <v>877</v>
      </c>
      <c r="J684" s="14">
        <v>201</v>
      </c>
      <c r="K684" s="14">
        <v>0</v>
      </c>
      <c r="L684" s="14">
        <v>81</v>
      </c>
      <c r="M684" s="14">
        <v>0</v>
      </c>
      <c r="N684" s="14">
        <v>0</v>
      </c>
      <c r="O684" s="14">
        <v>0</v>
      </c>
      <c r="P684" s="14">
        <v>0</v>
      </c>
      <c r="Q684" s="14">
        <v>0</v>
      </c>
      <c r="R684" s="14">
        <v>0</v>
      </c>
      <c r="S684" s="14">
        <v>0</v>
      </c>
      <c r="T684" s="18">
        <v>0</v>
      </c>
      <c r="U684" s="14">
        <v>0.26654124899999998</v>
      </c>
      <c r="V684" s="41"/>
      <c r="W684" s="39">
        <f t="shared" si="162"/>
        <v>308.92130759099996</v>
      </c>
    </row>
    <row r="685" spans="1:29" x14ac:dyDescent="0.25">
      <c r="A685" s="7" t="s">
        <v>34</v>
      </c>
      <c r="B685" s="15" t="s">
        <v>67</v>
      </c>
      <c r="C685" s="7" t="s">
        <v>18</v>
      </c>
      <c r="D685" s="14">
        <v>0</v>
      </c>
      <c r="E685" s="14">
        <v>0</v>
      </c>
      <c r="F685" s="14">
        <v>280</v>
      </c>
      <c r="G685" s="14">
        <v>235</v>
      </c>
      <c r="H685" s="16">
        <v>25656</v>
      </c>
      <c r="I685" s="17">
        <v>16604</v>
      </c>
      <c r="J685" s="14">
        <v>4067</v>
      </c>
      <c r="K685" s="14">
        <v>3342</v>
      </c>
      <c r="L685" s="14">
        <v>128</v>
      </c>
      <c r="M685" s="14">
        <v>1000</v>
      </c>
      <c r="N685" s="14">
        <v>0</v>
      </c>
      <c r="O685" s="14">
        <v>0</v>
      </c>
      <c r="P685" s="14">
        <v>0</v>
      </c>
      <c r="Q685" s="14">
        <v>0</v>
      </c>
      <c r="R685" s="14">
        <v>0</v>
      </c>
      <c r="S685" s="14">
        <v>0</v>
      </c>
      <c r="T685" s="18">
        <v>0</v>
      </c>
      <c r="U685" s="14">
        <v>0.26654124899999998</v>
      </c>
      <c r="V685" s="41"/>
      <c r="W685" s="39">
        <f t="shared" si="162"/>
        <v>6701.1135411089999</v>
      </c>
    </row>
    <row r="686" spans="1:29" x14ac:dyDescent="0.25">
      <c r="A686" s="7" t="s">
        <v>34</v>
      </c>
      <c r="B686" s="15" t="s">
        <v>73</v>
      </c>
      <c r="C686" s="7" t="s">
        <v>18</v>
      </c>
      <c r="D686" s="14">
        <v>0</v>
      </c>
      <c r="E686" s="14">
        <v>0</v>
      </c>
      <c r="F686" s="14">
        <v>0</v>
      </c>
      <c r="G686" s="14">
        <v>0</v>
      </c>
      <c r="H686" s="16">
        <v>5258</v>
      </c>
      <c r="I686" s="17">
        <v>4298</v>
      </c>
      <c r="J686" s="14">
        <v>553</v>
      </c>
      <c r="K686" s="14">
        <v>55</v>
      </c>
      <c r="L686" s="14">
        <v>122</v>
      </c>
      <c r="M686" s="14">
        <v>230</v>
      </c>
      <c r="N686" s="14">
        <v>0</v>
      </c>
      <c r="O686" s="14">
        <v>0</v>
      </c>
      <c r="P686" s="14">
        <v>0</v>
      </c>
      <c r="Q686" s="14">
        <v>0</v>
      </c>
      <c r="R686" s="14">
        <v>0</v>
      </c>
      <c r="S686" s="14">
        <v>0</v>
      </c>
      <c r="T686" s="18">
        <v>0</v>
      </c>
      <c r="U686" s="14">
        <v>0.26654124899999998</v>
      </c>
      <c r="V686" s="41"/>
      <c r="W686" s="39">
        <f t="shared" si="162"/>
        <v>1401.4738872419998</v>
      </c>
    </row>
    <row r="687" spans="1:29" x14ac:dyDescent="0.25">
      <c r="A687" s="7" t="s">
        <v>34</v>
      </c>
      <c r="B687" s="15" t="s">
        <v>19</v>
      </c>
      <c r="C687" s="7" t="s">
        <v>18</v>
      </c>
      <c r="D687" s="14">
        <v>0</v>
      </c>
      <c r="E687" s="14">
        <v>48</v>
      </c>
      <c r="F687" s="14">
        <v>0</v>
      </c>
      <c r="G687" s="14">
        <v>0</v>
      </c>
      <c r="H687" s="16">
        <v>240</v>
      </c>
      <c r="I687" s="17">
        <v>0</v>
      </c>
      <c r="J687" s="14">
        <v>192</v>
      </c>
      <c r="K687" s="14">
        <v>0</v>
      </c>
      <c r="L687" s="14">
        <v>0</v>
      </c>
      <c r="M687" s="14">
        <v>0</v>
      </c>
      <c r="N687" s="14">
        <v>0</v>
      </c>
      <c r="O687" s="14">
        <v>0</v>
      </c>
      <c r="P687" s="14">
        <v>0</v>
      </c>
      <c r="Q687" s="14">
        <v>0</v>
      </c>
      <c r="R687" s="14">
        <v>0</v>
      </c>
      <c r="S687" s="14">
        <v>0</v>
      </c>
      <c r="T687" s="18">
        <v>0</v>
      </c>
      <c r="U687" s="14">
        <v>0.26654124899999998</v>
      </c>
      <c r="V687" s="41"/>
      <c r="W687" s="39">
        <f t="shared" si="162"/>
        <v>51.175919807999996</v>
      </c>
    </row>
    <row r="688" spans="1:29" ht="13" thickBot="1" x14ac:dyDescent="0.3">
      <c r="A688" s="7" t="s">
        <v>34</v>
      </c>
      <c r="B688" s="19" t="s">
        <v>20</v>
      </c>
      <c r="C688" s="20" t="s">
        <v>18</v>
      </c>
      <c r="D688" s="21">
        <v>0</v>
      </c>
      <c r="E688" s="21">
        <v>0</v>
      </c>
      <c r="F688" s="21">
        <v>0</v>
      </c>
      <c r="G688" s="21">
        <v>0</v>
      </c>
      <c r="H688" s="22">
        <v>1470</v>
      </c>
      <c r="I688" s="23">
        <v>1470</v>
      </c>
      <c r="J688" s="21">
        <v>0</v>
      </c>
      <c r="K688" s="21">
        <v>0</v>
      </c>
      <c r="L688" s="21">
        <v>0</v>
      </c>
      <c r="M688" s="21">
        <v>0</v>
      </c>
      <c r="N688" s="21">
        <v>0</v>
      </c>
      <c r="O688" s="21">
        <v>0</v>
      </c>
      <c r="P688" s="21">
        <v>0</v>
      </c>
      <c r="Q688" s="21">
        <v>0</v>
      </c>
      <c r="R688" s="21">
        <v>0</v>
      </c>
      <c r="S688" s="21">
        <v>0</v>
      </c>
      <c r="T688" s="24">
        <v>0</v>
      </c>
      <c r="U688" s="14">
        <v>0.26654124899999998</v>
      </c>
      <c r="V688" s="44"/>
      <c r="W688" s="39">
        <f t="shared" si="162"/>
        <v>391.81563602999995</v>
      </c>
    </row>
    <row r="689" spans="1:29" ht="13" thickBot="1" x14ac:dyDescent="0.3">
      <c r="A689" s="7" t="s">
        <v>34</v>
      </c>
      <c r="B689" s="25" t="s">
        <v>12</v>
      </c>
      <c r="C689" s="26" t="s">
        <v>18</v>
      </c>
      <c r="D689" s="27">
        <v>0</v>
      </c>
      <c r="E689" s="27">
        <v>48</v>
      </c>
      <c r="F689" s="27">
        <v>280</v>
      </c>
      <c r="G689" s="27">
        <v>235</v>
      </c>
      <c r="H689" s="28">
        <v>33989</v>
      </c>
      <c r="I689" s="29">
        <v>23455</v>
      </c>
      <c r="J689" s="27">
        <v>5013</v>
      </c>
      <c r="K689" s="27">
        <v>3397</v>
      </c>
      <c r="L689" s="27">
        <v>331</v>
      </c>
      <c r="M689" s="27">
        <v>1230</v>
      </c>
      <c r="N689" s="27">
        <v>0</v>
      </c>
      <c r="O689" s="27">
        <v>0</v>
      </c>
      <c r="P689" s="27">
        <v>0</v>
      </c>
      <c r="Q689" s="27">
        <v>0</v>
      </c>
      <c r="R689" s="27">
        <v>0</v>
      </c>
      <c r="S689" s="27">
        <v>0</v>
      </c>
      <c r="T689" s="29">
        <v>0</v>
      </c>
      <c r="U689" s="14">
        <v>0.26654124899999998</v>
      </c>
      <c r="V689" s="43">
        <f>SUM(I684:T687)/SUM(H684:H687)</f>
        <v>0.98257667192770715</v>
      </c>
      <c r="W689" s="39">
        <f t="shared" si="162"/>
        <v>8909.4077890739991</v>
      </c>
      <c r="X689" s="35">
        <f>W687+W684</f>
        <v>360.09722739899996</v>
      </c>
      <c r="Y689" s="35">
        <f>W682</f>
        <v>0</v>
      </c>
    </row>
    <row r="690" spans="1:29" x14ac:dyDescent="0.25">
      <c r="A690" s="7" t="s">
        <v>34</v>
      </c>
      <c r="B690" s="8" t="s">
        <v>17</v>
      </c>
      <c r="C690" s="9" t="s">
        <v>21</v>
      </c>
      <c r="D690" s="10">
        <v>0</v>
      </c>
      <c r="E690" s="10">
        <v>0</v>
      </c>
      <c r="F690" s="10">
        <v>0</v>
      </c>
      <c r="G690" s="10">
        <v>0</v>
      </c>
      <c r="H690" s="11">
        <v>0</v>
      </c>
      <c r="I690" s="12">
        <v>0</v>
      </c>
      <c r="J690" s="10">
        <v>0</v>
      </c>
      <c r="K690" s="10">
        <v>0</v>
      </c>
      <c r="L690" s="10">
        <v>0</v>
      </c>
      <c r="M690" s="10">
        <v>0</v>
      </c>
      <c r="N690" s="10">
        <v>0</v>
      </c>
      <c r="O690" s="10">
        <v>0</v>
      </c>
      <c r="P690" s="10">
        <v>0</v>
      </c>
      <c r="Q690" s="10">
        <v>0</v>
      </c>
      <c r="R690" s="10">
        <v>0</v>
      </c>
      <c r="S690" s="10">
        <v>0</v>
      </c>
      <c r="T690" s="13">
        <v>0</v>
      </c>
      <c r="U690" s="14">
        <v>0.26654124899999998</v>
      </c>
      <c r="W690" s="38">
        <f t="shared" ref="W690:W697" si="163">H690*U690</f>
        <v>0</v>
      </c>
      <c r="AB690" s="37" t="str">
        <f t="shared" ref="AB690:AB693" si="164">B690</f>
        <v>Parts-OTC</v>
      </c>
      <c r="AC690" s="36">
        <f t="shared" ref="AC690:AC693" si="165">I690*U690</f>
        <v>0</v>
      </c>
    </row>
    <row r="691" spans="1:29" x14ac:dyDescent="0.25">
      <c r="A691" s="7" t="s">
        <v>34</v>
      </c>
      <c r="B691" s="15" t="s">
        <v>66</v>
      </c>
      <c r="C691" s="7" t="s">
        <v>21</v>
      </c>
      <c r="D691" s="14">
        <v>0</v>
      </c>
      <c r="E691" s="14">
        <v>0</v>
      </c>
      <c r="F691" s="14">
        <v>0</v>
      </c>
      <c r="G691" s="14">
        <v>0</v>
      </c>
      <c r="H691" s="16">
        <v>0</v>
      </c>
      <c r="I691" s="17">
        <v>0</v>
      </c>
      <c r="J691" s="14">
        <v>0</v>
      </c>
      <c r="K691" s="14">
        <v>0</v>
      </c>
      <c r="L691" s="14">
        <v>0</v>
      </c>
      <c r="M691" s="14">
        <v>0</v>
      </c>
      <c r="N691" s="14">
        <v>0</v>
      </c>
      <c r="O691" s="14">
        <v>0</v>
      </c>
      <c r="P691" s="14">
        <v>0</v>
      </c>
      <c r="Q691" s="14">
        <v>0</v>
      </c>
      <c r="R691" s="14">
        <v>0</v>
      </c>
      <c r="S691" s="14">
        <v>0</v>
      </c>
      <c r="T691" s="18">
        <v>0</v>
      </c>
      <c r="U691" s="14">
        <v>0.26654124899999998</v>
      </c>
      <c r="W691" s="38">
        <f t="shared" si="163"/>
        <v>0</v>
      </c>
      <c r="AB691" s="37" t="str">
        <f t="shared" si="164"/>
        <v>CTKS</v>
      </c>
      <c r="AC691" s="36">
        <f t="shared" si="165"/>
        <v>0</v>
      </c>
    </row>
    <row r="692" spans="1:29" x14ac:dyDescent="0.25">
      <c r="A692" s="7" t="s">
        <v>34</v>
      </c>
      <c r="B692" s="15" t="s">
        <v>13</v>
      </c>
      <c r="C692" s="7" t="s">
        <v>21</v>
      </c>
      <c r="D692" s="14">
        <v>0</v>
      </c>
      <c r="E692" s="14">
        <v>0</v>
      </c>
      <c r="F692" s="14">
        <v>0</v>
      </c>
      <c r="G692" s="14">
        <v>0</v>
      </c>
      <c r="H692" s="16">
        <v>1279</v>
      </c>
      <c r="I692" s="33">
        <v>522</v>
      </c>
      <c r="J692" s="34">
        <v>289</v>
      </c>
      <c r="K692" s="34">
        <v>42</v>
      </c>
      <c r="L692" s="14">
        <v>51</v>
      </c>
      <c r="M692" s="14">
        <v>42</v>
      </c>
      <c r="N692" s="14">
        <v>52</v>
      </c>
      <c r="O692" s="14">
        <v>42</v>
      </c>
      <c r="P692" s="14">
        <v>51</v>
      </c>
      <c r="Q692" s="14">
        <v>163</v>
      </c>
      <c r="R692" s="14">
        <v>0</v>
      </c>
      <c r="S692" s="14">
        <v>0</v>
      </c>
      <c r="T692" s="18">
        <v>25</v>
      </c>
      <c r="U692" s="14">
        <v>0.26654124899999998</v>
      </c>
      <c r="W692" s="38">
        <f t="shared" si="163"/>
        <v>340.90625747099995</v>
      </c>
      <c r="AB692" s="37" t="str">
        <f t="shared" si="164"/>
        <v>Repair</v>
      </c>
      <c r="AC692" s="36">
        <f t="shared" si="165"/>
        <v>139.13453197799998</v>
      </c>
    </row>
    <row r="693" spans="1:29" x14ac:dyDescent="0.25">
      <c r="A693" s="7" t="s">
        <v>34</v>
      </c>
      <c r="B693" s="15" t="s">
        <v>67</v>
      </c>
      <c r="C693" s="7" t="s">
        <v>21</v>
      </c>
      <c r="D693" s="14">
        <v>0</v>
      </c>
      <c r="E693" s="14">
        <v>0</v>
      </c>
      <c r="F693" s="14">
        <v>0</v>
      </c>
      <c r="G693" s="14">
        <v>0</v>
      </c>
      <c r="H693" s="16">
        <v>6088</v>
      </c>
      <c r="I693" s="17">
        <v>1974</v>
      </c>
      <c r="J693" s="14">
        <v>1088</v>
      </c>
      <c r="K693" s="14">
        <v>676</v>
      </c>
      <c r="L693" s="14">
        <v>870</v>
      </c>
      <c r="M693" s="14">
        <v>641</v>
      </c>
      <c r="N693" s="14">
        <v>355</v>
      </c>
      <c r="O693" s="14">
        <v>89</v>
      </c>
      <c r="P693" s="14">
        <v>66</v>
      </c>
      <c r="Q693" s="14">
        <v>89</v>
      </c>
      <c r="R693" s="14">
        <v>23</v>
      </c>
      <c r="S693" s="14">
        <v>112</v>
      </c>
      <c r="T693" s="18">
        <v>105</v>
      </c>
      <c r="U693" s="14">
        <v>0.26654124899999998</v>
      </c>
      <c r="W693" s="38">
        <f t="shared" si="163"/>
        <v>1622.7031239119999</v>
      </c>
      <c r="AB693" s="37" t="str">
        <f t="shared" si="164"/>
        <v>Rental</v>
      </c>
      <c r="AC693" s="36">
        <f t="shared" si="165"/>
        <v>526.152425526</v>
      </c>
    </row>
    <row r="694" spans="1:29" x14ac:dyDescent="0.25">
      <c r="A694" s="7" t="s">
        <v>34</v>
      </c>
      <c r="B694" s="15" t="s">
        <v>73</v>
      </c>
      <c r="C694" s="7" t="s">
        <v>21</v>
      </c>
      <c r="D694" s="14">
        <v>0</v>
      </c>
      <c r="E694" s="14">
        <v>0</v>
      </c>
      <c r="F694" s="14">
        <v>0</v>
      </c>
      <c r="G694" s="14">
        <v>0</v>
      </c>
      <c r="H694" s="16">
        <v>2670</v>
      </c>
      <c r="I694" s="17">
        <v>535</v>
      </c>
      <c r="J694" s="14">
        <v>316</v>
      </c>
      <c r="K694" s="14">
        <v>994</v>
      </c>
      <c r="L694" s="14">
        <v>0</v>
      </c>
      <c r="M694" s="14">
        <v>0</v>
      </c>
      <c r="N694" s="14">
        <v>825</v>
      </c>
      <c r="O694" s="14">
        <v>0</v>
      </c>
      <c r="P694" s="14">
        <v>0</v>
      </c>
      <c r="Q694" s="14">
        <v>0</v>
      </c>
      <c r="R694" s="14">
        <v>0</v>
      </c>
      <c r="S694" s="14">
        <v>0</v>
      </c>
      <c r="T694" s="18">
        <v>0</v>
      </c>
      <c r="U694" s="14">
        <v>0.26654124899999998</v>
      </c>
      <c r="W694" s="38">
        <f t="shared" si="163"/>
        <v>711.66513482999994</v>
      </c>
      <c r="AB694" s="37"/>
    </row>
    <row r="695" spans="1:29" x14ac:dyDescent="0.25">
      <c r="A695" s="7" t="s">
        <v>34</v>
      </c>
      <c r="B695" s="15" t="s">
        <v>19</v>
      </c>
      <c r="C695" s="7" t="s">
        <v>21</v>
      </c>
      <c r="D695" s="14">
        <v>0</v>
      </c>
      <c r="E695" s="14">
        <v>0</v>
      </c>
      <c r="F695" s="14">
        <v>0</v>
      </c>
      <c r="G695" s="14">
        <v>0</v>
      </c>
      <c r="H695" s="16">
        <v>2090</v>
      </c>
      <c r="I695" s="17">
        <v>296</v>
      </c>
      <c r="J695" s="14">
        <v>265</v>
      </c>
      <c r="K695" s="14">
        <v>242</v>
      </c>
      <c r="L695" s="14">
        <v>223</v>
      </c>
      <c r="M695" s="14">
        <v>237</v>
      </c>
      <c r="N695" s="14">
        <v>181</v>
      </c>
      <c r="O695" s="14">
        <v>186</v>
      </c>
      <c r="P695" s="14">
        <v>173</v>
      </c>
      <c r="Q695" s="14">
        <v>168</v>
      </c>
      <c r="R695" s="14">
        <v>73</v>
      </c>
      <c r="S695" s="14">
        <v>36</v>
      </c>
      <c r="T695" s="18">
        <v>10</v>
      </c>
      <c r="U695" s="14">
        <v>0.26654124899999998</v>
      </c>
      <c r="W695" s="38">
        <f t="shared" si="163"/>
        <v>557.07121040999994</v>
      </c>
      <c r="AB695" s="37" t="str">
        <f t="shared" ref="AB695:AB696" si="166">B695</f>
        <v>Maintenance</v>
      </c>
      <c r="AC695" s="36">
        <f t="shared" ref="AC695:AC696" si="167">I695*U695</f>
        <v>78.896209704</v>
      </c>
    </row>
    <row r="696" spans="1:29" ht="13" thickBot="1" x14ac:dyDescent="0.3">
      <c r="A696" s="7" t="s">
        <v>34</v>
      </c>
      <c r="B696" s="19" t="s">
        <v>20</v>
      </c>
      <c r="C696" s="20" t="s">
        <v>21</v>
      </c>
      <c r="D696" s="21">
        <v>0</v>
      </c>
      <c r="E696" s="21">
        <v>0</v>
      </c>
      <c r="F696" s="21">
        <v>0</v>
      </c>
      <c r="G696" s="21">
        <v>0</v>
      </c>
      <c r="H696" s="22">
        <v>240</v>
      </c>
      <c r="I696" s="23">
        <v>14</v>
      </c>
      <c r="J696" s="21">
        <v>83</v>
      </c>
      <c r="K696" s="21">
        <v>22</v>
      </c>
      <c r="L696" s="21">
        <v>17</v>
      </c>
      <c r="M696" s="21">
        <v>17</v>
      </c>
      <c r="N696" s="21">
        <v>17</v>
      </c>
      <c r="O696" s="21">
        <v>0</v>
      </c>
      <c r="P696" s="21">
        <v>0</v>
      </c>
      <c r="Q696" s="21">
        <v>70</v>
      </c>
      <c r="R696" s="21">
        <v>0</v>
      </c>
      <c r="S696" s="21">
        <v>0</v>
      </c>
      <c r="T696" s="24">
        <v>0</v>
      </c>
      <c r="U696" s="14">
        <v>0.26654124899999998</v>
      </c>
      <c r="W696" s="38">
        <f t="shared" si="163"/>
        <v>63.969899759999997</v>
      </c>
      <c r="AB696" s="37" t="str">
        <f t="shared" si="166"/>
        <v>Startup</v>
      </c>
      <c r="AC696" s="36">
        <f t="shared" si="167"/>
        <v>3.7315774859999999</v>
      </c>
    </row>
    <row r="697" spans="1:29" ht="13" thickBot="1" x14ac:dyDescent="0.3">
      <c r="A697" s="20" t="s">
        <v>34</v>
      </c>
      <c r="B697" s="25" t="s">
        <v>12</v>
      </c>
      <c r="C697" s="26" t="s">
        <v>21</v>
      </c>
      <c r="D697" s="27">
        <v>0</v>
      </c>
      <c r="E697" s="27">
        <v>0</v>
      </c>
      <c r="F697" s="27">
        <v>0</v>
      </c>
      <c r="G697" s="27">
        <v>0</v>
      </c>
      <c r="H697" s="28">
        <v>12367</v>
      </c>
      <c r="I697" s="29">
        <v>3341</v>
      </c>
      <c r="J697" s="27">
        <v>2041</v>
      </c>
      <c r="K697" s="27">
        <v>1976</v>
      </c>
      <c r="L697" s="27">
        <v>1161</v>
      </c>
      <c r="M697" s="27">
        <v>937</v>
      </c>
      <c r="N697" s="27">
        <v>1430</v>
      </c>
      <c r="O697" s="27">
        <v>317</v>
      </c>
      <c r="P697" s="27">
        <v>290</v>
      </c>
      <c r="Q697" s="27">
        <v>490</v>
      </c>
      <c r="R697" s="27">
        <v>96</v>
      </c>
      <c r="S697" s="27">
        <v>148</v>
      </c>
      <c r="T697" s="29">
        <v>140</v>
      </c>
      <c r="U697" s="14">
        <v>0.26654124899999998</v>
      </c>
      <c r="W697" s="38">
        <f t="shared" si="163"/>
        <v>3296.3156263829997</v>
      </c>
      <c r="X697" s="35">
        <f>W696+W695+W692</f>
        <v>961.9473676409998</v>
      </c>
      <c r="Y697" s="35">
        <f>W690</f>
        <v>0</v>
      </c>
      <c r="Z697" s="40">
        <f>V688/X697</f>
        <v>0</v>
      </c>
      <c r="AA697" s="40">
        <f>IF((Y697=0),0,Y689/Y697)</f>
        <v>0</v>
      </c>
      <c r="AB697" s="48"/>
      <c r="AC697" s="48"/>
    </row>
    <row r="698" spans="1:29" ht="13" thickBot="1" x14ac:dyDescent="0.3">
      <c r="A698" s="9" t="s">
        <v>81</v>
      </c>
      <c r="B698" s="30" t="s">
        <v>15</v>
      </c>
      <c r="C698" s="31" t="s">
        <v>94</v>
      </c>
      <c r="D698" s="32" t="s">
        <v>47</v>
      </c>
      <c r="E698" s="53" t="s">
        <v>104</v>
      </c>
      <c r="F698" s="53" t="s">
        <v>105</v>
      </c>
      <c r="G698" s="53" t="s">
        <v>106</v>
      </c>
      <c r="H698" s="28" t="s">
        <v>12</v>
      </c>
      <c r="I698" s="54" t="s">
        <v>107</v>
      </c>
      <c r="J698" s="53" t="s">
        <v>108</v>
      </c>
      <c r="K698" s="53" t="s">
        <v>109</v>
      </c>
      <c r="L698" s="53" t="s">
        <v>110</v>
      </c>
      <c r="M698" s="53" t="s">
        <v>111</v>
      </c>
      <c r="N698" s="53" t="s">
        <v>115</v>
      </c>
      <c r="O698" s="53" t="s">
        <v>120</v>
      </c>
      <c r="P698" s="53" t="s">
        <v>121</v>
      </c>
      <c r="Q698" s="53" t="s">
        <v>164</v>
      </c>
      <c r="R698" s="53" t="s">
        <v>173</v>
      </c>
      <c r="S698" s="53" t="s">
        <v>177</v>
      </c>
      <c r="T698" s="55" t="s">
        <v>182</v>
      </c>
      <c r="U698" s="14">
        <v>0.67659999999999998</v>
      </c>
      <c r="V698" s="14" t="s">
        <v>183</v>
      </c>
      <c r="W698" s="35"/>
      <c r="X698" s="14" t="s">
        <v>37</v>
      </c>
      <c r="Y698" s="14" t="s">
        <v>38</v>
      </c>
      <c r="AB698" s="48"/>
      <c r="AC698" s="48"/>
    </row>
    <row r="699" spans="1:29" x14ac:dyDescent="0.25">
      <c r="A699" s="7" t="s">
        <v>81</v>
      </c>
      <c r="B699" s="8" t="s">
        <v>17</v>
      </c>
      <c r="C699" s="9" t="s">
        <v>18</v>
      </c>
      <c r="D699" s="10">
        <v>0</v>
      </c>
      <c r="E699" s="10">
        <v>0</v>
      </c>
      <c r="F699" s="10">
        <v>0</v>
      </c>
      <c r="G699" s="10">
        <v>0</v>
      </c>
      <c r="H699" s="11">
        <v>3</v>
      </c>
      <c r="I699" s="164">
        <v>3</v>
      </c>
      <c r="J699" s="10">
        <v>0</v>
      </c>
      <c r="K699" s="10">
        <v>0</v>
      </c>
      <c r="L699" s="10">
        <v>0</v>
      </c>
      <c r="M699" s="10">
        <v>0</v>
      </c>
      <c r="N699" s="10">
        <v>0</v>
      </c>
      <c r="O699" s="10">
        <v>0</v>
      </c>
      <c r="P699" s="10">
        <v>0</v>
      </c>
      <c r="Q699" s="10">
        <v>0</v>
      </c>
      <c r="R699" s="10">
        <v>0</v>
      </c>
      <c r="S699" s="10">
        <v>0</v>
      </c>
      <c r="T699" s="13">
        <v>0</v>
      </c>
      <c r="U699" s="14">
        <v>0.67659999999999998</v>
      </c>
      <c r="V699" s="42">
        <f>SUM(I699:T699)/H699</f>
        <v>1</v>
      </c>
      <c r="W699" s="39">
        <f>SUM(I699:T699)*U699</f>
        <v>2.0297999999999998</v>
      </c>
    </row>
    <row r="700" spans="1:29" x14ac:dyDescent="0.25">
      <c r="A700" s="7" t="s">
        <v>81</v>
      </c>
      <c r="B700" s="15" t="s">
        <v>66</v>
      </c>
      <c r="C700" s="7" t="s">
        <v>18</v>
      </c>
      <c r="D700" s="14">
        <v>81</v>
      </c>
      <c r="E700" s="14">
        <v>170</v>
      </c>
      <c r="F700" s="14">
        <v>137</v>
      </c>
      <c r="G700" s="14">
        <v>76</v>
      </c>
      <c r="H700" s="16">
        <v>2800</v>
      </c>
      <c r="I700" s="17">
        <v>323</v>
      </c>
      <c r="J700" s="14">
        <v>1391</v>
      </c>
      <c r="K700" s="14">
        <v>240</v>
      </c>
      <c r="L700" s="14">
        <v>215</v>
      </c>
      <c r="M700" s="14">
        <v>98</v>
      </c>
      <c r="N700" s="14">
        <v>69</v>
      </c>
      <c r="O700" s="14">
        <v>0</v>
      </c>
      <c r="P700" s="14">
        <v>0</v>
      </c>
      <c r="Q700" s="14">
        <v>0</v>
      </c>
      <c r="R700" s="14">
        <v>0</v>
      </c>
      <c r="S700" s="14">
        <v>0</v>
      </c>
      <c r="T700" s="18">
        <v>0</v>
      </c>
      <c r="U700" s="14">
        <v>0.67659999999999998</v>
      </c>
      <c r="V700" s="44"/>
      <c r="W700" s="39">
        <f t="shared" ref="W700:W706" si="168">SUM(I700:T700)*U700</f>
        <v>1580.5375999999999</v>
      </c>
    </row>
    <row r="701" spans="1:29" x14ac:dyDescent="0.25">
      <c r="A701" s="7" t="s">
        <v>81</v>
      </c>
      <c r="B701" s="15" t="s">
        <v>13</v>
      </c>
      <c r="C701" s="7" t="s">
        <v>18</v>
      </c>
      <c r="D701" s="14">
        <v>61</v>
      </c>
      <c r="E701" s="14">
        <v>147</v>
      </c>
      <c r="F701" s="14">
        <v>316</v>
      </c>
      <c r="G701" s="14">
        <v>228</v>
      </c>
      <c r="H701" s="16">
        <v>3646</v>
      </c>
      <c r="I701" s="17">
        <v>377</v>
      </c>
      <c r="J701" s="14">
        <v>1237</v>
      </c>
      <c r="K701" s="14">
        <v>588</v>
      </c>
      <c r="L701" s="14">
        <v>411</v>
      </c>
      <c r="M701" s="14">
        <v>246</v>
      </c>
      <c r="N701" s="14">
        <v>16</v>
      </c>
      <c r="O701" s="14">
        <v>0</v>
      </c>
      <c r="P701" s="14">
        <v>19</v>
      </c>
      <c r="Q701" s="14">
        <v>0</v>
      </c>
      <c r="R701" s="14">
        <v>0</v>
      </c>
      <c r="S701" s="14">
        <v>0</v>
      </c>
      <c r="T701" s="18">
        <v>0</v>
      </c>
      <c r="U701" s="14">
        <v>0.67659999999999998</v>
      </c>
      <c r="V701" s="41"/>
      <c r="W701" s="39">
        <f t="shared" si="168"/>
        <v>1958.0803999999998</v>
      </c>
    </row>
    <row r="702" spans="1:29" x14ac:dyDescent="0.25">
      <c r="A702" s="7" t="s">
        <v>81</v>
      </c>
      <c r="B702" s="15" t="s">
        <v>67</v>
      </c>
      <c r="C702" s="7" t="s">
        <v>18</v>
      </c>
      <c r="D702" s="14">
        <v>0</v>
      </c>
      <c r="E702" s="14">
        <v>47</v>
      </c>
      <c r="F702" s="14">
        <v>38</v>
      </c>
      <c r="G702" s="14">
        <v>7</v>
      </c>
      <c r="H702" s="16">
        <v>170</v>
      </c>
      <c r="I702" s="17">
        <v>60</v>
      </c>
      <c r="J702" s="14">
        <v>0</v>
      </c>
      <c r="K702" s="14">
        <v>0</v>
      </c>
      <c r="L702" s="14">
        <v>0</v>
      </c>
      <c r="M702" s="14">
        <v>0</v>
      </c>
      <c r="N702" s="14">
        <v>18</v>
      </c>
      <c r="O702" s="14">
        <v>0</v>
      </c>
      <c r="P702" s="14">
        <v>0</v>
      </c>
      <c r="Q702" s="14">
        <v>0</v>
      </c>
      <c r="R702" s="14">
        <v>0</v>
      </c>
      <c r="S702" s="14">
        <v>0</v>
      </c>
      <c r="T702" s="18">
        <v>0</v>
      </c>
      <c r="U702" s="14">
        <v>0.67659999999999998</v>
      </c>
      <c r="V702" s="41"/>
      <c r="W702" s="39">
        <f t="shared" si="168"/>
        <v>52.774799999999999</v>
      </c>
    </row>
    <row r="703" spans="1:29" x14ac:dyDescent="0.25">
      <c r="A703" s="7" t="s">
        <v>81</v>
      </c>
      <c r="B703" s="15" t="s">
        <v>73</v>
      </c>
      <c r="C703" s="7" t="s">
        <v>18</v>
      </c>
      <c r="D703" s="14">
        <v>0</v>
      </c>
      <c r="E703" s="14">
        <v>0</v>
      </c>
      <c r="F703" s="14">
        <v>26</v>
      </c>
      <c r="G703" s="14">
        <v>69</v>
      </c>
      <c r="H703" s="16">
        <v>3078</v>
      </c>
      <c r="I703" s="17">
        <v>131</v>
      </c>
      <c r="J703" s="14">
        <v>1415</v>
      </c>
      <c r="K703" s="14">
        <v>698</v>
      </c>
      <c r="L703" s="14">
        <v>402</v>
      </c>
      <c r="M703" s="14">
        <v>121</v>
      </c>
      <c r="N703" s="14">
        <v>0</v>
      </c>
      <c r="O703" s="14">
        <v>0</v>
      </c>
      <c r="P703" s="14">
        <v>0</v>
      </c>
      <c r="Q703" s="14">
        <v>69</v>
      </c>
      <c r="R703" s="14">
        <v>0</v>
      </c>
      <c r="S703" s="14">
        <v>147</v>
      </c>
      <c r="T703" s="18">
        <v>0</v>
      </c>
      <c r="U703" s="14">
        <v>0.67659999999999998</v>
      </c>
      <c r="V703" s="41"/>
      <c r="W703" s="39">
        <f t="shared" si="168"/>
        <v>2018.2977999999998</v>
      </c>
    </row>
    <row r="704" spans="1:29" x14ac:dyDescent="0.25">
      <c r="A704" s="7" t="s">
        <v>81</v>
      </c>
      <c r="B704" s="15" t="s">
        <v>19</v>
      </c>
      <c r="C704" s="7" t="s">
        <v>18</v>
      </c>
      <c r="D704" s="14">
        <v>38</v>
      </c>
      <c r="E704" s="14">
        <v>21</v>
      </c>
      <c r="F704" s="14">
        <v>139</v>
      </c>
      <c r="G704" s="14">
        <v>270</v>
      </c>
      <c r="H704" s="16">
        <v>1914</v>
      </c>
      <c r="I704" s="17">
        <v>240</v>
      </c>
      <c r="J704" s="14">
        <v>465</v>
      </c>
      <c r="K704" s="14">
        <v>401</v>
      </c>
      <c r="L704" s="14">
        <v>106</v>
      </c>
      <c r="M704" s="14">
        <v>20</v>
      </c>
      <c r="N704" s="14">
        <v>0</v>
      </c>
      <c r="O704" s="14">
        <v>20</v>
      </c>
      <c r="P704" s="14">
        <v>6</v>
      </c>
      <c r="Q704" s="14">
        <v>0</v>
      </c>
      <c r="R704" s="14">
        <v>12</v>
      </c>
      <c r="S704" s="14">
        <v>145</v>
      </c>
      <c r="T704" s="18">
        <v>31</v>
      </c>
      <c r="U704" s="14">
        <v>0.67659999999999998</v>
      </c>
      <c r="V704" s="41"/>
      <c r="W704" s="39">
        <f t="shared" si="168"/>
        <v>978.36360000000002</v>
      </c>
    </row>
    <row r="705" spans="1:29" ht="13" thickBot="1" x14ac:dyDescent="0.3">
      <c r="A705" s="7" t="s">
        <v>81</v>
      </c>
      <c r="B705" s="19" t="s">
        <v>20</v>
      </c>
      <c r="C705" s="20" t="s">
        <v>18</v>
      </c>
      <c r="D705" s="21">
        <v>0</v>
      </c>
      <c r="E705" s="21">
        <v>0</v>
      </c>
      <c r="F705" s="21">
        <v>0</v>
      </c>
      <c r="G705" s="21">
        <v>0</v>
      </c>
      <c r="H705" s="22">
        <v>0</v>
      </c>
      <c r="I705" s="23">
        <v>0</v>
      </c>
      <c r="J705" s="21">
        <v>0</v>
      </c>
      <c r="K705" s="21">
        <v>0</v>
      </c>
      <c r="L705" s="21">
        <v>0</v>
      </c>
      <c r="M705" s="21">
        <v>0</v>
      </c>
      <c r="N705" s="21">
        <v>0</v>
      </c>
      <c r="O705" s="21">
        <v>0</v>
      </c>
      <c r="P705" s="21">
        <v>0</v>
      </c>
      <c r="Q705" s="21">
        <v>0</v>
      </c>
      <c r="R705" s="21">
        <v>0</v>
      </c>
      <c r="S705" s="21">
        <v>0</v>
      </c>
      <c r="T705" s="24">
        <v>0</v>
      </c>
      <c r="U705" s="14">
        <v>0.67659999999999998</v>
      </c>
      <c r="V705" s="44"/>
      <c r="W705" s="39">
        <f t="shared" si="168"/>
        <v>0</v>
      </c>
    </row>
    <row r="706" spans="1:29" ht="13" thickBot="1" x14ac:dyDescent="0.3">
      <c r="A706" s="7" t="s">
        <v>81</v>
      </c>
      <c r="B706" s="25" t="s">
        <v>12</v>
      </c>
      <c r="C706" s="26" t="s">
        <v>18</v>
      </c>
      <c r="D706" s="27">
        <v>180</v>
      </c>
      <c r="E706" s="27">
        <v>385</v>
      </c>
      <c r="F706" s="27">
        <v>656</v>
      </c>
      <c r="G706" s="27">
        <v>650</v>
      </c>
      <c r="H706" s="28">
        <v>11611</v>
      </c>
      <c r="I706" s="29">
        <v>1134</v>
      </c>
      <c r="J706" s="27">
        <v>4508</v>
      </c>
      <c r="K706" s="27">
        <v>1927</v>
      </c>
      <c r="L706" s="27">
        <v>1134</v>
      </c>
      <c r="M706" s="27">
        <v>485</v>
      </c>
      <c r="N706" s="27">
        <v>103</v>
      </c>
      <c r="O706" s="27">
        <v>20</v>
      </c>
      <c r="P706" s="27">
        <v>25</v>
      </c>
      <c r="Q706" s="27">
        <v>69</v>
      </c>
      <c r="R706" s="27">
        <v>12</v>
      </c>
      <c r="S706" s="27">
        <v>292</v>
      </c>
      <c r="T706" s="29">
        <v>31</v>
      </c>
      <c r="U706" s="14">
        <v>0.67659999999999998</v>
      </c>
      <c r="V706" s="43">
        <f>SUM(I701:T704)/SUM(H701:H704)</f>
        <v>0.84025885558583102</v>
      </c>
      <c r="W706" s="39">
        <f t="shared" si="168"/>
        <v>6590.0839999999998</v>
      </c>
      <c r="X706" s="35">
        <f>W704+W701</f>
        <v>2936.444</v>
      </c>
      <c r="Y706" s="35">
        <f>W699</f>
        <v>2.0297999999999998</v>
      </c>
    </row>
    <row r="707" spans="1:29" x14ac:dyDescent="0.25">
      <c r="A707" s="7" t="s">
        <v>81</v>
      </c>
      <c r="B707" s="8" t="s">
        <v>17</v>
      </c>
      <c r="C707" s="9" t="s">
        <v>21</v>
      </c>
      <c r="D707" s="10">
        <v>0</v>
      </c>
      <c r="E707" s="10">
        <v>0</v>
      </c>
      <c r="F707" s="10">
        <v>0</v>
      </c>
      <c r="G707" s="10">
        <v>0</v>
      </c>
      <c r="H707" s="11">
        <v>84</v>
      </c>
      <c r="I707" s="12">
        <v>81</v>
      </c>
      <c r="J707" s="10">
        <v>3</v>
      </c>
      <c r="K707" s="10">
        <v>0</v>
      </c>
      <c r="L707" s="10">
        <v>0</v>
      </c>
      <c r="M707" s="10">
        <v>0</v>
      </c>
      <c r="N707" s="10">
        <v>0</v>
      </c>
      <c r="O707" s="10">
        <v>0</v>
      </c>
      <c r="P707" s="10">
        <v>0</v>
      </c>
      <c r="Q707" s="10">
        <v>0</v>
      </c>
      <c r="R707" s="10">
        <v>0</v>
      </c>
      <c r="S707" s="10">
        <v>0</v>
      </c>
      <c r="T707" s="13">
        <v>0</v>
      </c>
      <c r="U707" s="14">
        <v>0.67659999999999998</v>
      </c>
      <c r="W707" s="38">
        <f t="shared" ref="W707:W714" si="169">H707*U707</f>
        <v>56.834399999999995</v>
      </c>
      <c r="AB707" s="37" t="str">
        <f t="shared" ref="AB707:AB710" si="170">B707</f>
        <v>Parts-OTC</v>
      </c>
      <c r="AC707" s="36">
        <f t="shared" ref="AC707:AC710" si="171">I707*U707</f>
        <v>54.804600000000001</v>
      </c>
    </row>
    <row r="708" spans="1:29" x14ac:dyDescent="0.25">
      <c r="A708" s="7" t="s">
        <v>81</v>
      </c>
      <c r="B708" s="15" t="s">
        <v>66</v>
      </c>
      <c r="C708" s="7" t="s">
        <v>21</v>
      </c>
      <c r="D708" s="14">
        <v>0</v>
      </c>
      <c r="E708" s="14">
        <v>0</v>
      </c>
      <c r="F708" s="14">
        <v>0</v>
      </c>
      <c r="G708" s="14">
        <v>0</v>
      </c>
      <c r="H708" s="16">
        <v>28597</v>
      </c>
      <c r="I708" s="17">
        <v>368</v>
      </c>
      <c r="J708" s="14">
        <v>2260</v>
      </c>
      <c r="K708" s="14">
        <v>16063</v>
      </c>
      <c r="L708" s="14">
        <v>9362</v>
      </c>
      <c r="M708" s="14">
        <v>95</v>
      </c>
      <c r="N708" s="14">
        <v>449</v>
      </c>
      <c r="O708" s="14">
        <v>0</v>
      </c>
      <c r="P708" s="14">
        <v>0</v>
      </c>
      <c r="Q708" s="14">
        <v>0</v>
      </c>
      <c r="R708" s="14">
        <v>0</v>
      </c>
      <c r="S708" s="14">
        <v>0</v>
      </c>
      <c r="T708" s="18">
        <v>0</v>
      </c>
      <c r="U708" s="14">
        <v>0.67659999999999998</v>
      </c>
      <c r="W708" s="38">
        <f t="shared" si="169"/>
        <v>19348.730199999998</v>
      </c>
      <c r="AB708" s="37" t="str">
        <f t="shared" si="170"/>
        <v>CTKS</v>
      </c>
      <c r="AC708" s="36">
        <f t="shared" si="171"/>
        <v>248.9888</v>
      </c>
    </row>
    <row r="709" spans="1:29" x14ac:dyDescent="0.25">
      <c r="A709" s="7" t="s">
        <v>81</v>
      </c>
      <c r="B709" s="15" t="s">
        <v>13</v>
      </c>
      <c r="C709" s="7" t="s">
        <v>21</v>
      </c>
      <c r="D709" s="14">
        <v>0</v>
      </c>
      <c r="E709" s="14">
        <v>0</v>
      </c>
      <c r="F709" s="14">
        <v>0</v>
      </c>
      <c r="G709" s="14">
        <v>0</v>
      </c>
      <c r="H709" s="16">
        <v>4238</v>
      </c>
      <c r="I709" s="33">
        <v>1532</v>
      </c>
      <c r="J709" s="34">
        <v>1608</v>
      </c>
      <c r="K709" s="34">
        <v>446</v>
      </c>
      <c r="L709" s="14">
        <v>505</v>
      </c>
      <c r="M709" s="14">
        <v>117</v>
      </c>
      <c r="N709" s="14">
        <v>30</v>
      </c>
      <c r="O709" s="14">
        <v>0</v>
      </c>
      <c r="P709" s="14">
        <v>0</v>
      </c>
      <c r="Q709" s="14">
        <v>0</v>
      </c>
      <c r="R709" s="14">
        <v>0</v>
      </c>
      <c r="S709" s="14">
        <v>0</v>
      </c>
      <c r="T709" s="18">
        <v>0</v>
      </c>
      <c r="U709" s="14">
        <v>0.67659999999999998</v>
      </c>
      <c r="W709" s="38">
        <f t="shared" si="169"/>
        <v>2867.4308000000001</v>
      </c>
      <c r="AB709" s="37" t="str">
        <f t="shared" si="170"/>
        <v>Repair</v>
      </c>
      <c r="AC709" s="36">
        <f t="shared" si="171"/>
        <v>1036.5511999999999</v>
      </c>
    </row>
    <row r="710" spans="1:29" x14ac:dyDescent="0.25">
      <c r="A710" s="7" t="s">
        <v>81</v>
      </c>
      <c r="B710" s="15" t="s">
        <v>67</v>
      </c>
      <c r="C710" s="7" t="s">
        <v>21</v>
      </c>
      <c r="D710" s="14">
        <v>0</v>
      </c>
      <c r="E710" s="14">
        <v>0</v>
      </c>
      <c r="F710" s="14">
        <v>0</v>
      </c>
      <c r="G710" s="14">
        <v>0</v>
      </c>
      <c r="H710" s="16">
        <v>2064</v>
      </c>
      <c r="I710" s="17">
        <v>542</v>
      </c>
      <c r="J710" s="14">
        <v>535</v>
      </c>
      <c r="K710" s="14">
        <v>306</v>
      </c>
      <c r="L710" s="14">
        <v>171</v>
      </c>
      <c r="M710" s="14">
        <v>132</v>
      </c>
      <c r="N710" s="14">
        <v>130</v>
      </c>
      <c r="O710" s="14">
        <v>62</v>
      </c>
      <c r="P710" s="14">
        <v>52</v>
      </c>
      <c r="Q710" s="14">
        <v>41</v>
      </c>
      <c r="R710" s="14">
        <v>31</v>
      </c>
      <c r="S710" s="14">
        <v>32</v>
      </c>
      <c r="T710" s="18">
        <v>30</v>
      </c>
      <c r="U710" s="14">
        <v>0.67659999999999998</v>
      </c>
      <c r="W710" s="38">
        <f t="shared" si="169"/>
        <v>1396.5023999999999</v>
      </c>
      <c r="AB710" s="37" t="str">
        <f t="shared" si="170"/>
        <v>Rental</v>
      </c>
      <c r="AC710" s="36">
        <f t="shared" si="171"/>
        <v>366.71719999999999</v>
      </c>
    </row>
    <row r="711" spans="1:29" x14ac:dyDescent="0.25">
      <c r="A711" s="7" t="s">
        <v>81</v>
      </c>
      <c r="B711" s="15" t="s">
        <v>73</v>
      </c>
      <c r="C711" s="7" t="s">
        <v>21</v>
      </c>
      <c r="D711" s="14">
        <v>0</v>
      </c>
      <c r="E711" s="14">
        <v>0</v>
      </c>
      <c r="F711" s="14">
        <v>0</v>
      </c>
      <c r="G711" s="14">
        <v>0</v>
      </c>
      <c r="H711" s="16">
        <v>2191</v>
      </c>
      <c r="I711" s="17">
        <v>20</v>
      </c>
      <c r="J711" s="14">
        <v>544</v>
      </c>
      <c r="K711" s="14">
        <v>890</v>
      </c>
      <c r="L711" s="14">
        <v>295</v>
      </c>
      <c r="M711" s="14">
        <v>18</v>
      </c>
      <c r="N711" s="14">
        <v>95</v>
      </c>
      <c r="O711" s="14">
        <v>107</v>
      </c>
      <c r="P711" s="14">
        <v>222</v>
      </c>
      <c r="Q711" s="14">
        <v>0</v>
      </c>
      <c r="R711" s="14">
        <v>0</v>
      </c>
      <c r="S711" s="14">
        <v>0</v>
      </c>
      <c r="T711" s="18">
        <v>0</v>
      </c>
      <c r="U711" s="14">
        <v>0.67659999999999998</v>
      </c>
      <c r="W711" s="38">
        <f t="shared" si="169"/>
        <v>1482.4305999999999</v>
      </c>
      <c r="AB711" s="37"/>
    </row>
    <row r="712" spans="1:29" x14ac:dyDescent="0.25">
      <c r="A712" s="7" t="s">
        <v>81</v>
      </c>
      <c r="B712" s="15" t="s">
        <v>19</v>
      </c>
      <c r="C712" s="7" t="s">
        <v>21</v>
      </c>
      <c r="D712" s="14">
        <v>0</v>
      </c>
      <c r="E712" s="14">
        <v>0</v>
      </c>
      <c r="F712" s="14">
        <v>0</v>
      </c>
      <c r="G712" s="14">
        <v>0</v>
      </c>
      <c r="H712" s="16">
        <v>6090</v>
      </c>
      <c r="I712" s="17">
        <v>782</v>
      </c>
      <c r="J712" s="14">
        <v>895</v>
      </c>
      <c r="K712" s="14">
        <v>934</v>
      </c>
      <c r="L712" s="14">
        <v>644</v>
      </c>
      <c r="M712" s="14">
        <v>507</v>
      </c>
      <c r="N712" s="14">
        <v>725</v>
      </c>
      <c r="O712" s="14">
        <v>448</v>
      </c>
      <c r="P712" s="14">
        <v>347</v>
      </c>
      <c r="Q712" s="14">
        <v>429</v>
      </c>
      <c r="R712" s="14">
        <v>206</v>
      </c>
      <c r="S712" s="14">
        <v>122</v>
      </c>
      <c r="T712" s="18">
        <v>51</v>
      </c>
      <c r="U712" s="14">
        <v>0.67659999999999998</v>
      </c>
      <c r="W712" s="38">
        <f t="shared" si="169"/>
        <v>4120.4939999999997</v>
      </c>
      <c r="AB712" s="37" t="str">
        <f t="shared" ref="AB712:AB713" si="172">B712</f>
        <v>Maintenance</v>
      </c>
      <c r="AC712" s="36">
        <f t="shared" ref="AC712:AC713" si="173">I712*U712</f>
        <v>529.10119999999995</v>
      </c>
    </row>
    <row r="713" spans="1:29" ht="13" thickBot="1" x14ac:dyDescent="0.3">
      <c r="A713" s="7" t="s">
        <v>81</v>
      </c>
      <c r="B713" s="19" t="s">
        <v>20</v>
      </c>
      <c r="C713" s="20" t="s">
        <v>21</v>
      </c>
      <c r="D713" s="21">
        <v>0</v>
      </c>
      <c r="E713" s="21">
        <v>0</v>
      </c>
      <c r="F713" s="21">
        <v>0</v>
      </c>
      <c r="G713" s="21">
        <v>0</v>
      </c>
      <c r="H713" s="22">
        <v>1581</v>
      </c>
      <c r="I713" s="23">
        <v>178</v>
      </c>
      <c r="J713" s="21">
        <v>479</v>
      </c>
      <c r="K713" s="21">
        <v>795</v>
      </c>
      <c r="L713" s="21">
        <v>29</v>
      </c>
      <c r="M713" s="21">
        <v>0</v>
      </c>
      <c r="N713" s="21">
        <v>14</v>
      </c>
      <c r="O713" s="21">
        <v>74</v>
      </c>
      <c r="P713" s="21">
        <v>0</v>
      </c>
      <c r="Q713" s="21">
        <v>0</v>
      </c>
      <c r="R713" s="21">
        <v>0</v>
      </c>
      <c r="S713" s="21">
        <v>12</v>
      </c>
      <c r="T713" s="24">
        <v>0</v>
      </c>
      <c r="U713" s="14">
        <v>0.67659999999999998</v>
      </c>
      <c r="W713" s="38">
        <f t="shared" si="169"/>
        <v>1069.7046</v>
      </c>
      <c r="AB713" s="37" t="str">
        <f t="shared" si="172"/>
        <v>Startup</v>
      </c>
      <c r="AC713" s="36">
        <f t="shared" si="173"/>
        <v>120.4348</v>
      </c>
    </row>
    <row r="714" spans="1:29" ht="13" thickBot="1" x14ac:dyDescent="0.3">
      <c r="A714" s="20" t="s">
        <v>81</v>
      </c>
      <c r="B714" s="25" t="s">
        <v>12</v>
      </c>
      <c r="C714" s="26" t="s">
        <v>21</v>
      </c>
      <c r="D714" s="27">
        <v>0</v>
      </c>
      <c r="E714" s="27">
        <v>0</v>
      </c>
      <c r="F714" s="27">
        <v>0</v>
      </c>
      <c r="G714" s="27">
        <v>0</v>
      </c>
      <c r="H714" s="28">
        <v>44845</v>
      </c>
      <c r="I714" s="29">
        <v>3503</v>
      </c>
      <c r="J714" s="27">
        <v>6324</v>
      </c>
      <c r="K714" s="27">
        <v>19434</v>
      </c>
      <c r="L714" s="27">
        <v>11006</v>
      </c>
      <c r="M714" s="27">
        <v>869</v>
      </c>
      <c r="N714" s="27">
        <v>1443</v>
      </c>
      <c r="O714" s="27">
        <v>691</v>
      </c>
      <c r="P714" s="27">
        <v>621</v>
      </c>
      <c r="Q714" s="27">
        <v>470</v>
      </c>
      <c r="R714" s="27">
        <v>237</v>
      </c>
      <c r="S714" s="27">
        <v>166</v>
      </c>
      <c r="T714" s="29">
        <v>81</v>
      </c>
      <c r="U714" s="14">
        <v>0.67659999999999998</v>
      </c>
      <c r="W714" s="38">
        <f t="shared" si="169"/>
        <v>30342.127</v>
      </c>
      <c r="X714" s="35">
        <f>W713+W712+W709</f>
        <v>8057.6293999999998</v>
      </c>
      <c r="Y714" s="35">
        <f>W707</f>
        <v>56.834399999999995</v>
      </c>
      <c r="Z714" s="40">
        <f>V705/X714</f>
        <v>0</v>
      </c>
      <c r="AA714" s="40">
        <f>IF((Y714=0),0,Y706/Y714)</f>
        <v>3.5714285714285712E-2</v>
      </c>
      <c r="AB714" s="48"/>
      <c r="AC714" s="48"/>
    </row>
    <row r="715" spans="1:29" ht="13" thickBot="1" x14ac:dyDescent="0.3">
      <c r="A715" s="9" t="s">
        <v>82</v>
      </c>
      <c r="B715" s="30" t="s">
        <v>15</v>
      </c>
      <c r="C715" s="31" t="s">
        <v>94</v>
      </c>
      <c r="D715" s="32" t="s">
        <v>47</v>
      </c>
      <c r="E715" s="53" t="s">
        <v>104</v>
      </c>
      <c r="F715" s="53" t="s">
        <v>105</v>
      </c>
      <c r="G715" s="53" t="s">
        <v>106</v>
      </c>
      <c r="H715" s="28" t="s">
        <v>12</v>
      </c>
      <c r="I715" s="54" t="s">
        <v>107</v>
      </c>
      <c r="J715" s="53" t="s">
        <v>108</v>
      </c>
      <c r="K715" s="53" t="s">
        <v>109</v>
      </c>
      <c r="L715" s="53" t="s">
        <v>110</v>
      </c>
      <c r="M715" s="53" t="s">
        <v>111</v>
      </c>
      <c r="N715" s="53" t="s">
        <v>115</v>
      </c>
      <c r="O715" s="53" t="s">
        <v>120</v>
      </c>
      <c r="P715" s="53" t="s">
        <v>121</v>
      </c>
      <c r="Q715" s="53" t="s">
        <v>164</v>
      </c>
      <c r="R715" s="53" t="s">
        <v>173</v>
      </c>
      <c r="S715" s="53" t="s">
        <v>177</v>
      </c>
      <c r="T715" s="55" t="s">
        <v>182</v>
      </c>
      <c r="U715" s="14">
        <v>0.63439999999999996</v>
      </c>
      <c r="V715" s="14" t="s">
        <v>183</v>
      </c>
      <c r="W715" s="35"/>
      <c r="X715" s="14" t="s">
        <v>37</v>
      </c>
      <c r="Y715" s="14" t="s">
        <v>38</v>
      </c>
      <c r="AB715" s="48"/>
      <c r="AC715" s="48"/>
    </row>
    <row r="716" spans="1:29" x14ac:dyDescent="0.25">
      <c r="A716" s="7" t="s">
        <v>82</v>
      </c>
      <c r="B716" s="8" t="s">
        <v>17</v>
      </c>
      <c r="C716" s="9" t="s">
        <v>18</v>
      </c>
      <c r="D716" s="10">
        <v>0</v>
      </c>
      <c r="E716" s="10">
        <v>0</v>
      </c>
      <c r="F716" s="10">
        <v>0</v>
      </c>
      <c r="G716" s="10">
        <v>0</v>
      </c>
      <c r="H716" s="11">
        <v>236</v>
      </c>
      <c r="I716" s="164">
        <v>0</v>
      </c>
      <c r="J716" s="10">
        <v>66</v>
      </c>
      <c r="K716" s="10">
        <v>145</v>
      </c>
      <c r="L716" s="10">
        <v>25</v>
      </c>
      <c r="M716" s="10">
        <v>0</v>
      </c>
      <c r="N716" s="10">
        <v>0</v>
      </c>
      <c r="O716" s="10">
        <v>0</v>
      </c>
      <c r="P716" s="10">
        <v>0</v>
      </c>
      <c r="Q716" s="10">
        <v>0</v>
      </c>
      <c r="R716" s="10">
        <v>0</v>
      </c>
      <c r="S716" s="10">
        <v>0</v>
      </c>
      <c r="T716" s="13">
        <v>0</v>
      </c>
      <c r="U716" s="14">
        <v>0.63439999999999996</v>
      </c>
      <c r="V716" s="42">
        <f>SUM(I716:T716)/H716</f>
        <v>1</v>
      </c>
      <c r="W716" s="39">
        <f>SUM(I716:T716)*U716</f>
        <v>149.7184</v>
      </c>
    </row>
    <row r="717" spans="1:29" x14ac:dyDescent="0.25">
      <c r="A717" s="7" t="s">
        <v>82</v>
      </c>
      <c r="B717" s="15" t="s">
        <v>66</v>
      </c>
      <c r="C717" s="7" t="s">
        <v>18</v>
      </c>
      <c r="D717" s="14">
        <v>0</v>
      </c>
      <c r="E717" s="14">
        <v>0</v>
      </c>
      <c r="F717" s="14">
        <v>0</v>
      </c>
      <c r="G717" s="14">
        <v>0</v>
      </c>
      <c r="H717" s="16">
        <v>144</v>
      </c>
      <c r="I717" s="17">
        <v>0</v>
      </c>
      <c r="J717" s="14">
        <v>3</v>
      </c>
      <c r="K717" s="14">
        <v>11</v>
      </c>
      <c r="L717" s="14">
        <v>45</v>
      </c>
      <c r="M717" s="14">
        <v>53</v>
      </c>
      <c r="N717" s="14">
        <v>6</v>
      </c>
      <c r="O717" s="14">
        <v>26</v>
      </c>
      <c r="P717" s="14">
        <v>0</v>
      </c>
      <c r="Q717" s="14">
        <v>0</v>
      </c>
      <c r="R717" s="14">
        <v>0</v>
      </c>
      <c r="S717" s="14">
        <v>0</v>
      </c>
      <c r="T717" s="18">
        <v>0</v>
      </c>
      <c r="U717" s="14">
        <v>0.63439999999999996</v>
      </c>
      <c r="V717" s="44"/>
      <c r="W717" s="39">
        <f t="shared" ref="W717:W723" si="174">SUM(I717:T717)*U717</f>
        <v>91.3536</v>
      </c>
    </row>
    <row r="718" spans="1:29" x14ac:dyDescent="0.25">
      <c r="A718" s="7" t="s">
        <v>82</v>
      </c>
      <c r="B718" s="15" t="s">
        <v>13</v>
      </c>
      <c r="C718" s="7" t="s">
        <v>18</v>
      </c>
      <c r="D718" s="14">
        <v>0</v>
      </c>
      <c r="E718" s="14">
        <v>0</v>
      </c>
      <c r="F718" s="14">
        <v>0</v>
      </c>
      <c r="G718" s="14">
        <v>28</v>
      </c>
      <c r="H718" s="16">
        <v>31</v>
      </c>
      <c r="I718" s="17">
        <v>3</v>
      </c>
      <c r="J718" s="14">
        <v>0</v>
      </c>
      <c r="K718" s="14">
        <v>0</v>
      </c>
      <c r="L718" s="14">
        <v>0</v>
      </c>
      <c r="M718" s="14">
        <v>0</v>
      </c>
      <c r="N718" s="14">
        <v>0</v>
      </c>
      <c r="O718" s="14">
        <v>0</v>
      </c>
      <c r="P718" s="14">
        <v>0</v>
      </c>
      <c r="Q718" s="14">
        <v>0</v>
      </c>
      <c r="R718" s="14">
        <v>0</v>
      </c>
      <c r="S718" s="14">
        <v>0</v>
      </c>
      <c r="T718" s="18">
        <v>0</v>
      </c>
      <c r="U718" s="14">
        <v>0.63439999999999996</v>
      </c>
      <c r="V718" s="41"/>
      <c r="W718" s="39">
        <f t="shared" si="174"/>
        <v>1.9032</v>
      </c>
    </row>
    <row r="719" spans="1:29" x14ac:dyDescent="0.25">
      <c r="A719" s="7" t="s">
        <v>82</v>
      </c>
      <c r="B719" s="15" t="s">
        <v>67</v>
      </c>
      <c r="C719" s="7" t="s">
        <v>18</v>
      </c>
      <c r="D719" s="14">
        <v>0</v>
      </c>
      <c r="E719" s="14">
        <v>0</v>
      </c>
      <c r="F719" s="14">
        <v>0</v>
      </c>
      <c r="G719" s="14">
        <v>0</v>
      </c>
      <c r="H719" s="16">
        <v>0</v>
      </c>
      <c r="I719" s="17">
        <v>0</v>
      </c>
      <c r="J719" s="14">
        <v>0</v>
      </c>
      <c r="K719" s="14">
        <v>0</v>
      </c>
      <c r="L719" s="14">
        <v>0</v>
      </c>
      <c r="M719" s="14">
        <v>0</v>
      </c>
      <c r="N719" s="14">
        <v>0</v>
      </c>
      <c r="O719" s="14">
        <v>0</v>
      </c>
      <c r="P719" s="14">
        <v>0</v>
      </c>
      <c r="Q719" s="14">
        <v>0</v>
      </c>
      <c r="R719" s="14">
        <v>0</v>
      </c>
      <c r="S719" s="14">
        <v>0</v>
      </c>
      <c r="T719" s="18">
        <v>0</v>
      </c>
      <c r="U719" s="14">
        <v>0.63439999999999996</v>
      </c>
      <c r="V719" s="41"/>
      <c r="W719" s="39">
        <f t="shared" si="174"/>
        <v>0</v>
      </c>
    </row>
    <row r="720" spans="1:29" x14ac:dyDescent="0.25">
      <c r="A720" s="7" t="s">
        <v>82</v>
      </c>
      <c r="B720" s="15" t="s">
        <v>73</v>
      </c>
      <c r="C720" s="7" t="s">
        <v>18</v>
      </c>
      <c r="D720" s="14">
        <v>0</v>
      </c>
      <c r="E720" s="14">
        <v>0</v>
      </c>
      <c r="F720" s="14">
        <v>0</v>
      </c>
      <c r="G720" s="14">
        <v>0</v>
      </c>
      <c r="H720" s="16">
        <v>57</v>
      </c>
      <c r="I720" s="17">
        <v>7</v>
      </c>
      <c r="J720" s="14">
        <v>4</v>
      </c>
      <c r="K720" s="14">
        <v>0</v>
      </c>
      <c r="L720" s="14">
        <v>20</v>
      </c>
      <c r="M720" s="14">
        <v>24</v>
      </c>
      <c r="N720" s="14">
        <v>2</v>
      </c>
      <c r="O720" s="14">
        <v>0</v>
      </c>
      <c r="P720" s="14">
        <v>0</v>
      </c>
      <c r="Q720" s="14">
        <v>0</v>
      </c>
      <c r="R720" s="14">
        <v>0</v>
      </c>
      <c r="S720" s="14">
        <v>0</v>
      </c>
      <c r="T720" s="18">
        <v>0</v>
      </c>
      <c r="U720" s="14">
        <v>0.63439999999999996</v>
      </c>
      <c r="V720" s="41"/>
      <c r="W720" s="39">
        <f t="shared" si="174"/>
        <v>36.160799999999995</v>
      </c>
    </row>
    <row r="721" spans="1:29" x14ac:dyDescent="0.25">
      <c r="A721" s="7" t="s">
        <v>82</v>
      </c>
      <c r="B721" s="15" t="s">
        <v>19</v>
      </c>
      <c r="C721" s="7" t="s">
        <v>18</v>
      </c>
      <c r="D721" s="14">
        <v>0</v>
      </c>
      <c r="E721" s="14">
        <v>0</v>
      </c>
      <c r="F721" s="14">
        <v>0</v>
      </c>
      <c r="G721" s="14">
        <v>0</v>
      </c>
      <c r="H721" s="16">
        <v>1033</v>
      </c>
      <c r="I721" s="17">
        <v>100</v>
      </c>
      <c r="J721" s="14">
        <v>9</v>
      </c>
      <c r="K721" s="14">
        <v>18</v>
      </c>
      <c r="L721" s="14">
        <v>898</v>
      </c>
      <c r="M721" s="14">
        <v>0</v>
      </c>
      <c r="N721" s="14">
        <v>0</v>
      </c>
      <c r="O721" s="14">
        <v>0</v>
      </c>
      <c r="P721" s="14">
        <v>0</v>
      </c>
      <c r="Q721" s="14">
        <v>0</v>
      </c>
      <c r="R721" s="14">
        <v>0</v>
      </c>
      <c r="S721" s="14">
        <v>8</v>
      </c>
      <c r="T721" s="18">
        <v>0</v>
      </c>
      <c r="U721" s="14">
        <v>0.63439999999999996</v>
      </c>
      <c r="V721" s="41"/>
      <c r="W721" s="39">
        <f t="shared" si="174"/>
        <v>655.33519999999999</v>
      </c>
    </row>
    <row r="722" spans="1:29" ht="13" thickBot="1" x14ac:dyDescent="0.3">
      <c r="A722" s="7" t="s">
        <v>82</v>
      </c>
      <c r="B722" s="19" t="s">
        <v>20</v>
      </c>
      <c r="C722" s="20" t="s">
        <v>18</v>
      </c>
      <c r="D722" s="21">
        <v>0</v>
      </c>
      <c r="E722" s="21">
        <v>0</v>
      </c>
      <c r="F722" s="21">
        <v>0</v>
      </c>
      <c r="G722" s="21">
        <v>0</v>
      </c>
      <c r="H722" s="22">
        <v>7</v>
      </c>
      <c r="I722" s="23">
        <v>0</v>
      </c>
      <c r="J722" s="21">
        <v>0</v>
      </c>
      <c r="K722" s="21">
        <v>0</v>
      </c>
      <c r="L722" s="21">
        <v>0</v>
      </c>
      <c r="M722" s="21">
        <v>0</v>
      </c>
      <c r="N722" s="21">
        <v>0</v>
      </c>
      <c r="O722" s="21">
        <v>0</v>
      </c>
      <c r="P722" s="21">
        <v>7</v>
      </c>
      <c r="Q722" s="21">
        <v>0</v>
      </c>
      <c r="R722" s="21">
        <v>0</v>
      </c>
      <c r="S722" s="21">
        <v>0</v>
      </c>
      <c r="T722" s="24">
        <v>0</v>
      </c>
      <c r="U722" s="14">
        <v>0.63439999999999996</v>
      </c>
      <c r="V722" s="44"/>
      <c r="W722" s="39">
        <f t="shared" si="174"/>
        <v>4.4407999999999994</v>
      </c>
    </row>
    <row r="723" spans="1:29" ht="13" thickBot="1" x14ac:dyDescent="0.3">
      <c r="A723" s="7" t="s">
        <v>82</v>
      </c>
      <c r="B723" s="25" t="s">
        <v>12</v>
      </c>
      <c r="C723" s="26" t="s">
        <v>18</v>
      </c>
      <c r="D723" s="27">
        <v>0</v>
      </c>
      <c r="E723" s="27">
        <v>0</v>
      </c>
      <c r="F723" s="27">
        <v>0</v>
      </c>
      <c r="G723" s="27">
        <v>28</v>
      </c>
      <c r="H723" s="28">
        <v>1508</v>
      </c>
      <c r="I723" s="29">
        <v>110</v>
      </c>
      <c r="J723" s="27">
        <v>82</v>
      </c>
      <c r="K723" s="27">
        <v>174</v>
      </c>
      <c r="L723" s="27">
        <v>988</v>
      </c>
      <c r="M723" s="27">
        <v>77</v>
      </c>
      <c r="N723" s="27">
        <v>8</v>
      </c>
      <c r="O723" s="27">
        <v>26</v>
      </c>
      <c r="P723" s="27">
        <v>7</v>
      </c>
      <c r="Q723" s="27">
        <v>0</v>
      </c>
      <c r="R723" s="27">
        <v>0</v>
      </c>
      <c r="S723" s="27">
        <v>8</v>
      </c>
      <c r="T723" s="29">
        <v>0</v>
      </c>
      <c r="U723" s="14">
        <v>0.63439999999999996</v>
      </c>
      <c r="V723" s="43">
        <f>SUM(I718:T721)/SUM(H718:H721)</f>
        <v>0.97502230151650315</v>
      </c>
      <c r="W723" s="39">
        <f t="shared" si="174"/>
        <v>938.91199999999992</v>
      </c>
      <c r="X723" s="35">
        <f>W721+W718</f>
        <v>657.23839999999996</v>
      </c>
      <c r="Y723" s="35">
        <f>W716</f>
        <v>149.7184</v>
      </c>
    </row>
    <row r="724" spans="1:29" x14ac:dyDescent="0.25">
      <c r="A724" s="7" t="s">
        <v>82</v>
      </c>
      <c r="B724" s="8" t="s">
        <v>17</v>
      </c>
      <c r="C724" s="9" t="s">
        <v>21</v>
      </c>
      <c r="D724" s="10">
        <v>0</v>
      </c>
      <c r="E724" s="10">
        <v>0</v>
      </c>
      <c r="F724" s="10">
        <v>0</v>
      </c>
      <c r="G724" s="10">
        <v>0</v>
      </c>
      <c r="H724" s="11">
        <v>129</v>
      </c>
      <c r="I724" s="12">
        <v>62</v>
      </c>
      <c r="J724" s="10">
        <v>21</v>
      </c>
      <c r="K724" s="10">
        <v>46</v>
      </c>
      <c r="L724" s="10">
        <v>0</v>
      </c>
      <c r="M724" s="10">
        <v>0</v>
      </c>
      <c r="N724" s="10">
        <v>0</v>
      </c>
      <c r="O724" s="10">
        <v>0</v>
      </c>
      <c r="P724" s="10">
        <v>0</v>
      </c>
      <c r="Q724" s="10">
        <v>0</v>
      </c>
      <c r="R724" s="10">
        <v>0</v>
      </c>
      <c r="S724" s="10">
        <v>0</v>
      </c>
      <c r="T724" s="13">
        <v>0</v>
      </c>
      <c r="U724" s="14">
        <v>0.63439999999999996</v>
      </c>
      <c r="W724" s="38">
        <f t="shared" ref="W724:W731" si="175">H724*U724</f>
        <v>81.837599999999995</v>
      </c>
      <c r="AB724" s="37" t="str">
        <f t="shared" ref="AB724:AB727" si="176">B724</f>
        <v>Parts-OTC</v>
      </c>
      <c r="AC724" s="36">
        <f t="shared" ref="AC724:AC727" si="177">I724*U724</f>
        <v>39.332799999999999</v>
      </c>
    </row>
    <row r="725" spans="1:29" x14ac:dyDescent="0.25">
      <c r="A725" s="7" t="s">
        <v>82</v>
      </c>
      <c r="B725" s="15" t="s">
        <v>66</v>
      </c>
      <c r="C725" s="7" t="s">
        <v>21</v>
      </c>
      <c r="D725" s="14">
        <v>0</v>
      </c>
      <c r="E725" s="14">
        <v>0</v>
      </c>
      <c r="F725" s="14">
        <v>0</v>
      </c>
      <c r="G725" s="14">
        <v>0</v>
      </c>
      <c r="H725" s="16">
        <v>164</v>
      </c>
      <c r="I725" s="17">
        <v>127</v>
      </c>
      <c r="J725" s="14">
        <v>0</v>
      </c>
      <c r="K725" s="14">
        <v>0</v>
      </c>
      <c r="L725" s="14">
        <v>1</v>
      </c>
      <c r="M725" s="14">
        <v>2</v>
      </c>
      <c r="N725" s="14">
        <v>20</v>
      </c>
      <c r="O725" s="14">
        <v>0</v>
      </c>
      <c r="P725" s="14">
        <v>0</v>
      </c>
      <c r="Q725" s="14">
        <v>0</v>
      </c>
      <c r="R725" s="14">
        <v>0</v>
      </c>
      <c r="S725" s="14">
        <v>14</v>
      </c>
      <c r="T725" s="18">
        <v>0</v>
      </c>
      <c r="U725" s="14">
        <v>0.63439999999999996</v>
      </c>
      <c r="W725" s="38">
        <f t="shared" si="175"/>
        <v>104.04159999999999</v>
      </c>
      <c r="AB725" s="37" t="str">
        <f t="shared" si="176"/>
        <v>CTKS</v>
      </c>
      <c r="AC725" s="36">
        <f t="shared" si="177"/>
        <v>80.568799999999996</v>
      </c>
    </row>
    <row r="726" spans="1:29" x14ac:dyDescent="0.25">
      <c r="A726" s="7" t="s">
        <v>82</v>
      </c>
      <c r="B726" s="15" t="s">
        <v>13</v>
      </c>
      <c r="C726" s="7" t="s">
        <v>21</v>
      </c>
      <c r="D726" s="14">
        <v>0</v>
      </c>
      <c r="E726" s="14">
        <v>0</v>
      </c>
      <c r="F726" s="14">
        <v>0</v>
      </c>
      <c r="G726" s="14">
        <v>0</v>
      </c>
      <c r="H726" s="16">
        <v>45</v>
      </c>
      <c r="I726" s="33">
        <v>40</v>
      </c>
      <c r="J726" s="34">
        <v>5</v>
      </c>
      <c r="K726" s="34">
        <v>0</v>
      </c>
      <c r="L726" s="14">
        <v>0</v>
      </c>
      <c r="M726" s="14">
        <v>0</v>
      </c>
      <c r="N726" s="14">
        <v>0</v>
      </c>
      <c r="O726" s="14">
        <v>0</v>
      </c>
      <c r="P726" s="14">
        <v>0</v>
      </c>
      <c r="Q726" s="14">
        <v>0</v>
      </c>
      <c r="R726" s="14">
        <v>0</v>
      </c>
      <c r="S726" s="14">
        <v>0</v>
      </c>
      <c r="T726" s="18">
        <v>0</v>
      </c>
      <c r="U726" s="14">
        <v>0.63439999999999996</v>
      </c>
      <c r="W726" s="38">
        <f t="shared" si="175"/>
        <v>28.547999999999998</v>
      </c>
      <c r="AB726" s="37" t="str">
        <f t="shared" si="176"/>
        <v>Repair</v>
      </c>
      <c r="AC726" s="36">
        <f t="shared" si="177"/>
        <v>25.375999999999998</v>
      </c>
    </row>
    <row r="727" spans="1:29" x14ac:dyDescent="0.25">
      <c r="A727" s="7" t="s">
        <v>82</v>
      </c>
      <c r="B727" s="15" t="s">
        <v>67</v>
      </c>
      <c r="C727" s="7" t="s">
        <v>21</v>
      </c>
      <c r="D727" s="14">
        <v>0</v>
      </c>
      <c r="E727" s="14">
        <v>0</v>
      </c>
      <c r="F727" s="14">
        <v>0</v>
      </c>
      <c r="G727" s="14">
        <v>0</v>
      </c>
      <c r="H727" s="16">
        <v>119</v>
      </c>
      <c r="I727" s="17">
        <v>86</v>
      </c>
      <c r="J727" s="14">
        <v>12</v>
      </c>
      <c r="K727" s="14">
        <v>14</v>
      </c>
      <c r="L727" s="14">
        <v>3</v>
      </c>
      <c r="M727" s="14">
        <v>2</v>
      </c>
      <c r="N727" s="14">
        <v>2</v>
      </c>
      <c r="O727" s="14">
        <v>0</v>
      </c>
      <c r="P727" s="14">
        <v>0</v>
      </c>
      <c r="Q727" s="14">
        <v>0</v>
      </c>
      <c r="R727" s="14">
        <v>0</v>
      </c>
      <c r="S727" s="14">
        <v>0</v>
      </c>
      <c r="T727" s="18">
        <v>0</v>
      </c>
      <c r="U727" s="14">
        <v>0.63439999999999996</v>
      </c>
      <c r="W727" s="38">
        <f t="shared" si="175"/>
        <v>75.493600000000001</v>
      </c>
      <c r="AB727" s="37" t="str">
        <f t="shared" si="176"/>
        <v>Rental</v>
      </c>
      <c r="AC727" s="36">
        <f t="shared" si="177"/>
        <v>54.558399999999999</v>
      </c>
    </row>
    <row r="728" spans="1:29" x14ac:dyDescent="0.25">
      <c r="A728" s="7" t="s">
        <v>82</v>
      </c>
      <c r="B728" s="15" t="s">
        <v>73</v>
      </c>
      <c r="C728" s="7" t="s">
        <v>21</v>
      </c>
      <c r="D728" s="14">
        <v>0</v>
      </c>
      <c r="E728" s="14">
        <v>0</v>
      </c>
      <c r="F728" s="14">
        <v>0</v>
      </c>
      <c r="G728" s="14">
        <v>0</v>
      </c>
      <c r="H728" s="16">
        <v>156</v>
      </c>
      <c r="I728" s="17">
        <v>2</v>
      </c>
      <c r="J728" s="14">
        <v>1</v>
      </c>
      <c r="K728" s="14">
        <v>153</v>
      </c>
      <c r="L728" s="14">
        <v>0</v>
      </c>
      <c r="M728" s="14">
        <v>0</v>
      </c>
      <c r="N728" s="14">
        <v>0</v>
      </c>
      <c r="O728" s="14">
        <v>0</v>
      </c>
      <c r="P728" s="14">
        <v>0</v>
      </c>
      <c r="Q728" s="14">
        <v>0</v>
      </c>
      <c r="R728" s="14">
        <v>0</v>
      </c>
      <c r="S728" s="14">
        <v>0</v>
      </c>
      <c r="T728" s="18">
        <v>0</v>
      </c>
      <c r="U728" s="14">
        <v>0.63439999999999996</v>
      </c>
      <c r="W728" s="38">
        <f t="shared" si="175"/>
        <v>98.966399999999993</v>
      </c>
      <c r="AB728" s="37"/>
    </row>
    <row r="729" spans="1:29" x14ac:dyDescent="0.25">
      <c r="A729" s="7" t="s">
        <v>82</v>
      </c>
      <c r="B729" s="15" t="s">
        <v>19</v>
      </c>
      <c r="C729" s="7" t="s">
        <v>21</v>
      </c>
      <c r="D729" s="14">
        <v>0</v>
      </c>
      <c r="E729" s="14">
        <v>0</v>
      </c>
      <c r="F729" s="14">
        <v>0</v>
      </c>
      <c r="G729" s="14">
        <v>0</v>
      </c>
      <c r="H729" s="16">
        <v>1020</v>
      </c>
      <c r="I729" s="17">
        <v>125</v>
      </c>
      <c r="J729" s="14">
        <v>121</v>
      </c>
      <c r="K729" s="14">
        <v>103</v>
      </c>
      <c r="L729" s="14">
        <v>163</v>
      </c>
      <c r="M729" s="14">
        <v>94</v>
      </c>
      <c r="N729" s="14">
        <v>81</v>
      </c>
      <c r="O729" s="14">
        <v>66</v>
      </c>
      <c r="P729" s="14">
        <v>96</v>
      </c>
      <c r="Q729" s="14">
        <v>44</v>
      </c>
      <c r="R729" s="14">
        <v>46</v>
      </c>
      <c r="S729" s="14">
        <v>49</v>
      </c>
      <c r="T729" s="18">
        <v>32</v>
      </c>
      <c r="U729" s="14">
        <v>0.63439999999999996</v>
      </c>
      <c r="W729" s="38">
        <f t="shared" si="175"/>
        <v>647.08799999999997</v>
      </c>
      <c r="AB729" s="37" t="str">
        <f t="shared" ref="AB729:AB730" si="178">B729</f>
        <v>Maintenance</v>
      </c>
      <c r="AC729" s="36">
        <f t="shared" ref="AC729:AC730" si="179">I729*U729</f>
        <v>79.3</v>
      </c>
    </row>
    <row r="730" spans="1:29" ht="13" thickBot="1" x14ac:dyDescent="0.3">
      <c r="A730" s="7" t="s">
        <v>82</v>
      </c>
      <c r="B730" s="19" t="s">
        <v>20</v>
      </c>
      <c r="C730" s="20" t="s">
        <v>21</v>
      </c>
      <c r="D730" s="21">
        <v>0</v>
      </c>
      <c r="E730" s="21">
        <v>0</v>
      </c>
      <c r="F730" s="21">
        <v>0</v>
      </c>
      <c r="G730" s="21">
        <v>0</v>
      </c>
      <c r="H730" s="22">
        <v>269</v>
      </c>
      <c r="I730" s="23">
        <v>38</v>
      </c>
      <c r="J730" s="21">
        <v>20</v>
      </c>
      <c r="K730" s="21">
        <v>81</v>
      </c>
      <c r="L730" s="21">
        <v>37</v>
      </c>
      <c r="M730" s="21">
        <v>16</v>
      </c>
      <c r="N730" s="21">
        <v>6</v>
      </c>
      <c r="O730" s="21">
        <v>23</v>
      </c>
      <c r="P730" s="21">
        <v>30</v>
      </c>
      <c r="Q730" s="21">
        <v>18</v>
      </c>
      <c r="R730" s="21">
        <v>0</v>
      </c>
      <c r="S730" s="21">
        <v>0</v>
      </c>
      <c r="T730" s="24">
        <v>0</v>
      </c>
      <c r="U730" s="14">
        <v>0.63439999999999996</v>
      </c>
      <c r="W730" s="38">
        <f t="shared" si="175"/>
        <v>170.65359999999998</v>
      </c>
      <c r="AB730" s="37" t="str">
        <f t="shared" si="178"/>
        <v>Startup</v>
      </c>
      <c r="AC730" s="36">
        <f t="shared" si="179"/>
        <v>24.107199999999999</v>
      </c>
    </row>
    <row r="731" spans="1:29" ht="13" thickBot="1" x14ac:dyDescent="0.3">
      <c r="A731" s="20" t="s">
        <v>82</v>
      </c>
      <c r="B731" s="25" t="s">
        <v>12</v>
      </c>
      <c r="C731" s="26" t="s">
        <v>21</v>
      </c>
      <c r="D731" s="27">
        <v>0</v>
      </c>
      <c r="E731" s="27">
        <v>0</v>
      </c>
      <c r="F731" s="27">
        <v>0</v>
      </c>
      <c r="G731" s="27">
        <v>0</v>
      </c>
      <c r="H731" s="28">
        <v>1902</v>
      </c>
      <c r="I731" s="29">
        <v>480</v>
      </c>
      <c r="J731" s="27">
        <v>180</v>
      </c>
      <c r="K731" s="27">
        <v>397</v>
      </c>
      <c r="L731" s="27">
        <v>204</v>
      </c>
      <c r="M731" s="27">
        <v>114</v>
      </c>
      <c r="N731" s="27">
        <v>109</v>
      </c>
      <c r="O731" s="27">
        <v>89</v>
      </c>
      <c r="P731" s="27">
        <v>126</v>
      </c>
      <c r="Q731" s="27">
        <v>62</v>
      </c>
      <c r="R731" s="27">
        <v>46</v>
      </c>
      <c r="S731" s="27">
        <v>63</v>
      </c>
      <c r="T731" s="29">
        <v>32</v>
      </c>
      <c r="U731" s="14">
        <v>0.63439999999999996</v>
      </c>
      <c r="W731" s="38">
        <f t="shared" si="175"/>
        <v>1206.6288</v>
      </c>
      <c r="X731" s="35">
        <f>W730+W729+W726</f>
        <v>846.28959999999995</v>
      </c>
      <c r="Y731" s="35">
        <f>W724</f>
        <v>81.837599999999995</v>
      </c>
      <c r="Z731" s="40">
        <f>V722/X731</f>
        <v>0</v>
      </c>
      <c r="AA731" s="40">
        <f>IF((Y731=0),0,Y723/Y731)</f>
        <v>1.8294573643410854</v>
      </c>
      <c r="AB731" s="48"/>
      <c r="AC731" s="48"/>
    </row>
    <row r="732" spans="1:29" ht="13" thickBot="1" x14ac:dyDescent="0.3">
      <c r="A732" s="7" t="s">
        <v>95</v>
      </c>
      <c r="B732" s="30" t="s">
        <v>15</v>
      </c>
      <c r="C732" s="31" t="s">
        <v>94</v>
      </c>
      <c r="D732" s="32" t="s">
        <v>47</v>
      </c>
      <c r="E732" s="53" t="s">
        <v>104</v>
      </c>
      <c r="F732" s="53" t="s">
        <v>105</v>
      </c>
      <c r="G732" s="53" t="s">
        <v>106</v>
      </c>
      <c r="H732" s="28" t="s">
        <v>12</v>
      </c>
      <c r="I732" s="54" t="s">
        <v>107</v>
      </c>
      <c r="J732" s="53" t="s">
        <v>108</v>
      </c>
      <c r="K732" s="53" t="s">
        <v>109</v>
      </c>
      <c r="L732" s="53" t="s">
        <v>110</v>
      </c>
      <c r="M732" s="53" t="s">
        <v>111</v>
      </c>
      <c r="N732" s="53" t="s">
        <v>115</v>
      </c>
      <c r="O732" s="53" t="s">
        <v>120</v>
      </c>
      <c r="P732" s="53" t="s">
        <v>121</v>
      </c>
      <c r="Q732" s="53" t="s">
        <v>164</v>
      </c>
      <c r="R732" s="53" t="s">
        <v>173</v>
      </c>
      <c r="S732" s="53" t="s">
        <v>177</v>
      </c>
      <c r="T732" s="55" t="s">
        <v>182</v>
      </c>
      <c r="U732" s="14">
        <v>1.175</v>
      </c>
      <c r="V732" s="14" t="s">
        <v>183</v>
      </c>
      <c r="W732" s="35"/>
      <c r="X732" s="14" t="s">
        <v>37</v>
      </c>
      <c r="Y732" s="14" t="s">
        <v>38</v>
      </c>
      <c r="AB732" s="48"/>
      <c r="AC732" s="48"/>
    </row>
    <row r="733" spans="1:29" x14ac:dyDescent="0.25">
      <c r="A733" s="7" t="s">
        <v>95</v>
      </c>
      <c r="B733" s="8" t="s">
        <v>17</v>
      </c>
      <c r="C733" s="9" t="s">
        <v>18</v>
      </c>
      <c r="D733" s="10">
        <v>0</v>
      </c>
      <c r="E733" s="10">
        <v>0</v>
      </c>
      <c r="F733" s="10">
        <v>0</v>
      </c>
      <c r="G733" s="10">
        <v>0</v>
      </c>
      <c r="H733" s="11">
        <v>0</v>
      </c>
      <c r="I733" s="12">
        <v>0</v>
      </c>
      <c r="J733" s="10">
        <v>0</v>
      </c>
      <c r="K733" s="10">
        <v>0</v>
      </c>
      <c r="L733" s="10">
        <v>0</v>
      </c>
      <c r="M733" s="10">
        <v>0</v>
      </c>
      <c r="N733" s="10">
        <v>0</v>
      </c>
      <c r="O733" s="10">
        <v>0</v>
      </c>
      <c r="P733" s="10">
        <v>0</v>
      </c>
      <c r="Q733" s="10">
        <v>0</v>
      </c>
      <c r="R733" s="10">
        <v>0</v>
      </c>
      <c r="S733" s="10">
        <v>0</v>
      </c>
      <c r="T733" s="13">
        <v>0</v>
      </c>
      <c r="U733" s="14">
        <v>1.175</v>
      </c>
      <c r="V733" s="42" t="e">
        <f>SUM(I733:T733)/H733</f>
        <v>#DIV/0!</v>
      </c>
      <c r="W733" s="39">
        <f>SUM(I733:T733)*U733</f>
        <v>0</v>
      </c>
    </row>
    <row r="734" spans="1:29" x14ac:dyDescent="0.25">
      <c r="A734" s="7" t="s">
        <v>95</v>
      </c>
      <c r="B734" s="15" t="s">
        <v>66</v>
      </c>
      <c r="C734" s="7" t="s">
        <v>18</v>
      </c>
      <c r="D734" s="14">
        <v>0</v>
      </c>
      <c r="E734" s="14">
        <v>0</v>
      </c>
      <c r="F734" s="14">
        <v>0</v>
      </c>
      <c r="G734" s="14">
        <v>0</v>
      </c>
      <c r="H734" s="16">
        <v>0</v>
      </c>
      <c r="I734" s="17">
        <v>0</v>
      </c>
      <c r="J734" s="14">
        <v>0</v>
      </c>
      <c r="K734" s="14">
        <v>0</v>
      </c>
      <c r="L734" s="14">
        <v>0</v>
      </c>
      <c r="M734" s="14">
        <v>0</v>
      </c>
      <c r="N734" s="14">
        <v>0</v>
      </c>
      <c r="O734" s="14">
        <v>0</v>
      </c>
      <c r="P734" s="14">
        <v>0</v>
      </c>
      <c r="Q734" s="14">
        <v>0</v>
      </c>
      <c r="R734" s="14">
        <v>0</v>
      </c>
      <c r="S734" s="14">
        <v>0</v>
      </c>
      <c r="T734" s="18">
        <v>0</v>
      </c>
      <c r="U734" s="14">
        <v>1.175</v>
      </c>
      <c r="V734" s="44"/>
      <c r="W734" s="39">
        <f t="shared" ref="W734:W740" si="180">SUM(I734:T734)*U734</f>
        <v>0</v>
      </c>
    </row>
    <row r="735" spans="1:29" x14ac:dyDescent="0.25">
      <c r="A735" s="7" t="s">
        <v>95</v>
      </c>
      <c r="B735" s="15" t="s">
        <v>13</v>
      </c>
      <c r="C735" s="7" t="s">
        <v>18</v>
      </c>
      <c r="D735" s="14">
        <v>103</v>
      </c>
      <c r="E735" s="14">
        <v>0</v>
      </c>
      <c r="F735" s="14">
        <v>0</v>
      </c>
      <c r="G735" s="14">
        <v>0</v>
      </c>
      <c r="H735" s="16">
        <v>111</v>
      </c>
      <c r="I735" s="17">
        <v>8</v>
      </c>
      <c r="J735" s="14">
        <v>0</v>
      </c>
      <c r="K735" s="14">
        <v>0</v>
      </c>
      <c r="L735" s="14">
        <v>0</v>
      </c>
      <c r="M735" s="14">
        <v>0</v>
      </c>
      <c r="N735" s="14">
        <v>0</v>
      </c>
      <c r="O735" s="14">
        <v>0</v>
      </c>
      <c r="P735" s="14">
        <v>0</v>
      </c>
      <c r="Q735" s="14">
        <v>0</v>
      </c>
      <c r="R735" s="14">
        <v>0</v>
      </c>
      <c r="S735" s="14">
        <v>0</v>
      </c>
      <c r="T735" s="18">
        <v>0</v>
      </c>
      <c r="U735" s="14">
        <v>1.175</v>
      </c>
      <c r="V735" s="41"/>
      <c r="W735" s="39">
        <f t="shared" si="180"/>
        <v>9.4</v>
      </c>
    </row>
    <row r="736" spans="1:29" x14ac:dyDescent="0.25">
      <c r="A736" s="7" t="s">
        <v>95</v>
      </c>
      <c r="B736" s="15" t="s">
        <v>67</v>
      </c>
      <c r="C736" s="7" t="s">
        <v>18</v>
      </c>
      <c r="D736" s="14">
        <v>1293</v>
      </c>
      <c r="E736" s="14">
        <v>177</v>
      </c>
      <c r="F736" s="14">
        <v>684</v>
      </c>
      <c r="G736" s="14">
        <v>1565</v>
      </c>
      <c r="H736" s="16">
        <v>5375</v>
      </c>
      <c r="I736" s="17">
        <v>1452</v>
      </c>
      <c r="J736" s="14">
        <v>137</v>
      </c>
      <c r="K736" s="14">
        <v>2</v>
      </c>
      <c r="L736" s="14">
        <v>0</v>
      </c>
      <c r="M736" s="14">
        <v>4</v>
      </c>
      <c r="N736" s="14">
        <v>61</v>
      </c>
      <c r="O736" s="14">
        <v>0</v>
      </c>
      <c r="P736" s="14">
        <v>0</v>
      </c>
      <c r="Q736" s="14">
        <v>0</v>
      </c>
      <c r="R736" s="14">
        <v>0</v>
      </c>
      <c r="S736" s="14">
        <v>0</v>
      </c>
      <c r="T736" s="18">
        <v>0</v>
      </c>
      <c r="U736" s="14">
        <v>1.175</v>
      </c>
      <c r="V736" s="41"/>
      <c r="W736" s="39">
        <f t="shared" si="180"/>
        <v>1945.8000000000002</v>
      </c>
    </row>
    <row r="737" spans="1:29" x14ac:dyDescent="0.25">
      <c r="A737" s="7" t="s">
        <v>95</v>
      </c>
      <c r="B737" s="15" t="s">
        <v>73</v>
      </c>
      <c r="C737" s="7" t="s">
        <v>18</v>
      </c>
      <c r="D737" s="14">
        <v>0</v>
      </c>
      <c r="E737" s="14">
        <v>0</v>
      </c>
      <c r="F737" s="14">
        <v>0</v>
      </c>
      <c r="G737" s="14">
        <v>0</v>
      </c>
      <c r="H737" s="16">
        <v>0</v>
      </c>
      <c r="I737" s="17">
        <v>0</v>
      </c>
      <c r="J737" s="14">
        <v>0</v>
      </c>
      <c r="K737" s="14">
        <v>0</v>
      </c>
      <c r="L737" s="14">
        <v>0</v>
      </c>
      <c r="M737" s="14">
        <v>0</v>
      </c>
      <c r="N737" s="14">
        <v>0</v>
      </c>
      <c r="O737" s="14">
        <v>0</v>
      </c>
      <c r="P737" s="14">
        <v>0</v>
      </c>
      <c r="Q737" s="14">
        <v>0</v>
      </c>
      <c r="R737" s="14">
        <v>0</v>
      </c>
      <c r="S737" s="14">
        <v>0</v>
      </c>
      <c r="T737" s="18">
        <v>0</v>
      </c>
      <c r="U737" s="14">
        <v>1.175</v>
      </c>
      <c r="V737" s="41"/>
      <c r="W737" s="39">
        <f t="shared" si="180"/>
        <v>0</v>
      </c>
    </row>
    <row r="738" spans="1:29" x14ac:dyDescent="0.25">
      <c r="A738" s="7" t="s">
        <v>95</v>
      </c>
      <c r="B738" s="15" t="s">
        <v>19</v>
      </c>
      <c r="C738" s="7" t="s">
        <v>18</v>
      </c>
      <c r="D738" s="14">
        <v>2</v>
      </c>
      <c r="E738" s="14">
        <v>0</v>
      </c>
      <c r="F738" s="14">
        <v>0</v>
      </c>
      <c r="G738" s="14">
        <v>0</v>
      </c>
      <c r="H738" s="16">
        <v>2</v>
      </c>
      <c r="I738" s="17">
        <v>0</v>
      </c>
      <c r="J738" s="14">
        <v>0</v>
      </c>
      <c r="K738" s="14">
        <v>0</v>
      </c>
      <c r="L738" s="14">
        <v>0</v>
      </c>
      <c r="M738" s="14">
        <v>0</v>
      </c>
      <c r="N738" s="14">
        <v>0</v>
      </c>
      <c r="O738" s="14">
        <v>0</v>
      </c>
      <c r="P738" s="14">
        <v>0</v>
      </c>
      <c r="Q738" s="14">
        <v>0</v>
      </c>
      <c r="R738" s="14">
        <v>0</v>
      </c>
      <c r="S738" s="14">
        <v>0</v>
      </c>
      <c r="T738" s="18">
        <v>0</v>
      </c>
      <c r="U738" s="14">
        <v>1.175</v>
      </c>
      <c r="V738" s="41"/>
      <c r="W738" s="39">
        <f t="shared" si="180"/>
        <v>0</v>
      </c>
    </row>
    <row r="739" spans="1:29" ht="13" thickBot="1" x14ac:dyDescent="0.3">
      <c r="A739" s="7" t="s">
        <v>95</v>
      </c>
      <c r="B739" s="19" t="s">
        <v>20</v>
      </c>
      <c r="C739" s="20" t="s">
        <v>18</v>
      </c>
      <c r="D739" s="21">
        <v>0</v>
      </c>
      <c r="E739" s="21">
        <v>0</v>
      </c>
      <c r="F739" s="21">
        <v>0</v>
      </c>
      <c r="G739" s="21">
        <v>0</v>
      </c>
      <c r="H739" s="22">
        <v>0</v>
      </c>
      <c r="I739" s="23">
        <v>0</v>
      </c>
      <c r="J739" s="21">
        <v>0</v>
      </c>
      <c r="K739" s="21">
        <v>0</v>
      </c>
      <c r="L739" s="21">
        <v>0</v>
      </c>
      <c r="M739" s="21">
        <v>0</v>
      </c>
      <c r="N739" s="21">
        <v>0</v>
      </c>
      <c r="O739" s="21">
        <v>0</v>
      </c>
      <c r="P739" s="21">
        <v>0</v>
      </c>
      <c r="Q739" s="21">
        <v>0</v>
      </c>
      <c r="R739" s="21">
        <v>0</v>
      </c>
      <c r="S739" s="21">
        <v>0</v>
      </c>
      <c r="T739" s="24">
        <v>0</v>
      </c>
      <c r="U739" s="14">
        <v>1.175</v>
      </c>
      <c r="V739" s="44"/>
      <c r="W739" s="39">
        <f t="shared" si="180"/>
        <v>0</v>
      </c>
    </row>
    <row r="740" spans="1:29" ht="13" thickBot="1" x14ac:dyDescent="0.3">
      <c r="A740" s="7" t="s">
        <v>95</v>
      </c>
      <c r="B740" s="25" t="s">
        <v>12</v>
      </c>
      <c r="C740" s="26" t="s">
        <v>18</v>
      </c>
      <c r="D740" s="27">
        <v>1398</v>
      </c>
      <c r="E740" s="27">
        <v>177</v>
      </c>
      <c r="F740" s="27">
        <v>684</v>
      </c>
      <c r="G740" s="27">
        <v>1565</v>
      </c>
      <c r="H740" s="28">
        <v>5488</v>
      </c>
      <c r="I740" s="29">
        <v>1460</v>
      </c>
      <c r="J740" s="27">
        <v>137</v>
      </c>
      <c r="K740" s="27">
        <v>2</v>
      </c>
      <c r="L740" s="27">
        <v>0</v>
      </c>
      <c r="M740" s="27">
        <v>4</v>
      </c>
      <c r="N740" s="27">
        <v>61</v>
      </c>
      <c r="O740" s="27">
        <v>0</v>
      </c>
      <c r="P740" s="27">
        <v>0</v>
      </c>
      <c r="Q740" s="27">
        <v>0</v>
      </c>
      <c r="R740" s="27">
        <v>0</v>
      </c>
      <c r="S740" s="27">
        <v>0</v>
      </c>
      <c r="T740" s="29">
        <v>0</v>
      </c>
      <c r="U740" s="14">
        <v>1.175</v>
      </c>
      <c r="V740" s="43">
        <f>SUM(I735:T738)/SUM(H735:H738)</f>
        <v>0.30320699708454812</v>
      </c>
      <c r="W740" s="39">
        <f t="shared" si="180"/>
        <v>1955.2</v>
      </c>
      <c r="X740" s="35">
        <f>W738+W735</f>
        <v>9.4</v>
      </c>
      <c r="Y740" s="35">
        <f>W733</f>
        <v>0</v>
      </c>
    </row>
    <row r="741" spans="1:29" x14ac:dyDescent="0.25">
      <c r="A741" s="7" t="s">
        <v>95</v>
      </c>
      <c r="B741" s="8" t="s">
        <v>17</v>
      </c>
      <c r="C741" s="9" t="s">
        <v>21</v>
      </c>
      <c r="D741" s="10">
        <v>0</v>
      </c>
      <c r="E741" s="10">
        <v>0</v>
      </c>
      <c r="F741" s="10">
        <v>0</v>
      </c>
      <c r="G741" s="10">
        <v>0</v>
      </c>
      <c r="H741" s="11">
        <v>0</v>
      </c>
      <c r="I741" s="12">
        <v>0</v>
      </c>
      <c r="J741" s="10">
        <v>0</v>
      </c>
      <c r="K741" s="10">
        <v>0</v>
      </c>
      <c r="L741" s="10">
        <v>0</v>
      </c>
      <c r="M741" s="10">
        <v>0</v>
      </c>
      <c r="N741" s="10">
        <v>0</v>
      </c>
      <c r="O741" s="10">
        <v>0</v>
      </c>
      <c r="P741" s="10">
        <v>0</v>
      </c>
      <c r="Q741" s="10">
        <v>0</v>
      </c>
      <c r="R741" s="10">
        <v>0</v>
      </c>
      <c r="S741" s="10">
        <v>0</v>
      </c>
      <c r="T741" s="13">
        <v>0</v>
      </c>
      <c r="U741" s="14">
        <v>1.175</v>
      </c>
      <c r="W741" s="38">
        <f t="shared" ref="W741:W748" si="181">H741*U741</f>
        <v>0</v>
      </c>
      <c r="AB741" s="37" t="str">
        <f t="shared" ref="AB741:AB744" si="182">B741</f>
        <v>Parts-OTC</v>
      </c>
      <c r="AC741" s="36">
        <f t="shared" ref="AC741:AC744" si="183">I741*U741</f>
        <v>0</v>
      </c>
    </row>
    <row r="742" spans="1:29" x14ac:dyDescent="0.25">
      <c r="A742" s="7" t="s">
        <v>95</v>
      </c>
      <c r="B742" s="15" t="s">
        <v>66</v>
      </c>
      <c r="C742" s="7" t="s">
        <v>21</v>
      </c>
      <c r="D742" s="14">
        <v>0</v>
      </c>
      <c r="E742" s="14">
        <v>0</v>
      </c>
      <c r="F742" s="14">
        <v>0</v>
      </c>
      <c r="G742" s="14">
        <v>0</v>
      </c>
      <c r="H742" s="16">
        <v>0</v>
      </c>
      <c r="I742" s="17">
        <v>0</v>
      </c>
      <c r="J742" s="14">
        <v>0</v>
      </c>
      <c r="K742" s="14">
        <v>0</v>
      </c>
      <c r="L742" s="14">
        <v>0</v>
      </c>
      <c r="M742" s="14">
        <v>0</v>
      </c>
      <c r="N742" s="14">
        <v>0</v>
      </c>
      <c r="O742" s="14">
        <v>0</v>
      </c>
      <c r="P742" s="14">
        <v>0</v>
      </c>
      <c r="Q742" s="14">
        <v>0</v>
      </c>
      <c r="R742" s="14">
        <v>0</v>
      </c>
      <c r="S742" s="14">
        <v>0</v>
      </c>
      <c r="T742" s="18">
        <v>0</v>
      </c>
      <c r="U742" s="14">
        <v>1.175</v>
      </c>
      <c r="W742" s="38">
        <f t="shared" si="181"/>
        <v>0</v>
      </c>
      <c r="AB742" s="37" t="str">
        <f t="shared" si="182"/>
        <v>CTKS</v>
      </c>
      <c r="AC742" s="36">
        <f t="shared" si="183"/>
        <v>0</v>
      </c>
    </row>
    <row r="743" spans="1:29" x14ac:dyDescent="0.25">
      <c r="A743" s="7" t="s">
        <v>95</v>
      </c>
      <c r="B743" s="15" t="s">
        <v>13</v>
      </c>
      <c r="C743" s="7" t="s">
        <v>21</v>
      </c>
      <c r="D743" s="14">
        <v>0</v>
      </c>
      <c r="E743" s="14">
        <v>0</v>
      </c>
      <c r="F743" s="14">
        <v>0</v>
      </c>
      <c r="G743" s="14">
        <v>0</v>
      </c>
      <c r="H743" s="16">
        <v>101</v>
      </c>
      <c r="I743" s="33">
        <v>97</v>
      </c>
      <c r="J743" s="34">
        <v>4</v>
      </c>
      <c r="K743" s="34">
        <v>0</v>
      </c>
      <c r="L743" s="14">
        <v>0</v>
      </c>
      <c r="M743" s="14">
        <v>0</v>
      </c>
      <c r="N743" s="14">
        <v>0</v>
      </c>
      <c r="O743" s="14">
        <v>0</v>
      </c>
      <c r="P743" s="14">
        <v>0</v>
      </c>
      <c r="Q743" s="14">
        <v>0</v>
      </c>
      <c r="R743" s="14">
        <v>0</v>
      </c>
      <c r="S743" s="14">
        <v>0</v>
      </c>
      <c r="T743" s="18">
        <v>0</v>
      </c>
      <c r="U743" s="14">
        <v>1.175</v>
      </c>
      <c r="W743" s="38">
        <f t="shared" si="181"/>
        <v>118.67500000000001</v>
      </c>
      <c r="AB743" s="37" t="str">
        <f t="shared" si="182"/>
        <v>Repair</v>
      </c>
      <c r="AC743" s="36">
        <f t="shared" si="183"/>
        <v>113.97500000000001</v>
      </c>
    </row>
    <row r="744" spans="1:29" x14ac:dyDescent="0.25">
      <c r="A744" s="7" t="s">
        <v>95</v>
      </c>
      <c r="B744" s="15" t="s">
        <v>67</v>
      </c>
      <c r="C744" s="7" t="s">
        <v>21</v>
      </c>
      <c r="D744" s="14">
        <v>0</v>
      </c>
      <c r="E744" s="14">
        <v>0</v>
      </c>
      <c r="F744" s="14">
        <v>0</v>
      </c>
      <c r="G744" s="14">
        <v>0</v>
      </c>
      <c r="H744" s="16">
        <v>7128</v>
      </c>
      <c r="I744" s="17">
        <v>3068</v>
      </c>
      <c r="J744" s="14">
        <v>35</v>
      </c>
      <c r="K744" s="14">
        <v>29</v>
      </c>
      <c r="L744" s="14">
        <v>33</v>
      </c>
      <c r="M744" s="14">
        <v>26</v>
      </c>
      <c r="N744" s="14">
        <v>13</v>
      </c>
      <c r="O744" s="14">
        <v>112</v>
      </c>
      <c r="P744" s="14">
        <v>13</v>
      </c>
      <c r="Q744" s="14">
        <v>3761</v>
      </c>
      <c r="R744" s="14">
        <v>13</v>
      </c>
      <c r="S744" s="14">
        <v>12</v>
      </c>
      <c r="T744" s="18">
        <v>13</v>
      </c>
      <c r="U744" s="14">
        <v>1.175</v>
      </c>
      <c r="W744" s="38">
        <f t="shared" si="181"/>
        <v>8375.4</v>
      </c>
      <c r="AB744" s="37" t="str">
        <f t="shared" si="182"/>
        <v>Rental</v>
      </c>
      <c r="AC744" s="36">
        <f t="shared" si="183"/>
        <v>3604.9</v>
      </c>
    </row>
    <row r="745" spans="1:29" x14ac:dyDescent="0.25">
      <c r="A745" s="7" t="s">
        <v>95</v>
      </c>
      <c r="B745" s="15" t="s">
        <v>73</v>
      </c>
      <c r="C745" s="7" t="s">
        <v>21</v>
      </c>
      <c r="D745" s="14">
        <v>0</v>
      </c>
      <c r="E745" s="14">
        <v>0</v>
      </c>
      <c r="F745" s="14">
        <v>0</v>
      </c>
      <c r="G745" s="14">
        <v>0</v>
      </c>
      <c r="H745" s="16">
        <v>0</v>
      </c>
      <c r="I745" s="17">
        <v>0</v>
      </c>
      <c r="J745" s="14">
        <v>0</v>
      </c>
      <c r="K745" s="14">
        <v>0</v>
      </c>
      <c r="L745" s="14">
        <v>0</v>
      </c>
      <c r="M745" s="14">
        <v>0</v>
      </c>
      <c r="N745" s="14">
        <v>0</v>
      </c>
      <c r="O745" s="14">
        <v>0</v>
      </c>
      <c r="P745" s="14">
        <v>0</v>
      </c>
      <c r="Q745" s="14">
        <v>0</v>
      </c>
      <c r="R745" s="14">
        <v>0</v>
      </c>
      <c r="S745" s="14">
        <v>0</v>
      </c>
      <c r="T745" s="18">
        <v>0</v>
      </c>
      <c r="U745" s="14">
        <v>1.175</v>
      </c>
      <c r="W745" s="38">
        <f t="shared" si="181"/>
        <v>0</v>
      </c>
      <c r="AB745" s="37"/>
    </row>
    <row r="746" spans="1:29" x14ac:dyDescent="0.25">
      <c r="A746" s="7" t="s">
        <v>95</v>
      </c>
      <c r="B746" s="15" t="s">
        <v>19</v>
      </c>
      <c r="C746" s="7" t="s">
        <v>21</v>
      </c>
      <c r="D746" s="14">
        <v>0</v>
      </c>
      <c r="E746" s="14">
        <v>0</v>
      </c>
      <c r="F746" s="14">
        <v>0</v>
      </c>
      <c r="G746" s="14">
        <v>0</v>
      </c>
      <c r="H746" s="16">
        <v>1</v>
      </c>
      <c r="I746" s="17">
        <v>0</v>
      </c>
      <c r="J746" s="14">
        <v>0</v>
      </c>
      <c r="K746" s="14">
        <v>0</v>
      </c>
      <c r="L746" s="14">
        <v>1</v>
      </c>
      <c r="M746" s="14">
        <v>0</v>
      </c>
      <c r="N746" s="14">
        <v>0</v>
      </c>
      <c r="O746" s="14">
        <v>0</v>
      </c>
      <c r="P746" s="14">
        <v>0</v>
      </c>
      <c r="Q746" s="14">
        <v>0</v>
      </c>
      <c r="R746" s="14">
        <v>0</v>
      </c>
      <c r="S746" s="14">
        <v>0</v>
      </c>
      <c r="T746" s="18">
        <v>0</v>
      </c>
      <c r="U746" s="14">
        <v>1.175</v>
      </c>
      <c r="W746" s="38">
        <f t="shared" si="181"/>
        <v>1.175</v>
      </c>
      <c r="AB746" s="37" t="str">
        <f t="shared" ref="AB746:AB747" si="184">B746</f>
        <v>Maintenance</v>
      </c>
      <c r="AC746" s="36">
        <f t="shared" ref="AC746:AC747" si="185">I746*U746</f>
        <v>0</v>
      </c>
    </row>
    <row r="747" spans="1:29" ht="13" thickBot="1" x14ac:dyDescent="0.3">
      <c r="A747" s="7" t="s">
        <v>95</v>
      </c>
      <c r="B747" s="19" t="s">
        <v>20</v>
      </c>
      <c r="C747" s="20" t="s">
        <v>21</v>
      </c>
      <c r="D747" s="21">
        <v>0</v>
      </c>
      <c r="E747" s="21">
        <v>0</v>
      </c>
      <c r="F747" s="21">
        <v>0</v>
      </c>
      <c r="G747" s="21">
        <v>0</v>
      </c>
      <c r="H747" s="22">
        <v>0</v>
      </c>
      <c r="I747" s="23">
        <v>0</v>
      </c>
      <c r="J747" s="21">
        <v>0</v>
      </c>
      <c r="K747" s="21">
        <v>0</v>
      </c>
      <c r="L747" s="21">
        <v>0</v>
      </c>
      <c r="M747" s="21">
        <v>0</v>
      </c>
      <c r="N747" s="21">
        <v>0</v>
      </c>
      <c r="O747" s="21">
        <v>0</v>
      </c>
      <c r="P747" s="21">
        <v>0</v>
      </c>
      <c r="Q747" s="21">
        <v>0</v>
      </c>
      <c r="R747" s="21">
        <v>0</v>
      </c>
      <c r="S747" s="21">
        <v>0</v>
      </c>
      <c r="T747" s="24">
        <v>0</v>
      </c>
      <c r="U747" s="14">
        <v>1.175</v>
      </c>
      <c r="W747" s="38">
        <f t="shared" si="181"/>
        <v>0</v>
      </c>
      <c r="AB747" s="37" t="str">
        <f t="shared" si="184"/>
        <v>Startup</v>
      </c>
      <c r="AC747" s="36">
        <f t="shared" si="185"/>
        <v>0</v>
      </c>
    </row>
    <row r="748" spans="1:29" ht="13" thickBot="1" x14ac:dyDescent="0.3">
      <c r="A748" s="7" t="s">
        <v>95</v>
      </c>
      <c r="B748" s="25" t="s">
        <v>12</v>
      </c>
      <c r="C748" s="26" t="s">
        <v>21</v>
      </c>
      <c r="D748" s="27">
        <v>0</v>
      </c>
      <c r="E748" s="27">
        <v>0</v>
      </c>
      <c r="F748" s="27">
        <v>0</v>
      </c>
      <c r="G748" s="27">
        <v>0</v>
      </c>
      <c r="H748" s="28">
        <v>7230</v>
      </c>
      <c r="I748" s="29">
        <v>3165</v>
      </c>
      <c r="J748" s="27">
        <v>39</v>
      </c>
      <c r="K748" s="27">
        <v>29</v>
      </c>
      <c r="L748" s="27">
        <v>34</v>
      </c>
      <c r="M748" s="27">
        <v>26</v>
      </c>
      <c r="N748" s="27">
        <v>13</v>
      </c>
      <c r="O748" s="27">
        <v>112</v>
      </c>
      <c r="P748" s="27">
        <v>13</v>
      </c>
      <c r="Q748" s="27">
        <v>3761</v>
      </c>
      <c r="R748" s="27">
        <v>13</v>
      </c>
      <c r="S748" s="27">
        <v>12</v>
      </c>
      <c r="T748" s="29">
        <v>13</v>
      </c>
      <c r="U748" s="14">
        <v>1.175</v>
      </c>
      <c r="W748" s="38">
        <f t="shared" si="181"/>
        <v>8495.25</v>
      </c>
      <c r="X748" s="35">
        <f>W747+W746+W743</f>
        <v>119.85000000000001</v>
      </c>
      <c r="Y748" s="35">
        <f>W741</f>
        <v>0</v>
      </c>
      <c r="Z748" s="40">
        <f>V739/X748</f>
        <v>0</v>
      </c>
      <c r="AA748" s="40">
        <f>IF((Y748=0),0,Y740/Y748)</f>
        <v>0</v>
      </c>
      <c r="AB748" s="48"/>
      <c r="AC748" s="48"/>
    </row>
    <row r="749" spans="1:29" ht="13" thickBot="1" x14ac:dyDescent="0.3">
      <c r="A749" s="7" t="s">
        <v>96</v>
      </c>
      <c r="B749" s="30" t="s">
        <v>15</v>
      </c>
      <c r="C749" s="31" t="s">
        <v>94</v>
      </c>
      <c r="D749" s="32" t="s">
        <v>47</v>
      </c>
      <c r="E749" s="53" t="s">
        <v>104</v>
      </c>
      <c r="F749" s="53" t="s">
        <v>105</v>
      </c>
      <c r="G749" s="53" t="s">
        <v>106</v>
      </c>
      <c r="H749" s="28" t="s">
        <v>12</v>
      </c>
      <c r="I749" s="54" t="s">
        <v>107</v>
      </c>
      <c r="J749" s="53" t="s">
        <v>108</v>
      </c>
      <c r="K749" s="53" t="s">
        <v>109</v>
      </c>
      <c r="L749" s="53" t="s">
        <v>110</v>
      </c>
      <c r="M749" s="53" t="s">
        <v>111</v>
      </c>
      <c r="N749" s="53" t="s">
        <v>115</v>
      </c>
      <c r="O749" s="53" t="s">
        <v>120</v>
      </c>
      <c r="P749" s="53" t="s">
        <v>121</v>
      </c>
      <c r="Q749" s="53" t="s">
        <v>164</v>
      </c>
      <c r="R749" s="53" t="s">
        <v>173</v>
      </c>
      <c r="S749" s="53" t="s">
        <v>177</v>
      </c>
      <c r="T749" s="55" t="s">
        <v>182</v>
      </c>
      <c r="U749" s="14">
        <v>1.175</v>
      </c>
      <c r="V749" s="14" t="s">
        <v>183</v>
      </c>
      <c r="W749" s="35"/>
      <c r="X749" s="14" t="s">
        <v>37</v>
      </c>
      <c r="Y749" s="14" t="s">
        <v>38</v>
      </c>
      <c r="AB749" s="48"/>
      <c r="AC749" s="48"/>
    </row>
    <row r="750" spans="1:29" x14ac:dyDescent="0.25">
      <c r="A750" s="7" t="s">
        <v>96</v>
      </c>
      <c r="B750" s="8" t="s">
        <v>17</v>
      </c>
      <c r="C750" s="9" t="s">
        <v>18</v>
      </c>
      <c r="D750" s="10">
        <v>0</v>
      </c>
      <c r="E750" s="10">
        <v>0</v>
      </c>
      <c r="F750" s="10">
        <v>0</v>
      </c>
      <c r="G750" s="10">
        <v>0</v>
      </c>
      <c r="H750" s="11">
        <v>0</v>
      </c>
      <c r="I750" s="12">
        <v>0</v>
      </c>
      <c r="J750" s="10">
        <v>0</v>
      </c>
      <c r="K750" s="10">
        <v>0</v>
      </c>
      <c r="L750" s="10">
        <v>0</v>
      </c>
      <c r="M750" s="10">
        <v>0</v>
      </c>
      <c r="N750" s="10">
        <v>0</v>
      </c>
      <c r="O750" s="10">
        <v>0</v>
      </c>
      <c r="P750" s="10">
        <v>0</v>
      </c>
      <c r="Q750" s="10">
        <v>0</v>
      </c>
      <c r="R750" s="10">
        <v>0</v>
      </c>
      <c r="S750" s="10">
        <v>0</v>
      </c>
      <c r="T750" s="13">
        <v>0</v>
      </c>
      <c r="U750" s="14">
        <v>1.175</v>
      </c>
      <c r="V750" s="42" t="e">
        <f>SUM(I750:T750)/H750</f>
        <v>#DIV/0!</v>
      </c>
      <c r="W750" s="39">
        <f>SUM(I750:T750)*U750</f>
        <v>0</v>
      </c>
    </row>
    <row r="751" spans="1:29" x14ac:dyDescent="0.25">
      <c r="A751" s="7" t="s">
        <v>96</v>
      </c>
      <c r="B751" s="15" t="s">
        <v>66</v>
      </c>
      <c r="C751" s="7" t="s">
        <v>18</v>
      </c>
      <c r="D751" s="14">
        <v>0</v>
      </c>
      <c r="E751" s="14">
        <v>0</v>
      </c>
      <c r="F751" s="14">
        <v>0</v>
      </c>
      <c r="G751" s="14">
        <v>0</v>
      </c>
      <c r="H751" s="16">
        <v>0</v>
      </c>
      <c r="I751" s="17">
        <v>0</v>
      </c>
      <c r="J751" s="14">
        <v>0</v>
      </c>
      <c r="K751" s="14">
        <v>0</v>
      </c>
      <c r="L751" s="14">
        <v>0</v>
      </c>
      <c r="M751" s="14">
        <v>0</v>
      </c>
      <c r="N751" s="14">
        <v>0</v>
      </c>
      <c r="O751" s="14">
        <v>0</v>
      </c>
      <c r="P751" s="14">
        <v>0</v>
      </c>
      <c r="Q751" s="14">
        <v>0</v>
      </c>
      <c r="R751" s="14">
        <v>0</v>
      </c>
      <c r="S751" s="14">
        <v>0</v>
      </c>
      <c r="T751" s="18">
        <v>0</v>
      </c>
      <c r="U751" s="14">
        <v>1.175</v>
      </c>
      <c r="V751" s="44"/>
      <c r="W751" s="39">
        <f t="shared" ref="W751" si="186">SUM(I751:T751)*U751</f>
        <v>0</v>
      </c>
    </row>
    <row r="752" spans="1:29" x14ac:dyDescent="0.25">
      <c r="A752" s="7" t="s">
        <v>96</v>
      </c>
      <c r="B752" s="15" t="s">
        <v>13</v>
      </c>
      <c r="C752" s="7" t="s">
        <v>18</v>
      </c>
      <c r="D752" s="14">
        <v>2</v>
      </c>
      <c r="E752" s="14">
        <v>0</v>
      </c>
      <c r="F752" s="14">
        <v>0</v>
      </c>
      <c r="G752" s="14">
        <v>0</v>
      </c>
      <c r="H752" s="16">
        <v>2</v>
      </c>
      <c r="I752" s="17">
        <v>0</v>
      </c>
      <c r="J752" s="14">
        <v>0</v>
      </c>
      <c r="K752" s="14">
        <v>0</v>
      </c>
      <c r="L752" s="14">
        <v>0</v>
      </c>
      <c r="M752" s="14">
        <v>0</v>
      </c>
      <c r="N752" s="14">
        <v>0</v>
      </c>
      <c r="O752" s="14">
        <v>0</v>
      </c>
      <c r="P752" s="14">
        <v>0</v>
      </c>
      <c r="Q752" s="14">
        <v>0</v>
      </c>
      <c r="R752" s="14">
        <v>0</v>
      </c>
      <c r="S752" s="14">
        <v>0</v>
      </c>
      <c r="T752" s="18">
        <v>0</v>
      </c>
      <c r="U752" s="14">
        <v>1.175</v>
      </c>
      <c r="V752" s="41"/>
      <c r="W752" s="39">
        <f>SUM(I752:T752)*U752</f>
        <v>0</v>
      </c>
    </row>
    <row r="753" spans="1:29" x14ac:dyDescent="0.25">
      <c r="A753" s="7" t="s">
        <v>96</v>
      </c>
      <c r="B753" s="15" t="s">
        <v>67</v>
      </c>
      <c r="C753" s="7" t="s">
        <v>18</v>
      </c>
      <c r="D753" s="14">
        <v>1746</v>
      </c>
      <c r="E753" s="14">
        <v>0</v>
      </c>
      <c r="F753" s="14">
        <v>0</v>
      </c>
      <c r="G753" s="14">
        <v>0</v>
      </c>
      <c r="H753" s="16">
        <v>1746</v>
      </c>
      <c r="I753" s="17">
        <v>0</v>
      </c>
      <c r="J753" s="14">
        <v>0</v>
      </c>
      <c r="K753" s="14">
        <v>0</v>
      </c>
      <c r="L753" s="14">
        <v>0</v>
      </c>
      <c r="M753" s="14">
        <v>0</v>
      </c>
      <c r="N753" s="14">
        <v>0</v>
      </c>
      <c r="O753" s="14">
        <v>0</v>
      </c>
      <c r="P753" s="14">
        <v>0</v>
      </c>
      <c r="Q753" s="14">
        <v>0</v>
      </c>
      <c r="R753" s="14">
        <v>0</v>
      </c>
      <c r="S753" s="14">
        <v>0</v>
      </c>
      <c r="T753" s="18">
        <v>0</v>
      </c>
      <c r="U753" s="14">
        <v>1.175</v>
      </c>
      <c r="V753" s="41"/>
      <c r="W753" s="39">
        <f t="shared" ref="W753:W757" si="187">SUM(I753:T753)*U753</f>
        <v>0</v>
      </c>
    </row>
    <row r="754" spans="1:29" x14ac:dyDescent="0.25">
      <c r="A754" s="7" t="s">
        <v>96</v>
      </c>
      <c r="B754" s="15" t="s">
        <v>73</v>
      </c>
      <c r="C754" s="7" t="s">
        <v>18</v>
      </c>
      <c r="D754" s="14">
        <v>0</v>
      </c>
      <c r="E754" s="14">
        <v>0</v>
      </c>
      <c r="F754" s="14">
        <v>0</v>
      </c>
      <c r="G754" s="14">
        <v>0</v>
      </c>
      <c r="H754" s="16">
        <v>0</v>
      </c>
      <c r="I754" s="17">
        <v>0</v>
      </c>
      <c r="J754" s="14">
        <v>0</v>
      </c>
      <c r="K754" s="14">
        <v>0</v>
      </c>
      <c r="L754" s="14">
        <v>0</v>
      </c>
      <c r="M754" s="14">
        <v>0</v>
      </c>
      <c r="N754" s="14">
        <v>0</v>
      </c>
      <c r="O754" s="14">
        <v>0</v>
      </c>
      <c r="P754" s="14">
        <v>0</v>
      </c>
      <c r="Q754" s="14">
        <v>0</v>
      </c>
      <c r="R754" s="14">
        <v>0</v>
      </c>
      <c r="S754" s="14">
        <v>0</v>
      </c>
      <c r="T754" s="18">
        <v>0</v>
      </c>
      <c r="U754" s="14">
        <v>1.175</v>
      </c>
      <c r="V754" s="41"/>
      <c r="W754" s="39">
        <f t="shared" si="187"/>
        <v>0</v>
      </c>
    </row>
    <row r="755" spans="1:29" x14ac:dyDescent="0.25">
      <c r="A755" s="7" t="s">
        <v>96</v>
      </c>
      <c r="B755" s="15" t="s">
        <v>19</v>
      </c>
      <c r="C755" s="7" t="s">
        <v>18</v>
      </c>
      <c r="D755" s="14">
        <v>0</v>
      </c>
      <c r="E755" s="14">
        <v>0</v>
      </c>
      <c r="F755" s="14">
        <v>0</v>
      </c>
      <c r="G755" s="14">
        <v>0</v>
      </c>
      <c r="H755" s="16">
        <v>0</v>
      </c>
      <c r="I755" s="17">
        <v>0</v>
      </c>
      <c r="J755" s="14">
        <v>0</v>
      </c>
      <c r="K755" s="14">
        <v>0</v>
      </c>
      <c r="L755" s="14">
        <v>0</v>
      </c>
      <c r="M755" s="14">
        <v>0</v>
      </c>
      <c r="N755" s="14">
        <v>0</v>
      </c>
      <c r="O755" s="14">
        <v>0</v>
      </c>
      <c r="P755" s="14">
        <v>0</v>
      </c>
      <c r="Q755" s="14">
        <v>0</v>
      </c>
      <c r="R755" s="14">
        <v>0</v>
      </c>
      <c r="S755" s="14">
        <v>0</v>
      </c>
      <c r="T755" s="18">
        <v>0</v>
      </c>
      <c r="U755" s="14">
        <v>1.175</v>
      </c>
      <c r="V755" s="41"/>
      <c r="W755" s="39">
        <f t="shared" si="187"/>
        <v>0</v>
      </c>
    </row>
    <row r="756" spans="1:29" ht="13" thickBot="1" x14ac:dyDescent="0.3">
      <c r="A756" s="7" t="s">
        <v>96</v>
      </c>
      <c r="B756" s="19" t="s">
        <v>20</v>
      </c>
      <c r="C756" s="20" t="s">
        <v>18</v>
      </c>
      <c r="D756" s="21">
        <v>0</v>
      </c>
      <c r="E756" s="21">
        <v>0</v>
      </c>
      <c r="F756" s="21">
        <v>0</v>
      </c>
      <c r="G756" s="21">
        <v>0</v>
      </c>
      <c r="H756" s="22">
        <v>0</v>
      </c>
      <c r="I756" s="23">
        <v>0</v>
      </c>
      <c r="J756" s="21">
        <v>0</v>
      </c>
      <c r="K756" s="21">
        <v>0</v>
      </c>
      <c r="L756" s="21">
        <v>0</v>
      </c>
      <c r="M756" s="21">
        <v>0</v>
      </c>
      <c r="N756" s="21">
        <v>0</v>
      </c>
      <c r="O756" s="21">
        <v>0</v>
      </c>
      <c r="P756" s="21">
        <v>0</v>
      </c>
      <c r="Q756" s="21">
        <v>0</v>
      </c>
      <c r="R756" s="21">
        <v>0</v>
      </c>
      <c r="S756" s="21">
        <v>0</v>
      </c>
      <c r="T756" s="24">
        <v>0</v>
      </c>
      <c r="U756" s="14">
        <v>1.175</v>
      </c>
      <c r="V756" s="44"/>
      <c r="W756" s="39">
        <f t="shared" si="187"/>
        <v>0</v>
      </c>
    </row>
    <row r="757" spans="1:29" ht="13" thickBot="1" x14ac:dyDescent="0.3">
      <c r="A757" s="7" t="s">
        <v>96</v>
      </c>
      <c r="B757" s="25" t="s">
        <v>12</v>
      </c>
      <c r="C757" s="26" t="s">
        <v>18</v>
      </c>
      <c r="D757" s="27">
        <v>1748</v>
      </c>
      <c r="E757" s="27">
        <v>0</v>
      </c>
      <c r="F757" s="27">
        <v>0</v>
      </c>
      <c r="G757" s="27">
        <v>0</v>
      </c>
      <c r="H757" s="28">
        <v>1748</v>
      </c>
      <c r="I757" s="29">
        <v>0</v>
      </c>
      <c r="J757" s="27">
        <v>0</v>
      </c>
      <c r="K757" s="27">
        <v>0</v>
      </c>
      <c r="L757" s="27">
        <v>0</v>
      </c>
      <c r="M757" s="27">
        <v>0</v>
      </c>
      <c r="N757" s="27">
        <v>0</v>
      </c>
      <c r="O757" s="27">
        <v>0</v>
      </c>
      <c r="P757" s="27">
        <v>0</v>
      </c>
      <c r="Q757" s="27">
        <v>0</v>
      </c>
      <c r="R757" s="27">
        <v>0</v>
      </c>
      <c r="S757" s="27">
        <v>0</v>
      </c>
      <c r="T757" s="29">
        <v>0</v>
      </c>
      <c r="U757" s="14">
        <v>1.175</v>
      </c>
      <c r="V757" s="43">
        <f>SUM(I752:T755)/SUM(H752:H755)</f>
        <v>0</v>
      </c>
      <c r="W757" s="39">
        <f t="shared" si="187"/>
        <v>0</v>
      </c>
      <c r="X757" s="35">
        <f>W755+W752</f>
        <v>0</v>
      </c>
      <c r="Y757" s="35">
        <f>W750</f>
        <v>0</v>
      </c>
    </row>
    <row r="758" spans="1:29" x14ac:dyDescent="0.25">
      <c r="A758" s="7" t="s">
        <v>96</v>
      </c>
      <c r="B758" s="8" t="s">
        <v>17</v>
      </c>
      <c r="C758" s="9" t="s">
        <v>21</v>
      </c>
      <c r="D758" s="10">
        <v>0</v>
      </c>
      <c r="E758" s="10">
        <v>0</v>
      </c>
      <c r="F758" s="10">
        <v>0</v>
      </c>
      <c r="G758" s="10">
        <v>0</v>
      </c>
      <c r="H758" s="11">
        <v>0</v>
      </c>
      <c r="I758" s="12">
        <v>0</v>
      </c>
      <c r="J758" s="10">
        <v>0</v>
      </c>
      <c r="K758" s="10">
        <v>0</v>
      </c>
      <c r="L758" s="10">
        <v>0</v>
      </c>
      <c r="M758" s="10">
        <v>0</v>
      </c>
      <c r="N758" s="10">
        <v>0</v>
      </c>
      <c r="O758" s="10">
        <v>0</v>
      </c>
      <c r="P758" s="10">
        <v>0</v>
      </c>
      <c r="Q758" s="10">
        <v>0</v>
      </c>
      <c r="R758" s="10">
        <v>0</v>
      </c>
      <c r="S758" s="10">
        <v>0</v>
      </c>
      <c r="T758" s="13">
        <v>0</v>
      </c>
      <c r="U758" s="14">
        <v>1.175</v>
      </c>
      <c r="W758" s="38">
        <f t="shared" ref="W758:W765" si="188">H758*U758</f>
        <v>0</v>
      </c>
      <c r="AB758" s="37" t="str">
        <f t="shared" ref="AB758:AB761" si="189">B758</f>
        <v>Parts-OTC</v>
      </c>
      <c r="AC758" s="36">
        <f t="shared" ref="AC758:AC761" si="190">I758*U758</f>
        <v>0</v>
      </c>
    </row>
    <row r="759" spans="1:29" x14ac:dyDescent="0.25">
      <c r="A759" s="7" t="s">
        <v>96</v>
      </c>
      <c r="B759" s="15" t="s">
        <v>66</v>
      </c>
      <c r="C759" s="7" t="s">
        <v>21</v>
      </c>
      <c r="D759" s="14">
        <v>0</v>
      </c>
      <c r="E759" s="14">
        <v>0</v>
      </c>
      <c r="F759" s="14">
        <v>0</v>
      </c>
      <c r="G759" s="14">
        <v>0</v>
      </c>
      <c r="H759" s="16">
        <v>0</v>
      </c>
      <c r="I759" s="17">
        <v>0</v>
      </c>
      <c r="J759" s="14">
        <v>0</v>
      </c>
      <c r="K759" s="14">
        <v>0</v>
      </c>
      <c r="L759" s="14">
        <v>0</v>
      </c>
      <c r="M759" s="14">
        <v>0</v>
      </c>
      <c r="N759" s="14">
        <v>0</v>
      </c>
      <c r="O759" s="14">
        <v>0</v>
      </c>
      <c r="P759" s="14">
        <v>0</v>
      </c>
      <c r="Q759" s="14">
        <v>0</v>
      </c>
      <c r="R759" s="14">
        <v>0</v>
      </c>
      <c r="S759" s="14">
        <v>0</v>
      </c>
      <c r="T759" s="18">
        <v>0</v>
      </c>
      <c r="U759" s="14">
        <v>1.175</v>
      </c>
      <c r="W759" s="38">
        <f t="shared" si="188"/>
        <v>0</v>
      </c>
      <c r="AB759" s="37" t="str">
        <f t="shared" si="189"/>
        <v>CTKS</v>
      </c>
      <c r="AC759" s="36">
        <f t="shared" si="190"/>
        <v>0</v>
      </c>
    </row>
    <row r="760" spans="1:29" x14ac:dyDescent="0.25">
      <c r="A760" s="7" t="s">
        <v>96</v>
      </c>
      <c r="B760" s="15" t="s">
        <v>13</v>
      </c>
      <c r="C760" s="7" t="s">
        <v>21</v>
      </c>
      <c r="D760" s="14">
        <v>0</v>
      </c>
      <c r="E760" s="14">
        <v>0</v>
      </c>
      <c r="F760" s="14">
        <v>0</v>
      </c>
      <c r="G760" s="14">
        <v>0</v>
      </c>
      <c r="H760" s="16">
        <v>56</v>
      </c>
      <c r="I760" s="17">
        <v>49</v>
      </c>
      <c r="J760" s="14">
        <v>7</v>
      </c>
      <c r="K760" s="14">
        <v>0</v>
      </c>
      <c r="L760" s="14">
        <v>0</v>
      </c>
      <c r="M760" s="14">
        <v>0</v>
      </c>
      <c r="N760" s="14">
        <v>0</v>
      </c>
      <c r="O760" s="14">
        <v>0</v>
      </c>
      <c r="P760" s="14">
        <v>0</v>
      </c>
      <c r="Q760" s="14">
        <v>0</v>
      </c>
      <c r="R760" s="14">
        <v>0</v>
      </c>
      <c r="S760" s="14">
        <v>0</v>
      </c>
      <c r="T760" s="18">
        <v>0</v>
      </c>
      <c r="U760" s="14">
        <v>1.175</v>
      </c>
      <c r="W760" s="38">
        <f t="shared" si="188"/>
        <v>65.8</v>
      </c>
      <c r="AB760" s="37" t="str">
        <f t="shared" si="189"/>
        <v>Repair</v>
      </c>
      <c r="AC760" s="36">
        <f t="shared" si="190"/>
        <v>57.575000000000003</v>
      </c>
    </row>
    <row r="761" spans="1:29" x14ac:dyDescent="0.25">
      <c r="A761" s="7" t="s">
        <v>96</v>
      </c>
      <c r="B761" s="15" t="s">
        <v>67</v>
      </c>
      <c r="C761" s="7" t="s">
        <v>21</v>
      </c>
      <c r="D761" s="14">
        <v>0</v>
      </c>
      <c r="E761" s="14">
        <v>0</v>
      </c>
      <c r="F761" s="14">
        <v>0</v>
      </c>
      <c r="G761" s="14">
        <v>0</v>
      </c>
      <c r="H761" s="16">
        <v>1241</v>
      </c>
      <c r="I761" s="17">
        <v>311</v>
      </c>
      <c r="J761" s="14">
        <v>268</v>
      </c>
      <c r="K761" s="14">
        <v>176</v>
      </c>
      <c r="L761" s="14">
        <v>174</v>
      </c>
      <c r="M761" s="14">
        <v>144</v>
      </c>
      <c r="N761" s="14">
        <v>79</v>
      </c>
      <c r="O761" s="14">
        <v>51</v>
      </c>
      <c r="P761" s="14">
        <v>14</v>
      </c>
      <c r="Q761" s="14">
        <v>10</v>
      </c>
      <c r="R761" s="14">
        <v>5</v>
      </c>
      <c r="S761" s="14">
        <v>5</v>
      </c>
      <c r="T761" s="18">
        <v>4</v>
      </c>
      <c r="U761" s="14">
        <v>1.175</v>
      </c>
      <c r="W761" s="38">
        <f t="shared" si="188"/>
        <v>1458.175</v>
      </c>
      <c r="AB761" s="37" t="str">
        <f t="shared" si="189"/>
        <v>Rental</v>
      </c>
      <c r="AC761" s="36">
        <f t="shared" si="190"/>
        <v>365.42500000000001</v>
      </c>
    </row>
    <row r="762" spans="1:29" x14ac:dyDescent="0.25">
      <c r="A762" s="7" t="s">
        <v>96</v>
      </c>
      <c r="B762" s="15" t="s">
        <v>73</v>
      </c>
      <c r="C762" s="7" t="s">
        <v>21</v>
      </c>
      <c r="D762" s="14">
        <v>0</v>
      </c>
      <c r="E762" s="14">
        <v>0</v>
      </c>
      <c r="F762" s="14">
        <v>0</v>
      </c>
      <c r="G762" s="14">
        <v>0</v>
      </c>
      <c r="H762" s="16">
        <v>0</v>
      </c>
      <c r="I762" s="17">
        <v>0</v>
      </c>
      <c r="J762" s="14">
        <v>0</v>
      </c>
      <c r="K762" s="14">
        <v>0</v>
      </c>
      <c r="L762" s="14">
        <v>0</v>
      </c>
      <c r="M762" s="14">
        <v>0</v>
      </c>
      <c r="N762" s="14">
        <v>0</v>
      </c>
      <c r="O762" s="14">
        <v>0</v>
      </c>
      <c r="P762" s="14">
        <v>0</v>
      </c>
      <c r="Q762" s="14">
        <v>0</v>
      </c>
      <c r="R762" s="14">
        <v>0</v>
      </c>
      <c r="S762" s="14">
        <v>0</v>
      </c>
      <c r="T762" s="18">
        <v>0</v>
      </c>
      <c r="U762" s="14">
        <v>1.175</v>
      </c>
      <c r="W762" s="38">
        <f t="shared" si="188"/>
        <v>0</v>
      </c>
      <c r="AB762" s="37"/>
    </row>
    <row r="763" spans="1:29" x14ac:dyDescent="0.25">
      <c r="A763" s="7" t="s">
        <v>96</v>
      </c>
      <c r="B763" s="15" t="s">
        <v>19</v>
      </c>
      <c r="C763" s="7" t="s">
        <v>21</v>
      </c>
      <c r="D763" s="14">
        <v>0</v>
      </c>
      <c r="E763" s="14">
        <v>0</v>
      </c>
      <c r="F763" s="14">
        <v>0</v>
      </c>
      <c r="G763" s="14">
        <v>0</v>
      </c>
      <c r="H763" s="16">
        <v>139</v>
      </c>
      <c r="I763" s="17">
        <v>1</v>
      </c>
      <c r="J763" s="14">
        <v>0</v>
      </c>
      <c r="K763" s="14">
        <v>0</v>
      </c>
      <c r="L763" s="14">
        <v>0</v>
      </c>
      <c r="M763" s="14">
        <v>69</v>
      </c>
      <c r="N763" s="14">
        <v>0</v>
      </c>
      <c r="O763" s="14">
        <v>69</v>
      </c>
      <c r="P763" s="14">
        <v>0</v>
      </c>
      <c r="Q763" s="14">
        <v>0</v>
      </c>
      <c r="R763" s="14">
        <v>0</v>
      </c>
      <c r="S763" s="14">
        <v>0</v>
      </c>
      <c r="T763" s="18">
        <v>0</v>
      </c>
      <c r="U763" s="14">
        <v>1.175</v>
      </c>
      <c r="W763" s="38">
        <f t="shared" si="188"/>
        <v>163.32500000000002</v>
      </c>
      <c r="AB763" s="37" t="str">
        <f t="shared" ref="AB763:AB764" si="191">B763</f>
        <v>Maintenance</v>
      </c>
      <c r="AC763" s="36">
        <f t="shared" ref="AC763:AC764" si="192">I763*U763</f>
        <v>1.175</v>
      </c>
    </row>
    <row r="764" spans="1:29" ht="13" thickBot="1" x14ac:dyDescent="0.3">
      <c r="A764" s="7" t="s">
        <v>96</v>
      </c>
      <c r="B764" s="19" t="s">
        <v>20</v>
      </c>
      <c r="C764" s="20" t="s">
        <v>21</v>
      </c>
      <c r="D764" s="21">
        <v>0</v>
      </c>
      <c r="E764" s="21">
        <v>0</v>
      </c>
      <c r="F764" s="21">
        <v>0</v>
      </c>
      <c r="G764" s="21">
        <v>0</v>
      </c>
      <c r="H764" s="22">
        <v>0</v>
      </c>
      <c r="I764" s="23">
        <v>0</v>
      </c>
      <c r="J764" s="21">
        <v>0</v>
      </c>
      <c r="K764" s="21">
        <v>0</v>
      </c>
      <c r="L764" s="21">
        <v>0</v>
      </c>
      <c r="M764" s="21">
        <v>0</v>
      </c>
      <c r="N764" s="21">
        <v>0</v>
      </c>
      <c r="O764" s="21">
        <v>0</v>
      </c>
      <c r="P764" s="21">
        <v>0</v>
      </c>
      <c r="Q764" s="21">
        <v>0</v>
      </c>
      <c r="R764" s="21">
        <v>0</v>
      </c>
      <c r="S764" s="21">
        <v>0</v>
      </c>
      <c r="T764" s="24">
        <v>0</v>
      </c>
      <c r="U764" s="14">
        <v>1.175</v>
      </c>
      <c r="W764" s="38">
        <f t="shared" si="188"/>
        <v>0</v>
      </c>
      <c r="AB764" s="37" t="str">
        <f t="shared" si="191"/>
        <v>Startup</v>
      </c>
      <c r="AC764" s="36">
        <f t="shared" si="192"/>
        <v>0</v>
      </c>
    </row>
    <row r="765" spans="1:29" ht="13" thickBot="1" x14ac:dyDescent="0.3">
      <c r="A765" s="7" t="s">
        <v>96</v>
      </c>
      <c r="B765" s="25" t="s">
        <v>12</v>
      </c>
      <c r="C765" s="26" t="s">
        <v>21</v>
      </c>
      <c r="D765" s="27">
        <v>0</v>
      </c>
      <c r="E765" s="27">
        <v>0</v>
      </c>
      <c r="F765" s="27">
        <v>0</v>
      </c>
      <c r="G765" s="27">
        <v>0</v>
      </c>
      <c r="H765" s="28">
        <v>1436</v>
      </c>
      <c r="I765" s="29">
        <v>361</v>
      </c>
      <c r="J765" s="27">
        <v>275</v>
      </c>
      <c r="K765" s="27">
        <v>176</v>
      </c>
      <c r="L765" s="27">
        <v>174</v>
      </c>
      <c r="M765" s="27">
        <v>213</v>
      </c>
      <c r="N765" s="27">
        <v>79</v>
      </c>
      <c r="O765" s="27">
        <v>120</v>
      </c>
      <c r="P765" s="27">
        <v>14</v>
      </c>
      <c r="Q765" s="27">
        <v>10</v>
      </c>
      <c r="R765" s="27">
        <v>5</v>
      </c>
      <c r="S765" s="27">
        <v>5</v>
      </c>
      <c r="T765" s="29">
        <v>4</v>
      </c>
      <c r="U765" s="14">
        <v>1.175</v>
      </c>
      <c r="W765" s="38">
        <f t="shared" si="188"/>
        <v>1687.3</v>
      </c>
      <c r="X765" s="35">
        <f>W764+W763+W760</f>
        <v>229.125</v>
      </c>
      <c r="Y765" s="35">
        <f>W758</f>
        <v>0</v>
      </c>
      <c r="Z765" s="40">
        <f>V756/X765</f>
        <v>0</v>
      </c>
      <c r="AA765" s="40">
        <f>IF((Y765=0),0,Y757/Y765)</f>
        <v>0</v>
      </c>
      <c r="AB765" s="48"/>
      <c r="AC765" s="48"/>
    </row>
    <row r="766" spans="1:29" ht="13" thickBot="1" x14ac:dyDescent="0.3">
      <c r="A766" s="7" t="s">
        <v>97</v>
      </c>
      <c r="B766" s="30" t="s">
        <v>15</v>
      </c>
      <c r="C766" s="31" t="s">
        <v>94</v>
      </c>
      <c r="D766" s="32" t="s">
        <v>47</v>
      </c>
      <c r="E766" s="53" t="s">
        <v>104</v>
      </c>
      <c r="F766" s="53" t="s">
        <v>105</v>
      </c>
      <c r="G766" s="53" t="s">
        <v>106</v>
      </c>
      <c r="H766" s="28" t="s">
        <v>12</v>
      </c>
      <c r="I766" s="54" t="s">
        <v>107</v>
      </c>
      <c r="J766" s="53" t="s">
        <v>108</v>
      </c>
      <c r="K766" s="53" t="s">
        <v>109</v>
      </c>
      <c r="L766" s="53" t="s">
        <v>110</v>
      </c>
      <c r="M766" s="53" t="s">
        <v>111</v>
      </c>
      <c r="N766" s="53" t="s">
        <v>115</v>
      </c>
      <c r="O766" s="53" t="s">
        <v>120</v>
      </c>
      <c r="P766" s="53" t="s">
        <v>121</v>
      </c>
      <c r="Q766" s="53" t="s">
        <v>164</v>
      </c>
      <c r="R766" s="53" t="s">
        <v>173</v>
      </c>
      <c r="S766" s="53" t="s">
        <v>177</v>
      </c>
      <c r="T766" s="55" t="s">
        <v>182</v>
      </c>
      <c r="U766" s="14">
        <v>1.175</v>
      </c>
      <c r="V766" s="14" t="s">
        <v>183</v>
      </c>
      <c r="W766" s="35"/>
      <c r="X766" s="14" t="s">
        <v>37</v>
      </c>
      <c r="Y766" s="14" t="s">
        <v>38</v>
      </c>
      <c r="AB766" s="48"/>
      <c r="AC766" s="48"/>
    </row>
    <row r="767" spans="1:29" x14ac:dyDescent="0.25">
      <c r="A767" s="7" t="s">
        <v>97</v>
      </c>
      <c r="B767" s="8" t="s">
        <v>17</v>
      </c>
      <c r="C767" s="9" t="s">
        <v>18</v>
      </c>
      <c r="D767" s="10">
        <v>0</v>
      </c>
      <c r="E767" s="10">
        <v>0</v>
      </c>
      <c r="F767" s="10">
        <v>0</v>
      </c>
      <c r="G767" s="10">
        <v>0</v>
      </c>
      <c r="H767" s="11">
        <v>0</v>
      </c>
      <c r="I767" s="12">
        <v>0</v>
      </c>
      <c r="J767" s="10">
        <v>0</v>
      </c>
      <c r="K767" s="10">
        <v>0</v>
      </c>
      <c r="L767" s="10">
        <v>0</v>
      </c>
      <c r="M767" s="10">
        <v>0</v>
      </c>
      <c r="N767" s="10">
        <v>0</v>
      </c>
      <c r="O767" s="10">
        <v>0</v>
      </c>
      <c r="P767" s="10">
        <v>0</v>
      </c>
      <c r="Q767" s="10">
        <v>0</v>
      </c>
      <c r="R767" s="10">
        <v>0</v>
      </c>
      <c r="S767" s="10">
        <v>0</v>
      </c>
      <c r="T767" s="13">
        <v>0</v>
      </c>
      <c r="U767" s="14">
        <v>1.175</v>
      </c>
      <c r="V767" s="42" t="e">
        <f>SUM(I767:T767)/H767</f>
        <v>#DIV/0!</v>
      </c>
      <c r="W767" s="39">
        <f>SUM(I767:T767)*U767</f>
        <v>0</v>
      </c>
    </row>
    <row r="768" spans="1:29" x14ac:dyDescent="0.25">
      <c r="A768" s="7" t="s">
        <v>97</v>
      </c>
      <c r="B768" s="15" t="s">
        <v>66</v>
      </c>
      <c r="C768" s="7" t="s">
        <v>18</v>
      </c>
      <c r="D768" s="14">
        <v>0</v>
      </c>
      <c r="E768" s="14">
        <v>0</v>
      </c>
      <c r="F768" s="14">
        <v>0</v>
      </c>
      <c r="G768" s="14">
        <v>0</v>
      </c>
      <c r="H768" s="16">
        <v>0</v>
      </c>
      <c r="I768" s="17">
        <v>0</v>
      </c>
      <c r="J768" s="14">
        <v>0</v>
      </c>
      <c r="K768" s="14">
        <v>0</v>
      </c>
      <c r="L768" s="14">
        <v>0</v>
      </c>
      <c r="M768" s="14">
        <v>0</v>
      </c>
      <c r="N768" s="14">
        <v>0</v>
      </c>
      <c r="O768" s="14">
        <v>0</v>
      </c>
      <c r="P768" s="14">
        <v>0</v>
      </c>
      <c r="Q768" s="14">
        <v>0</v>
      </c>
      <c r="R768" s="14">
        <v>0</v>
      </c>
      <c r="S768" s="14">
        <v>0</v>
      </c>
      <c r="T768" s="18">
        <v>0</v>
      </c>
      <c r="U768" s="14">
        <v>1.175</v>
      </c>
      <c r="V768" s="44"/>
      <c r="W768" s="39">
        <f t="shared" ref="W768:W774" si="193">SUM(I768:T768)*U768</f>
        <v>0</v>
      </c>
    </row>
    <row r="769" spans="1:29" x14ac:dyDescent="0.25">
      <c r="A769" s="7" t="s">
        <v>97</v>
      </c>
      <c r="B769" s="15" t="s">
        <v>13</v>
      </c>
      <c r="C769" s="7" t="s">
        <v>18</v>
      </c>
      <c r="D769" s="14">
        <v>0</v>
      </c>
      <c r="E769" s="14">
        <v>0</v>
      </c>
      <c r="F769" s="14">
        <v>0</v>
      </c>
      <c r="G769" s="14">
        <v>0</v>
      </c>
      <c r="H769" s="16">
        <v>0</v>
      </c>
      <c r="I769" s="17">
        <v>0</v>
      </c>
      <c r="J769" s="14">
        <v>0</v>
      </c>
      <c r="K769" s="14">
        <v>0</v>
      </c>
      <c r="L769" s="14">
        <v>0</v>
      </c>
      <c r="M769" s="14">
        <v>0</v>
      </c>
      <c r="N769" s="14">
        <v>0</v>
      </c>
      <c r="O769" s="14">
        <v>0</v>
      </c>
      <c r="P769" s="14">
        <v>0</v>
      </c>
      <c r="Q769" s="14">
        <v>0</v>
      </c>
      <c r="R769" s="14">
        <v>0</v>
      </c>
      <c r="S769" s="14">
        <v>0</v>
      </c>
      <c r="T769" s="18">
        <v>0</v>
      </c>
      <c r="U769" s="14">
        <v>1.175</v>
      </c>
      <c r="V769" s="41"/>
      <c r="W769" s="39">
        <f t="shared" si="193"/>
        <v>0</v>
      </c>
    </row>
    <row r="770" spans="1:29" x14ac:dyDescent="0.25">
      <c r="A770" s="7" t="s">
        <v>97</v>
      </c>
      <c r="B770" s="15" t="s">
        <v>67</v>
      </c>
      <c r="C770" s="7" t="s">
        <v>18</v>
      </c>
      <c r="D770" s="14">
        <v>0</v>
      </c>
      <c r="E770" s="14">
        <v>0</v>
      </c>
      <c r="F770" s="14">
        <v>0</v>
      </c>
      <c r="G770" s="14">
        <v>0</v>
      </c>
      <c r="H770" s="16">
        <v>804</v>
      </c>
      <c r="I770" s="17">
        <v>0</v>
      </c>
      <c r="J770" s="14">
        <v>721</v>
      </c>
      <c r="K770" s="14">
        <v>0</v>
      </c>
      <c r="L770" s="14">
        <v>9</v>
      </c>
      <c r="M770" s="14">
        <v>10</v>
      </c>
      <c r="N770" s="14">
        <v>56</v>
      </c>
      <c r="O770" s="14">
        <v>0</v>
      </c>
      <c r="P770" s="14">
        <v>0</v>
      </c>
      <c r="Q770" s="14">
        <v>0</v>
      </c>
      <c r="R770" s="14">
        <v>0</v>
      </c>
      <c r="S770" s="14">
        <v>8</v>
      </c>
      <c r="T770" s="18">
        <v>0</v>
      </c>
      <c r="U770" s="14">
        <v>1.175</v>
      </c>
      <c r="V770" s="41"/>
      <c r="W770" s="39">
        <f t="shared" si="193"/>
        <v>944.7</v>
      </c>
    </row>
    <row r="771" spans="1:29" x14ac:dyDescent="0.25">
      <c r="A771" s="7" t="s">
        <v>97</v>
      </c>
      <c r="B771" s="15" t="s">
        <v>73</v>
      </c>
      <c r="C771" s="7" t="s">
        <v>18</v>
      </c>
      <c r="D771" s="14">
        <v>0</v>
      </c>
      <c r="E771" s="14">
        <v>0</v>
      </c>
      <c r="F771" s="14">
        <v>0</v>
      </c>
      <c r="G771" s="14">
        <v>0</v>
      </c>
      <c r="H771" s="16">
        <v>0</v>
      </c>
      <c r="I771" s="17">
        <v>0</v>
      </c>
      <c r="J771" s="14">
        <v>0</v>
      </c>
      <c r="K771" s="14">
        <v>0</v>
      </c>
      <c r="L771" s="14">
        <v>0</v>
      </c>
      <c r="M771" s="14">
        <v>0</v>
      </c>
      <c r="N771" s="14">
        <v>0</v>
      </c>
      <c r="O771" s="14">
        <v>0</v>
      </c>
      <c r="P771" s="14">
        <v>0</v>
      </c>
      <c r="Q771" s="14">
        <v>0</v>
      </c>
      <c r="R771" s="14">
        <v>0</v>
      </c>
      <c r="S771" s="14">
        <v>0</v>
      </c>
      <c r="T771" s="18">
        <v>0</v>
      </c>
      <c r="U771" s="14">
        <v>1.175</v>
      </c>
      <c r="V771" s="41"/>
      <c r="W771" s="39">
        <f t="shared" si="193"/>
        <v>0</v>
      </c>
    </row>
    <row r="772" spans="1:29" x14ac:dyDescent="0.25">
      <c r="A772" s="7" t="s">
        <v>97</v>
      </c>
      <c r="B772" s="15" t="s">
        <v>19</v>
      </c>
      <c r="C772" s="7" t="s">
        <v>18</v>
      </c>
      <c r="D772" s="14">
        <v>0</v>
      </c>
      <c r="E772" s="14">
        <v>0</v>
      </c>
      <c r="F772" s="14">
        <v>0</v>
      </c>
      <c r="G772" s="14">
        <v>0</v>
      </c>
      <c r="H772" s="16">
        <v>6</v>
      </c>
      <c r="I772" s="17">
        <v>4</v>
      </c>
      <c r="J772" s="14">
        <v>2</v>
      </c>
      <c r="K772" s="14">
        <v>0</v>
      </c>
      <c r="L772" s="14">
        <v>0</v>
      </c>
      <c r="M772" s="14">
        <v>0</v>
      </c>
      <c r="N772" s="14">
        <v>0</v>
      </c>
      <c r="O772" s="14">
        <v>0</v>
      </c>
      <c r="P772" s="14">
        <v>0</v>
      </c>
      <c r="Q772" s="14">
        <v>0</v>
      </c>
      <c r="R772" s="14">
        <v>0</v>
      </c>
      <c r="S772" s="14">
        <v>0</v>
      </c>
      <c r="T772" s="18">
        <v>0</v>
      </c>
      <c r="U772" s="14">
        <v>1.175</v>
      </c>
      <c r="V772" s="41"/>
      <c r="W772" s="39">
        <f t="shared" si="193"/>
        <v>7.0500000000000007</v>
      </c>
    </row>
    <row r="773" spans="1:29" ht="13" thickBot="1" x14ac:dyDescent="0.3">
      <c r="A773" s="7" t="s">
        <v>97</v>
      </c>
      <c r="B773" s="19" t="s">
        <v>20</v>
      </c>
      <c r="C773" s="20" t="s">
        <v>18</v>
      </c>
      <c r="D773" s="21">
        <v>0</v>
      </c>
      <c r="E773" s="21">
        <v>0</v>
      </c>
      <c r="F773" s="21">
        <v>0</v>
      </c>
      <c r="G773" s="21">
        <v>0</v>
      </c>
      <c r="H773" s="22">
        <v>0</v>
      </c>
      <c r="I773" s="23">
        <v>0</v>
      </c>
      <c r="J773" s="21">
        <v>0</v>
      </c>
      <c r="K773" s="21">
        <v>0</v>
      </c>
      <c r="L773" s="21">
        <v>0</v>
      </c>
      <c r="M773" s="21">
        <v>0</v>
      </c>
      <c r="N773" s="21">
        <v>0</v>
      </c>
      <c r="O773" s="21">
        <v>0</v>
      </c>
      <c r="P773" s="21">
        <v>0</v>
      </c>
      <c r="Q773" s="21">
        <v>0</v>
      </c>
      <c r="R773" s="21">
        <v>0</v>
      </c>
      <c r="S773" s="21">
        <v>0</v>
      </c>
      <c r="T773" s="24">
        <v>0</v>
      </c>
      <c r="U773" s="14">
        <v>1.175</v>
      </c>
      <c r="V773" s="44"/>
      <c r="W773" s="39">
        <f t="shared" si="193"/>
        <v>0</v>
      </c>
    </row>
    <row r="774" spans="1:29" ht="13" thickBot="1" x14ac:dyDescent="0.3">
      <c r="A774" s="7" t="s">
        <v>97</v>
      </c>
      <c r="B774" s="25" t="s">
        <v>12</v>
      </c>
      <c r="C774" s="26" t="s">
        <v>18</v>
      </c>
      <c r="D774" s="27">
        <v>0</v>
      </c>
      <c r="E774" s="27">
        <v>0</v>
      </c>
      <c r="F774" s="27">
        <v>0</v>
      </c>
      <c r="G774" s="27">
        <v>0</v>
      </c>
      <c r="H774" s="28">
        <v>810</v>
      </c>
      <c r="I774" s="29">
        <v>4</v>
      </c>
      <c r="J774" s="27">
        <v>723</v>
      </c>
      <c r="K774" s="27">
        <v>0</v>
      </c>
      <c r="L774" s="27">
        <v>9</v>
      </c>
      <c r="M774" s="27">
        <v>10</v>
      </c>
      <c r="N774" s="27">
        <v>56</v>
      </c>
      <c r="O774" s="27">
        <v>0</v>
      </c>
      <c r="P774" s="27">
        <v>0</v>
      </c>
      <c r="Q774" s="27">
        <v>0</v>
      </c>
      <c r="R774" s="27">
        <v>0</v>
      </c>
      <c r="S774" s="27">
        <v>8</v>
      </c>
      <c r="T774" s="29">
        <v>0</v>
      </c>
      <c r="U774" s="14">
        <v>1.175</v>
      </c>
      <c r="V774" s="43">
        <f>SUM(I769:T772)/SUM(H769:H772)</f>
        <v>1</v>
      </c>
      <c r="W774" s="39">
        <f t="shared" si="193"/>
        <v>951.75</v>
      </c>
      <c r="X774" s="35">
        <f>W772+W769</f>
        <v>7.0500000000000007</v>
      </c>
      <c r="Y774" s="35">
        <f>W767</f>
        <v>0</v>
      </c>
    </row>
    <row r="775" spans="1:29" x14ac:dyDescent="0.25">
      <c r="A775" s="7" t="s">
        <v>97</v>
      </c>
      <c r="B775" s="8" t="s">
        <v>17</v>
      </c>
      <c r="C775" s="9" t="s">
        <v>21</v>
      </c>
      <c r="D775" s="10">
        <v>0</v>
      </c>
      <c r="E775" s="10">
        <v>0</v>
      </c>
      <c r="F775" s="10">
        <v>0</v>
      </c>
      <c r="G775" s="10">
        <v>0</v>
      </c>
      <c r="H775" s="11">
        <v>4</v>
      </c>
      <c r="I775" s="12">
        <v>2</v>
      </c>
      <c r="J775" s="10">
        <v>0</v>
      </c>
      <c r="K775" s="10">
        <v>0</v>
      </c>
      <c r="L775" s="10">
        <v>0</v>
      </c>
      <c r="M775" s="10">
        <v>2</v>
      </c>
      <c r="N775" s="10">
        <v>0</v>
      </c>
      <c r="O775" s="10">
        <v>0</v>
      </c>
      <c r="P775" s="10">
        <v>0</v>
      </c>
      <c r="Q775" s="10">
        <v>0</v>
      </c>
      <c r="R775" s="10">
        <v>0</v>
      </c>
      <c r="S775" s="10">
        <v>0</v>
      </c>
      <c r="T775" s="13">
        <v>0</v>
      </c>
      <c r="U775" s="14">
        <v>1.175</v>
      </c>
      <c r="W775" s="38">
        <f t="shared" ref="W775:W782" si="194">H775*U775</f>
        <v>4.7</v>
      </c>
      <c r="AB775" s="37" t="str">
        <f t="shared" ref="AB775:AB778" si="195">B775</f>
        <v>Parts-OTC</v>
      </c>
      <c r="AC775" s="36">
        <f t="shared" ref="AC775:AC778" si="196">I775*U775</f>
        <v>2.35</v>
      </c>
    </row>
    <row r="776" spans="1:29" x14ac:dyDescent="0.25">
      <c r="A776" s="7" t="s">
        <v>97</v>
      </c>
      <c r="B776" s="15" t="s">
        <v>66</v>
      </c>
      <c r="C776" s="7" t="s">
        <v>21</v>
      </c>
      <c r="D776" s="14">
        <v>0</v>
      </c>
      <c r="E776" s="14">
        <v>0</v>
      </c>
      <c r="F776" s="14">
        <v>0</v>
      </c>
      <c r="G776" s="14">
        <v>0</v>
      </c>
      <c r="H776" s="16">
        <v>0</v>
      </c>
      <c r="I776" s="17">
        <v>0</v>
      </c>
      <c r="J776" s="14">
        <v>0</v>
      </c>
      <c r="K776" s="14">
        <v>0</v>
      </c>
      <c r="L776" s="14">
        <v>0</v>
      </c>
      <c r="M776" s="14">
        <v>0</v>
      </c>
      <c r="N776" s="14">
        <v>0</v>
      </c>
      <c r="O776" s="14">
        <v>0</v>
      </c>
      <c r="P776" s="14">
        <v>0</v>
      </c>
      <c r="Q776" s="14">
        <v>0</v>
      </c>
      <c r="R776" s="14">
        <v>0</v>
      </c>
      <c r="S776" s="14">
        <v>0</v>
      </c>
      <c r="T776" s="18">
        <v>0</v>
      </c>
      <c r="U776" s="14">
        <v>1.175</v>
      </c>
      <c r="W776" s="38">
        <f t="shared" si="194"/>
        <v>0</v>
      </c>
      <c r="AB776" s="37" t="str">
        <f t="shared" si="195"/>
        <v>CTKS</v>
      </c>
      <c r="AC776" s="36">
        <f t="shared" si="196"/>
        <v>0</v>
      </c>
    </row>
    <row r="777" spans="1:29" x14ac:dyDescent="0.25">
      <c r="A777" s="7" t="s">
        <v>97</v>
      </c>
      <c r="B777" s="15" t="s">
        <v>13</v>
      </c>
      <c r="C777" s="7" t="s">
        <v>21</v>
      </c>
      <c r="D777" s="14">
        <v>0</v>
      </c>
      <c r="E777" s="14">
        <v>0</v>
      </c>
      <c r="F777" s="14">
        <v>0</v>
      </c>
      <c r="G777" s="14">
        <v>0</v>
      </c>
      <c r="H777" s="16">
        <v>1</v>
      </c>
      <c r="I777" s="17">
        <v>1</v>
      </c>
      <c r="J777" s="14">
        <v>0</v>
      </c>
      <c r="K777" s="14">
        <v>0</v>
      </c>
      <c r="L777" s="14">
        <v>0</v>
      </c>
      <c r="M777" s="14">
        <v>0</v>
      </c>
      <c r="N777" s="14">
        <v>0</v>
      </c>
      <c r="O777" s="14">
        <v>0</v>
      </c>
      <c r="P777" s="14">
        <v>0</v>
      </c>
      <c r="Q777" s="14">
        <v>0</v>
      </c>
      <c r="R777" s="14">
        <v>0</v>
      </c>
      <c r="S777" s="14">
        <v>0</v>
      </c>
      <c r="T777" s="18">
        <v>0</v>
      </c>
      <c r="U777" s="14">
        <v>1.175</v>
      </c>
      <c r="W777" s="38">
        <f t="shared" si="194"/>
        <v>1.175</v>
      </c>
      <c r="AB777" s="37" t="str">
        <f t="shared" si="195"/>
        <v>Repair</v>
      </c>
      <c r="AC777" s="36">
        <f t="shared" si="196"/>
        <v>1.175</v>
      </c>
    </row>
    <row r="778" spans="1:29" x14ac:dyDescent="0.25">
      <c r="A778" s="7" t="s">
        <v>97</v>
      </c>
      <c r="B778" s="15" t="s">
        <v>67</v>
      </c>
      <c r="C778" s="7" t="s">
        <v>21</v>
      </c>
      <c r="D778" s="14">
        <v>0</v>
      </c>
      <c r="E778" s="14">
        <v>0</v>
      </c>
      <c r="F778" s="14">
        <v>0</v>
      </c>
      <c r="G778" s="14">
        <v>0</v>
      </c>
      <c r="H778" s="16">
        <v>312</v>
      </c>
      <c r="I778" s="17">
        <v>71</v>
      </c>
      <c r="J778" s="14">
        <v>56</v>
      </c>
      <c r="K778" s="14">
        <v>43</v>
      </c>
      <c r="L778" s="14">
        <v>43</v>
      </c>
      <c r="M778" s="14">
        <v>36</v>
      </c>
      <c r="N778" s="14">
        <v>26</v>
      </c>
      <c r="O778" s="14">
        <v>12</v>
      </c>
      <c r="P778" s="14">
        <v>13</v>
      </c>
      <c r="Q778" s="14">
        <v>3</v>
      </c>
      <c r="R778" s="14">
        <v>3</v>
      </c>
      <c r="S778" s="14">
        <v>3</v>
      </c>
      <c r="T778" s="18">
        <v>3</v>
      </c>
      <c r="U778" s="14">
        <v>1.175</v>
      </c>
      <c r="W778" s="38">
        <f t="shared" si="194"/>
        <v>366.6</v>
      </c>
      <c r="AB778" s="37" t="str">
        <f t="shared" si="195"/>
        <v>Rental</v>
      </c>
      <c r="AC778" s="36">
        <f t="shared" si="196"/>
        <v>83.424999999999997</v>
      </c>
    </row>
    <row r="779" spans="1:29" x14ac:dyDescent="0.25">
      <c r="A779" s="7" t="s">
        <v>97</v>
      </c>
      <c r="B779" s="15" t="s">
        <v>73</v>
      </c>
      <c r="C779" s="7" t="s">
        <v>21</v>
      </c>
      <c r="D779" s="14">
        <v>0</v>
      </c>
      <c r="E779" s="14">
        <v>0</v>
      </c>
      <c r="F779" s="14">
        <v>0</v>
      </c>
      <c r="G779" s="14">
        <v>0</v>
      </c>
      <c r="H779" s="16">
        <v>0</v>
      </c>
      <c r="I779" s="17">
        <v>0</v>
      </c>
      <c r="J779" s="14">
        <v>0</v>
      </c>
      <c r="K779" s="14">
        <v>0</v>
      </c>
      <c r="L779" s="14">
        <v>0</v>
      </c>
      <c r="M779" s="14">
        <v>0</v>
      </c>
      <c r="N779" s="14">
        <v>0</v>
      </c>
      <c r="O779" s="14">
        <v>0</v>
      </c>
      <c r="P779" s="14">
        <v>0</v>
      </c>
      <c r="Q779" s="14">
        <v>0</v>
      </c>
      <c r="R779" s="14">
        <v>0</v>
      </c>
      <c r="S779" s="14">
        <v>0</v>
      </c>
      <c r="T779" s="18">
        <v>0</v>
      </c>
      <c r="U779" s="14">
        <v>1.175</v>
      </c>
      <c r="W779" s="38">
        <f t="shared" si="194"/>
        <v>0</v>
      </c>
      <c r="AB779" s="37"/>
    </row>
    <row r="780" spans="1:29" x14ac:dyDescent="0.25">
      <c r="A780" s="7" t="s">
        <v>97</v>
      </c>
      <c r="B780" s="15" t="s">
        <v>19</v>
      </c>
      <c r="C780" s="7" t="s">
        <v>21</v>
      </c>
      <c r="D780" s="14">
        <v>0</v>
      </c>
      <c r="E780" s="14">
        <v>0</v>
      </c>
      <c r="F780" s="14">
        <v>0</v>
      </c>
      <c r="G780" s="14">
        <v>0</v>
      </c>
      <c r="H780" s="16">
        <v>1</v>
      </c>
      <c r="I780" s="17">
        <v>0</v>
      </c>
      <c r="J780" s="14">
        <v>0</v>
      </c>
      <c r="K780" s="14">
        <v>0</v>
      </c>
      <c r="L780" s="14">
        <v>1</v>
      </c>
      <c r="M780" s="14">
        <v>0</v>
      </c>
      <c r="N780" s="14">
        <v>0</v>
      </c>
      <c r="O780" s="14">
        <v>0</v>
      </c>
      <c r="P780" s="14">
        <v>0</v>
      </c>
      <c r="Q780" s="14">
        <v>0</v>
      </c>
      <c r="R780" s="14">
        <v>0</v>
      </c>
      <c r="S780" s="14">
        <v>0</v>
      </c>
      <c r="T780" s="18">
        <v>0</v>
      </c>
      <c r="U780" s="14">
        <v>1.175</v>
      </c>
      <c r="W780" s="38">
        <f t="shared" si="194"/>
        <v>1.175</v>
      </c>
      <c r="AB780" s="37" t="str">
        <f t="shared" ref="AB780:AB781" si="197">B780</f>
        <v>Maintenance</v>
      </c>
      <c r="AC780" s="36">
        <f t="shared" ref="AC780:AC781" si="198">I780*U780</f>
        <v>0</v>
      </c>
    </row>
    <row r="781" spans="1:29" ht="13" thickBot="1" x14ac:dyDescent="0.3">
      <c r="A781" s="7" t="s">
        <v>97</v>
      </c>
      <c r="B781" s="19" t="s">
        <v>20</v>
      </c>
      <c r="C781" s="20" t="s">
        <v>21</v>
      </c>
      <c r="D781" s="21">
        <v>0</v>
      </c>
      <c r="E781" s="21">
        <v>0</v>
      </c>
      <c r="F781" s="21">
        <v>0</v>
      </c>
      <c r="G781" s="21">
        <v>0</v>
      </c>
      <c r="H781" s="22">
        <v>0</v>
      </c>
      <c r="I781" s="23">
        <v>0</v>
      </c>
      <c r="J781" s="21">
        <v>0</v>
      </c>
      <c r="K781" s="21">
        <v>0</v>
      </c>
      <c r="L781" s="21">
        <v>0</v>
      </c>
      <c r="M781" s="21">
        <v>0</v>
      </c>
      <c r="N781" s="21">
        <v>0</v>
      </c>
      <c r="O781" s="21">
        <v>0</v>
      </c>
      <c r="P781" s="21">
        <v>0</v>
      </c>
      <c r="Q781" s="21">
        <v>0</v>
      </c>
      <c r="R781" s="21">
        <v>0</v>
      </c>
      <c r="S781" s="21">
        <v>0</v>
      </c>
      <c r="T781" s="24">
        <v>0</v>
      </c>
      <c r="U781" s="14">
        <v>1.175</v>
      </c>
      <c r="W781" s="38">
        <f t="shared" si="194"/>
        <v>0</v>
      </c>
      <c r="AB781" s="37" t="str">
        <f t="shared" si="197"/>
        <v>Startup</v>
      </c>
      <c r="AC781" s="36">
        <f t="shared" si="198"/>
        <v>0</v>
      </c>
    </row>
    <row r="782" spans="1:29" ht="13" thickBot="1" x14ac:dyDescent="0.3">
      <c r="A782" s="7" t="s">
        <v>97</v>
      </c>
      <c r="B782" s="25" t="s">
        <v>12</v>
      </c>
      <c r="C782" s="26" t="s">
        <v>21</v>
      </c>
      <c r="D782" s="27">
        <v>0</v>
      </c>
      <c r="E782" s="27">
        <v>0</v>
      </c>
      <c r="F782" s="27">
        <v>0</v>
      </c>
      <c r="G782" s="27">
        <v>0</v>
      </c>
      <c r="H782" s="28">
        <v>318</v>
      </c>
      <c r="I782" s="29">
        <v>74</v>
      </c>
      <c r="J782" s="27">
        <v>56</v>
      </c>
      <c r="K782" s="27">
        <v>43</v>
      </c>
      <c r="L782" s="27">
        <v>44</v>
      </c>
      <c r="M782" s="27">
        <v>38</v>
      </c>
      <c r="N782" s="27">
        <v>26</v>
      </c>
      <c r="O782" s="27">
        <v>12</v>
      </c>
      <c r="P782" s="27">
        <v>13</v>
      </c>
      <c r="Q782" s="27">
        <v>3</v>
      </c>
      <c r="R782" s="27">
        <v>3</v>
      </c>
      <c r="S782" s="27">
        <v>3</v>
      </c>
      <c r="T782" s="29">
        <v>3</v>
      </c>
      <c r="U782" s="14">
        <v>1.175</v>
      </c>
      <c r="W782" s="38">
        <f t="shared" si="194"/>
        <v>373.65000000000003</v>
      </c>
      <c r="X782" s="35">
        <f>W781+W780+W777</f>
        <v>2.35</v>
      </c>
      <c r="Y782" s="35">
        <f>W775</f>
        <v>4.7</v>
      </c>
      <c r="Z782" s="40">
        <f>V773/X782</f>
        <v>0</v>
      </c>
      <c r="AA782" s="40">
        <f>IF((Y782=0),0,Y774/Y782)</f>
        <v>0</v>
      </c>
      <c r="AB782" s="48"/>
      <c r="AC782" s="48"/>
    </row>
    <row r="783" spans="1:29" ht="13" thickBot="1" x14ac:dyDescent="0.3">
      <c r="A783" s="7" t="s">
        <v>98</v>
      </c>
      <c r="B783" s="30" t="s">
        <v>15</v>
      </c>
      <c r="C783" s="31" t="s">
        <v>94</v>
      </c>
      <c r="D783" s="32" t="s">
        <v>47</v>
      </c>
      <c r="E783" s="53" t="s">
        <v>104</v>
      </c>
      <c r="F783" s="53" t="s">
        <v>105</v>
      </c>
      <c r="G783" s="53" t="s">
        <v>106</v>
      </c>
      <c r="H783" s="28" t="s">
        <v>12</v>
      </c>
      <c r="I783" s="54" t="s">
        <v>107</v>
      </c>
      <c r="J783" s="53" t="s">
        <v>108</v>
      </c>
      <c r="K783" s="53" t="s">
        <v>109</v>
      </c>
      <c r="L783" s="53" t="s">
        <v>110</v>
      </c>
      <c r="M783" s="53" t="s">
        <v>111</v>
      </c>
      <c r="N783" s="53" t="s">
        <v>115</v>
      </c>
      <c r="O783" s="53" t="s">
        <v>120</v>
      </c>
      <c r="P783" s="53" t="s">
        <v>121</v>
      </c>
      <c r="Q783" s="53" t="s">
        <v>164</v>
      </c>
      <c r="R783" s="53" t="s">
        <v>173</v>
      </c>
      <c r="S783" s="53" t="s">
        <v>177</v>
      </c>
      <c r="T783" s="55" t="s">
        <v>182</v>
      </c>
      <c r="U783" s="14">
        <v>1.175</v>
      </c>
      <c r="V783" s="14" t="s">
        <v>183</v>
      </c>
      <c r="W783" s="35"/>
      <c r="X783" s="14" t="s">
        <v>37</v>
      </c>
      <c r="Y783" s="14" t="s">
        <v>38</v>
      </c>
      <c r="AB783" s="48"/>
      <c r="AC783" s="48"/>
    </row>
    <row r="784" spans="1:29" x14ac:dyDescent="0.25">
      <c r="A784" s="7" t="s">
        <v>98</v>
      </c>
      <c r="B784" s="8" t="s">
        <v>17</v>
      </c>
      <c r="C784" s="9" t="s">
        <v>18</v>
      </c>
      <c r="D784" s="10">
        <v>16</v>
      </c>
      <c r="E784" s="10">
        <v>0</v>
      </c>
      <c r="F784" s="10">
        <v>0</v>
      </c>
      <c r="G784" s="10">
        <v>0</v>
      </c>
      <c r="H784" s="11">
        <v>16</v>
      </c>
      <c r="I784" s="12">
        <v>0</v>
      </c>
      <c r="J784" s="10">
        <v>0</v>
      </c>
      <c r="K784" s="10">
        <v>0</v>
      </c>
      <c r="L784" s="10">
        <v>0</v>
      </c>
      <c r="M784" s="10">
        <v>0</v>
      </c>
      <c r="N784" s="10">
        <v>0</v>
      </c>
      <c r="O784" s="10">
        <v>0</v>
      </c>
      <c r="P784" s="10">
        <v>0</v>
      </c>
      <c r="Q784" s="10">
        <v>0</v>
      </c>
      <c r="R784" s="10">
        <v>0</v>
      </c>
      <c r="S784" s="10">
        <v>0</v>
      </c>
      <c r="T784" s="13">
        <v>0</v>
      </c>
      <c r="U784" s="14">
        <v>1.175</v>
      </c>
      <c r="V784" s="42">
        <f>SUM(I784:T784)/H784</f>
        <v>0</v>
      </c>
      <c r="W784" s="39">
        <f>SUM(I784:T784)*U784</f>
        <v>0</v>
      </c>
    </row>
    <row r="785" spans="1:29" x14ac:dyDescent="0.25">
      <c r="A785" s="7" t="s">
        <v>98</v>
      </c>
      <c r="B785" s="15" t="s">
        <v>66</v>
      </c>
      <c r="C785" s="7" t="s">
        <v>18</v>
      </c>
      <c r="D785" s="14">
        <v>0</v>
      </c>
      <c r="E785" s="14">
        <v>0</v>
      </c>
      <c r="F785" s="14">
        <v>0</v>
      </c>
      <c r="G785" s="14">
        <v>0</v>
      </c>
      <c r="H785" s="16">
        <v>0</v>
      </c>
      <c r="I785" s="17">
        <v>0</v>
      </c>
      <c r="J785" s="14">
        <v>0</v>
      </c>
      <c r="K785" s="14">
        <v>0</v>
      </c>
      <c r="L785" s="14">
        <v>0</v>
      </c>
      <c r="M785" s="14">
        <v>0</v>
      </c>
      <c r="N785" s="14">
        <v>0</v>
      </c>
      <c r="O785" s="14">
        <v>0</v>
      </c>
      <c r="P785" s="14">
        <v>0</v>
      </c>
      <c r="Q785" s="14">
        <v>0</v>
      </c>
      <c r="R785" s="14">
        <v>0</v>
      </c>
      <c r="S785" s="14">
        <v>0</v>
      </c>
      <c r="T785" s="18">
        <v>0</v>
      </c>
      <c r="U785" s="14">
        <v>1.175</v>
      </c>
      <c r="V785" s="44"/>
      <c r="W785" s="39">
        <f t="shared" ref="W785:W786" si="199">SUM(I785:T785)*U785</f>
        <v>0</v>
      </c>
    </row>
    <row r="786" spans="1:29" x14ac:dyDescent="0.25">
      <c r="A786" s="7" t="s">
        <v>98</v>
      </c>
      <c r="B786" s="15" t="s">
        <v>13</v>
      </c>
      <c r="C786" s="7" t="s">
        <v>18</v>
      </c>
      <c r="D786" s="14">
        <v>0</v>
      </c>
      <c r="E786" s="14">
        <v>0</v>
      </c>
      <c r="F786" s="14">
        <v>0</v>
      </c>
      <c r="G786" s="14">
        <v>0</v>
      </c>
      <c r="H786" s="16">
        <v>0</v>
      </c>
      <c r="I786" s="17">
        <v>0</v>
      </c>
      <c r="J786" s="14">
        <v>0</v>
      </c>
      <c r="K786" s="14">
        <v>0</v>
      </c>
      <c r="L786" s="14">
        <v>0</v>
      </c>
      <c r="M786" s="14">
        <v>0</v>
      </c>
      <c r="N786" s="14">
        <v>0</v>
      </c>
      <c r="O786" s="14">
        <v>0</v>
      </c>
      <c r="P786" s="14">
        <v>0</v>
      </c>
      <c r="Q786" s="14">
        <v>0</v>
      </c>
      <c r="R786" s="14">
        <v>0</v>
      </c>
      <c r="S786" s="14">
        <v>0</v>
      </c>
      <c r="T786" s="18">
        <v>0</v>
      </c>
      <c r="U786" s="14">
        <v>1.175</v>
      </c>
      <c r="V786" s="41"/>
      <c r="W786" s="39">
        <f t="shared" si="199"/>
        <v>0</v>
      </c>
    </row>
    <row r="787" spans="1:29" x14ac:dyDescent="0.25">
      <c r="A787" s="7" t="s">
        <v>98</v>
      </c>
      <c r="B787" s="15" t="s">
        <v>67</v>
      </c>
      <c r="C787" s="7" t="s">
        <v>18</v>
      </c>
      <c r="D787" s="14">
        <v>0</v>
      </c>
      <c r="E787" s="14">
        <v>0</v>
      </c>
      <c r="F787" s="14">
        <v>0</v>
      </c>
      <c r="G787" s="14">
        <v>5</v>
      </c>
      <c r="H787" s="16">
        <v>797</v>
      </c>
      <c r="I787" s="17">
        <v>530</v>
      </c>
      <c r="J787" s="14">
        <v>187</v>
      </c>
      <c r="K787" s="14">
        <v>75</v>
      </c>
      <c r="L787" s="14">
        <v>0</v>
      </c>
      <c r="M787" s="14">
        <v>0</v>
      </c>
      <c r="N787" s="14">
        <v>0</v>
      </c>
      <c r="O787" s="14">
        <v>0</v>
      </c>
      <c r="P787" s="14">
        <v>0</v>
      </c>
      <c r="Q787" s="14">
        <v>0</v>
      </c>
      <c r="R787" s="14">
        <v>0</v>
      </c>
      <c r="S787" s="14">
        <v>0</v>
      </c>
      <c r="T787" s="18">
        <v>0</v>
      </c>
      <c r="U787" s="14">
        <v>1.175</v>
      </c>
      <c r="V787" s="41"/>
      <c r="W787" s="39">
        <f>SUM(I787:T787)*U787</f>
        <v>930.6</v>
      </c>
    </row>
    <row r="788" spans="1:29" x14ac:dyDescent="0.25">
      <c r="A788" s="7" t="s">
        <v>98</v>
      </c>
      <c r="B788" s="15" t="s">
        <v>73</v>
      </c>
      <c r="C788" s="7" t="s">
        <v>18</v>
      </c>
      <c r="D788" s="14">
        <v>0</v>
      </c>
      <c r="E788" s="14">
        <v>0</v>
      </c>
      <c r="F788" s="14">
        <v>0</v>
      </c>
      <c r="G788" s="14">
        <v>0</v>
      </c>
      <c r="H788" s="16">
        <v>0</v>
      </c>
      <c r="I788" s="17">
        <v>0</v>
      </c>
      <c r="J788" s="14">
        <v>0</v>
      </c>
      <c r="K788" s="14">
        <v>0</v>
      </c>
      <c r="L788" s="14">
        <v>0</v>
      </c>
      <c r="M788" s="14">
        <v>0</v>
      </c>
      <c r="N788" s="14">
        <v>0</v>
      </c>
      <c r="O788" s="14">
        <v>0</v>
      </c>
      <c r="P788" s="14">
        <v>0</v>
      </c>
      <c r="Q788" s="14">
        <v>0</v>
      </c>
      <c r="R788" s="14">
        <v>0</v>
      </c>
      <c r="S788" s="14">
        <v>0</v>
      </c>
      <c r="T788" s="18">
        <v>0</v>
      </c>
      <c r="U788" s="14">
        <v>1.175</v>
      </c>
      <c r="V788" s="41"/>
      <c r="W788" s="39">
        <f>SUM(I788:T788)*U788</f>
        <v>0</v>
      </c>
    </row>
    <row r="789" spans="1:29" x14ac:dyDescent="0.25">
      <c r="A789" s="7" t="s">
        <v>98</v>
      </c>
      <c r="B789" s="15" t="s">
        <v>19</v>
      </c>
      <c r="C789" s="7" t="s">
        <v>18</v>
      </c>
      <c r="D789" s="14">
        <v>0</v>
      </c>
      <c r="E789" s="14">
        <v>0</v>
      </c>
      <c r="F789" s="14">
        <v>0</v>
      </c>
      <c r="G789" s="14">
        <v>0</v>
      </c>
      <c r="H789" s="16">
        <v>0</v>
      </c>
      <c r="I789" s="17">
        <v>0</v>
      </c>
      <c r="J789" s="14">
        <v>0</v>
      </c>
      <c r="K789" s="14">
        <v>0</v>
      </c>
      <c r="L789" s="14">
        <v>0</v>
      </c>
      <c r="M789" s="14">
        <v>0</v>
      </c>
      <c r="N789" s="14">
        <v>0</v>
      </c>
      <c r="O789" s="14">
        <v>0</v>
      </c>
      <c r="P789" s="14">
        <v>0</v>
      </c>
      <c r="Q789" s="14">
        <v>0</v>
      </c>
      <c r="R789" s="14">
        <v>0</v>
      </c>
      <c r="S789" s="14">
        <v>0</v>
      </c>
      <c r="T789" s="18">
        <v>0</v>
      </c>
      <c r="U789" s="14">
        <v>1.175</v>
      </c>
      <c r="V789" s="41"/>
      <c r="W789" s="39">
        <f t="shared" ref="W789:W791" si="200">SUM(I789:T789)*U789</f>
        <v>0</v>
      </c>
    </row>
    <row r="790" spans="1:29" ht="13" thickBot="1" x14ac:dyDescent="0.3">
      <c r="A790" s="7" t="s">
        <v>98</v>
      </c>
      <c r="B790" s="19" t="s">
        <v>20</v>
      </c>
      <c r="C790" s="20" t="s">
        <v>18</v>
      </c>
      <c r="D790" s="21">
        <v>0</v>
      </c>
      <c r="E790" s="21">
        <v>0</v>
      </c>
      <c r="F790" s="21">
        <v>0</v>
      </c>
      <c r="G790" s="21">
        <v>0</v>
      </c>
      <c r="H790" s="22">
        <v>0</v>
      </c>
      <c r="I790" s="23">
        <v>0</v>
      </c>
      <c r="J790" s="21">
        <v>0</v>
      </c>
      <c r="K790" s="21">
        <v>0</v>
      </c>
      <c r="L790" s="21">
        <v>0</v>
      </c>
      <c r="M790" s="21">
        <v>0</v>
      </c>
      <c r="N790" s="21">
        <v>0</v>
      </c>
      <c r="O790" s="21">
        <v>0</v>
      </c>
      <c r="P790" s="21">
        <v>0</v>
      </c>
      <c r="Q790" s="21">
        <v>0</v>
      </c>
      <c r="R790" s="21">
        <v>0</v>
      </c>
      <c r="S790" s="21">
        <v>0</v>
      </c>
      <c r="T790" s="24">
        <v>0</v>
      </c>
      <c r="U790" s="14">
        <v>1.175</v>
      </c>
      <c r="V790" s="44"/>
      <c r="W790" s="39">
        <f t="shared" si="200"/>
        <v>0</v>
      </c>
    </row>
    <row r="791" spans="1:29" ht="13" thickBot="1" x14ac:dyDescent="0.3">
      <c r="A791" s="7" t="s">
        <v>98</v>
      </c>
      <c r="B791" s="25" t="s">
        <v>12</v>
      </c>
      <c r="C791" s="26" t="s">
        <v>18</v>
      </c>
      <c r="D791" s="27">
        <v>16</v>
      </c>
      <c r="E791" s="27">
        <v>0</v>
      </c>
      <c r="F791" s="27">
        <v>0</v>
      </c>
      <c r="G791" s="27">
        <v>5</v>
      </c>
      <c r="H791" s="28">
        <v>813</v>
      </c>
      <c r="I791" s="29">
        <v>530</v>
      </c>
      <c r="J791" s="27">
        <v>187</v>
      </c>
      <c r="K791" s="27">
        <v>75</v>
      </c>
      <c r="L791" s="27">
        <v>0</v>
      </c>
      <c r="M791" s="27">
        <v>0</v>
      </c>
      <c r="N791" s="27">
        <v>0</v>
      </c>
      <c r="O791" s="27">
        <v>0</v>
      </c>
      <c r="P791" s="27">
        <v>0</v>
      </c>
      <c r="Q791" s="27">
        <v>0</v>
      </c>
      <c r="R791" s="27">
        <v>0</v>
      </c>
      <c r="S791" s="27">
        <v>0</v>
      </c>
      <c r="T791" s="29">
        <v>0</v>
      </c>
      <c r="U791" s="14">
        <v>1.175</v>
      </c>
      <c r="V791" s="43">
        <f>SUM(I786:T789)/SUM(H786:H789)</f>
        <v>0.99372647427854455</v>
      </c>
      <c r="W791" s="39">
        <f t="shared" si="200"/>
        <v>930.6</v>
      </c>
      <c r="X791" s="35">
        <f>W789+W786</f>
        <v>0</v>
      </c>
      <c r="Y791" s="35">
        <f>W784</f>
        <v>0</v>
      </c>
    </row>
    <row r="792" spans="1:29" x14ac:dyDescent="0.25">
      <c r="A792" s="7" t="s">
        <v>98</v>
      </c>
      <c r="B792" s="8" t="s">
        <v>17</v>
      </c>
      <c r="C792" s="9" t="s">
        <v>21</v>
      </c>
      <c r="D792" s="10">
        <v>0</v>
      </c>
      <c r="E792" s="10">
        <v>0</v>
      </c>
      <c r="F792" s="10">
        <v>0</v>
      </c>
      <c r="G792" s="10">
        <v>0</v>
      </c>
      <c r="H792" s="11">
        <v>36</v>
      </c>
      <c r="I792" s="12">
        <v>36</v>
      </c>
      <c r="J792" s="10">
        <v>0</v>
      </c>
      <c r="K792" s="10">
        <v>0</v>
      </c>
      <c r="L792" s="10">
        <v>0</v>
      </c>
      <c r="M792" s="10">
        <v>0</v>
      </c>
      <c r="N792" s="10">
        <v>0</v>
      </c>
      <c r="O792" s="10">
        <v>0</v>
      </c>
      <c r="P792" s="10">
        <v>0</v>
      </c>
      <c r="Q792" s="10">
        <v>0</v>
      </c>
      <c r="R792" s="10">
        <v>0</v>
      </c>
      <c r="S792" s="10">
        <v>0</v>
      </c>
      <c r="T792" s="13">
        <v>0</v>
      </c>
      <c r="U792" s="14">
        <v>1.175</v>
      </c>
      <c r="W792" s="38">
        <f t="shared" ref="W792:W799" si="201">H792*U792</f>
        <v>42.300000000000004</v>
      </c>
      <c r="AB792" s="37" t="str">
        <f t="shared" ref="AB792:AB795" si="202">B792</f>
        <v>Parts-OTC</v>
      </c>
      <c r="AC792" s="36">
        <f t="shared" ref="AC792:AC795" si="203">I792*U792</f>
        <v>42.300000000000004</v>
      </c>
    </row>
    <row r="793" spans="1:29" x14ac:dyDescent="0.25">
      <c r="A793" s="7" t="s">
        <v>98</v>
      </c>
      <c r="B793" s="15" t="s">
        <v>66</v>
      </c>
      <c r="C793" s="7" t="s">
        <v>21</v>
      </c>
      <c r="D793" s="14">
        <v>0</v>
      </c>
      <c r="E793" s="14">
        <v>0</v>
      </c>
      <c r="F793" s="14">
        <v>0</v>
      </c>
      <c r="G793" s="14">
        <v>0</v>
      </c>
      <c r="H793" s="16">
        <v>48</v>
      </c>
      <c r="I793" s="17">
        <v>48</v>
      </c>
      <c r="J793" s="14">
        <v>0</v>
      </c>
      <c r="K793" s="14">
        <v>0</v>
      </c>
      <c r="L793" s="14">
        <v>0</v>
      </c>
      <c r="M793" s="14">
        <v>0</v>
      </c>
      <c r="N793" s="14">
        <v>0</v>
      </c>
      <c r="O793" s="14">
        <v>0</v>
      </c>
      <c r="P793" s="14">
        <v>0</v>
      </c>
      <c r="Q793" s="14">
        <v>0</v>
      </c>
      <c r="R793" s="14">
        <v>0</v>
      </c>
      <c r="S793" s="14">
        <v>0</v>
      </c>
      <c r="T793" s="18">
        <v>0</v>
      </c>
      <c r="U793" s="14">
        <v>1.175</v>
      </c>
      <c r="W793" s="38">
        <f t="shared" si="201"/>
        <v>56.400000000000006</v>
      </c>
      <c r="AB793" s="37" t="str">
        <f t="shared" si="202"/>
        <v>CTKS</v>
      </c>
      <c r="AC793" s="36">
        <f t="shared" si="203"/>
        <v>56.400000000000006</v>
      </c>
    </row>
    <row r="794" spans="1:29" x14ac:dyDescent="0.25">
      <c r="A794" s="7" t="s">
        <v>98</v>
      </c>
      <c r="B794" s="15" t="s">
        <v>13</v>
      </c>
      <c r="C794" s="7" t="s">
        <v>21</v>
      </c>
      <c r="D794" s="14">
        <v>0</v>
      </c>
      <c r="E794" s="14">
        <v>0</v>
      </c>
      <c r="F794" s="14">
        <v>0</v>
      </c>
      <c r="G794" s="14">
        <v>0</v>
      </c>
      <c r="H794" s="16">
        <v>218</v>
      </c>
      <c r="I794" s="17">
        <v>218</v>
      </c>
      <c r="J794" s="14">
        <v>0</v>
      </c>
      <c r="K794" s="14">
        <v>0</v>
      </c>
      <c r="L794" s="14">
        <v>0</v>
      </c>
      <c r="M794" s="14">
        <v>0</v>
      </c>
      <c r="N794" s="14">
        <v>0</v>
      </c>
      <c r="O794" s="14">
        <v>0</v>
      </c>
      <c r="P794" s="14">
        <v>0</v>
      </c>
      <c r="Q794" s="14">
        <v>0</v>
      </c>
      <c r="R794" s="14">
        <v>0</v>
      </c>
      <c r="S794" s="14">
        <v>0</v>
      </c>
      <c r="T794" s="18">
        <v>0</v>
      </c>
      <c r="U794" s="14">
        <v>1.175</v>
      </c>
      <c r="W794" s="38">
        <f t="shared" si="201"/>
        <v>256.15000000000003</v>
      </c>
      <c r="AB794" s="37" t="str">
        <f t="shared" si="202"/>
        <v>Repair</v>
      </c>
      <c r="AC794" s="36">
        <f t="shared" si="203"/>
        <v>256.15000000000003</v>
      </c>
    </row>
    <row r="795" spans="1:29" x14ac:dyDescent="0.25">
      <c r="A795" s="7" t="s">
        <v>98</v>
      </c>
      <c r="B795" s="15" t="s">
        <v>67</v>
      </c>
      <c r="C795" s="7" t="s">
        <v>21</v>
      </c>
      <c r="D795" s="14">
        <v>0</v>
      </c>
      <c r="E795" s="14">
        <v>0</v>
      </c>
      <c r="F795" s="14">
        <v>0</v>
      </c>
      <c r="G795" s="14">
        <v>0</v>
      </c>
      <c r="H795" s="16">
        <v>3446</v>
      </c>
      <c r="I795" s="17">
        <v>3009</v>
      </c>
      <c r="J795" s="14">
        <v>42</v>
      </c>
      <c r="K795" s="14">
        <v>106</v>
      </c>
      <c r="L795" s="14">
        <v>41</v>
      </c>
      <c r="M795" s="14">
        <v>50</v>
      </c>
      <c r="N795" s="14">
        <v>51</v>
      </c>
      <c r="O795" s="14">
        <v>29</v>
      </c>
      <c r="P795" s="14">
        <v>14</v>
      </c>
      <c r="Q795" s="14">
        <v>63</v>
      </c>
      <c r="R795" s="14">
        <v>7</v>
      </c>
      <c r="S795" s="14">
        <v>15</v>
      </c>
      <c r="T795" s="18">
        <v>19</v>
      </c>
      <c r="U795" s="14">
        <v>1.175</v>
      </c>
      <c r="W795" s="38">
        <f t="shared" si="201"/>
        <v>4049.05</v>
      </c>
      <c r="AB795" s="37" t="str">
        <f t="shared" si="202"/>
        <v>Rental</v>
      </c>
      <c r="AC795" s="36">
        <f t="shared" si="203"/>
        <v>3535.5750000000003</v>
      </c>
    </row>
    <row r="796" spans="1:29" x14ac:dyDescent="0.25">
      <c r="A796" s="7" t="s">
        <v>98</v>
      </c>
      <c r="B796" s="15" t="s">
        <v>73</v>
      </c>
      <c r="C796" s="7" t="s">
        <v>21</v>
      </c>
      <c r="D796" s="14">
        <v>0</v>
      </c>
      <c r="E796" s="14">
        <v>0</v>
      </c>
      <c r="F796" s="14">
        <v>0</v>
      </c>
      <c r="G796" s="14">
        <v>0</v>
      </c>
      <c r="H796" s="16">
        <v>4</v>
      </c>
      <c r="I796" s="17">
        <v>0</v>
      </c>
      <c r="J796" s="14">
        <v>0</v>
      </c>
      <c r="K796" s="14">
        <v>0</v>
      </c>
      <c r="L796" s="14">
        <v>0</v>
      </c>
      <c r="M796" s="14">
        <v>0</v>
      </c>
      <c r="N796" s="14">
        <v>0</v>
      </c>
      <c r="O796" s="14">
        <v>0</v>
      </c>
      <c r="P796" s="14">
        <v>0</v>
      </c>
      <c r="Q796" s="14">
        <v>4</v>
      </c>
      <c r="R796" s="14">
        <v>0</v>
      </c>
      <c r="S796" s="14">
        <v>0</v>
      </c>
      <c r="T796" s="18">
        <v>0</v>
      </c>
      <c r="U796" s="14">
        <v>1.175</v>
      </c>
      <c r="W796" s="38">
        <f t="shared" si="201"/>
        <v>4.7</v>
      </c>
      <c r="AB796" s="37"/>
    </row>
    <row r="797" spans="1:29" x14ac:dyDescent="0.25">
      <c r="A797" s="7" t="s">
        <v>98</v>
      </c>
      <c r="B797" s="15" t="s">
        <v>19</v>
      </c>
      <c r="C797" s="7" t="s">
        <v>21</v>
      </c>
      <c r="D797" s="14">
        <v>0</v>
      </c>
      <c r="E797" s="14">
        <v>0</v>
      </c>
      <c r="F797" s="14">
        <v>0</v>
      </c>
      <c r="G797" s="14">
        <v>0</v>
      </c>
      <c r="H797" s="16">
        <v>2</v>
      </c>
      <c r="I797" s="17">
        <v>0</v>
      </c>
      <c r="J797" s="14">
        <v>1</v>
      </c>
      <c r="K797" s="14">
        <v>0</v>
      </c>
      <c r="L797" s="14">
        <v>0</v>
      </c>
      <c r="M797" s="14">
        <v>0</v>
      </c>
      <c r="N797" s="14">
        <v>0</v>
      </c>
      <c r="O797" s="14">
        <v>1</v>
      </c>
      <c r="P797" s="14">
        <v>0</v>
      </c>
      <c r="Q797" s="14">
        <v>0</v>
      </c>
      <c r="R797" s="14">
        <v>0</v>
      </c>
      <c r="S797" s="14">
        <v>0</v>
      </c>
      <c r="T797" s="18">
        <v>0</v>
      </c>
      <c r="U797" s="14">
        <v>1.175</v>
      </c>
      <c r="W797" s="38">
        <f t="shared" si="201"/>
        <v>2.35</v>
      </c>
      <c r="AB797" s="37" t="str">
        <f t="shared" ref="AB797:AB798" si="204">B797</f>
        <v>Maintenance</v>
      </c>
      <c r="AC797" s="36">
        <f t="shared" ref="AC797:AC798" si="205">I797*U797</f>
        <v>0</v>
      </c>
    </row>
    <row r="798" spans="1:29" ht="13" thickBot="1" x14ac:dyDescent="0.3">
      <c r="A798" s="7" t="s">
        <v>98</v>
      </c>
      <c r="B798" s="19" t="s">
        <v>20</v>
      </c>
      <c r="C798" s="20" t="s">
        <v>21</v>
      </c>
      <c r="D798" s="21">
        <v>0</v>
      </c>
      <c r="E798" s="21">
        <v>0</v>
      </c>
      <c r="F798" s="21">
        <v>0</v>
      </c>
      <c r="G798" s="21">
        <v>0</v>
      </c>
      <c r="H798" s="22">
        <v>62</v>
      </c>
      <c r="I798" s="23">
        <v>62</v>
      </c>
      <c r="J798" s="21">
        <v>0</v>
      </c>
      <c r="K798" s="21">
        <v>0</v>
      </c>
      <c r="L798" s="21">
        <v>0</v>
      </c>
      <c r="M798" s="21">
        <v>0</v>
      </c>
      <c r="N798" s="21">
        <v>0</v>
      </c>
      <c r="O798" s="21">
        <v>0</v>
      </c>
      <c r="P798" s="21">
        <v>0</v>
      </c>
      <c r="Q798" s="21">
        <v>0</v>
      </c>
      <c r="R798" s="21">
        <v>0</v>
      </c>
      <c r="S798" s="21">
        <v>0</v>
      </c>
      <c r="T798" s="24">
        <v>0</v>
      </c>
      <c r="U798" s="14">
        <v>1.175</v>
      </c>
      <c r="W798" s="38">
        <f t="shared" si="201"/>
        <v>72.850000000000009</v>
      </c>
      <c r="AB798" s="37" t="str">
        <f t="shared" si="204"/>
        <v>Startup</v>
      </c>
      <c r="AC798" s="36">
        <f t="shared" si="205"/>
        <v>72.850000000000009</v>
      </c>
    </row>
    <row r="799" spans="1:29" ht="13" thickBot="1" x14ac:dyDescent="0.3">
      <c r="A799" s="7" t="s">
        <v>98</v>
      </c>
      <c r="B799" s="25" t="s">
        <v>12</v>
      </c>
      <c r="C799" s="26" t="s">
        <v>21</v>
      </c>
      <c r="D799" s="27">
        <v>0</v>
      </c>
      <c r="E799" s="27">
        <v>0</v>
      </c>
      <c r="F799" s="27">
        <v>0</v>
      </c>
      <c r="G799" s="27">
        <v>0</v>
      </c>
      <c r="H799" s="28">
        <v>3816</v>
      </c>
      <c r="I799" s="29">
        <v>3373</v>
      </c>
      <c r="J799" s="27">
        <v>43</v>
      </c>
      <c r="K799" s="27">
        <v>106</v>
      </c>
      <c r="L799" s="27">
        <v>41</v>
      </c>
      <c r="M799" s="27">
        <v>50</v>
      </c>
      <c r="N799" s="27">
        <v>51</v>
      </c>
      <c r="O799" s="27">
        <v>30</v>
      </c>
      <c r="P799" s="27">
        <v>14</v>
      </c>
      <c r="Q799" s="27">
        <v>67</v>
      </c>
      <c r="R799" s="27">
        <v>7</v>
      </c>
      <c r="S799" s="27">
        <v>15</v>
      </c>
      <c r="T799" s="29">
        <v>19</v>
      </c>
      <c r="U799" s="14">
        <v>1.175</v>
      </c>
      <c r="W799" s="38">
        <f t="shared" si="201"/>
        <v>4483.8</v>
      </c>
      <c r="X799" s="35">
        <f>W798+W797+W794</f>
        <v>331.35</v>
      </c>
      <c r="Y799" s="35">
        <f>W792</f>
        <v>42.300000000000004</v>
      </c>
      <c r="Z799" s="40">
        <f>V790/X799</f>
        <v>0</v>
      </c>
      <c r="AA799" s="40">
        <f>IF((Y799=0),0,Y791/Y799)</f>
        <v>0</v>
      </c>
      <c r="AB799" s="48"/>
      <c r="AC799" s="48"/>
    </row>
  </sheetData>
  <phoneticPr fontId="2" type="noConversion"/>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D799"/>
  <sheetViews>
    <sheetView workbookViewId="0">
      <pane xSplit="1" ySplit="1" topLeftCell="B304" activePane="bottomRight" state="frozen"/>
      <selection activeCell="C441" sqref="C441"/>
      <selection pane="topRight" activeCell="C441" sqref="C441"/>
      <selection pane="bottomLeft" activeCell="C441" sqref="C441"/>
      <selection pane="bottomRight" activeCell="W304" sqref="W304"/>
    </sheetView>
  </sheetViews>
  <sheetFormatPr defaultColWidth="9.08984375" defaultRowHeight="12.5" outlineLevelCol="1" x14ac:dyDescent="0.25"/>
  <cols>
    <col min="1" max="1" width="7.36328125" bestFit="1" customWidth="1"/>
    <col min="2" max="2" width="15.08984375" bestFit="1" customWidth="1"/>
    <col min="4" max="4" width="5.6328125" customWidth="1" outlineLevel="1"/>
    <col min="5" max="7" width="5.453125" customWidth="1" outlineLevel="1"/>
    <col min="8" max="8" width="7" customWidth="1" outlineLevel="1"/>
    <col min="9" max="11" width="6.08984375" customWidth="1" outlineLevel="1"/>
    <col min="12" max="18" width="5.6328125" customWidth="1" outlineLevel="1"/>
    <col min="19" max="20" width="6.54296875" customWidth="1" outlineLevel="1"/>
    <col min="21" max="21" width="10.453125" customWidth="1" outlineLevel="1"/>
    <col min="22" max="22" width="8.90625"/>
    <col min="24" max="24" width="8.90625" style="14" hidden="1" customWidth="1" outlineLevel="1"/>
    <col min="25" max="25" width="9.08984375" style="14" hidden="1" customWidth="1" outlineLevel="1"/>
    <col min="26" max="27" width="13.36328125" style="36" hidden="1" customWidth="1" outlineLevel="1"/>
    <col min="28" max="29" width="9.08984375" style="36" hidden="1" customWidth="1" outlineLevel="1"/>
    <col min="30" max="30" width="9.08984375" style="36" collapsed="1"/>
  </cols>
  <sheetData>
    <row r="1" spans="1:29" ht="13" thickBot="1" x14ac:dyDescent="0.3">
      <c r="A1" s="1" t="s">
        <v>2</v>
      </c>
      <c r="B1" s="2" t="s">
        <v>15</v>
      </c>
      <c r="C1" s="3" t="s">
        <v>94</v>
      </c>
      <c r="D1" s="4" t="s">
        <v>47</v>
      </c>
      <c r="E1" s="51" t="s">
        <v>116</v>
      </c>
      <c r="F1" s="51" t="s">
        <v>117</v>
      </c>
      <c r="G1" s="51" t="s">
        <v>118</v>
      </c>
      <c r="H1" s="5" t="s">
        <v>12</v>
      </c>
      <c r="I1" s="52" t="s">
        <v>119</v>
      </c>
      <c r="J1" s="51" t="s">
        <v>174</v>
      </c>
      <c r="K1" s="51" t="s">
        <v>175</v>
      </c>
      <c r="L1" s="51" t="s">
        <v>99</v>
      </c>
      <c r="M1" s="51" t="s">
        <v>100</v>
      </c>
      <c r="N1" s="51" t="s">
        <v>101</v>
      </c>
      <c r="O1" s="51" t="s">
        <v>102</v>
      </c>
      <c r="P1" s="51" t="s">
        <v>103</v>
      </c>
      <c r="Q1" s="51" t="s">
        <v>104</v>
      </c>
      <c r="R1" s="51" t="s">
        <v>105</v>
      </c>
      <c r="S1" s="51" t="s">
        <v>106</v>
      </c>
      <c r="T1" s="52" t="s">
        <v>107</v>
      </c>
      <c r="U1" s="6">
        <v>1.175</v>
      </c>
      <c r="V1" s="14" t="s">
        <v>183</v>
      </c>
      <c r="X1" s="14" t="s">
        <v>37</v>
      </c>
      <c r="Y1" s="14" t="s">
        <v>38</v>
      </c>
      <c r="Z1" s="14" t="s">
        <v>39</v>
      </c>
      <c r="AA1" s="14" t="s">
        <v>40</v>
      </c>
    </row>
    <row r="2" spans="1:29" x14ac:dyDescent="0.25">
      <c r="A2" s="7" t="s">
        <v>2</v>
      </c>
      <c r="B2" s="8" t="s">
        <v>17</v>
      </c>
      <c r="C2" s="9" t="s">
        <v>18</v>
      </c>
      <c r="D2" s="10">
        <v>0</v>
      </c>
      <c r="E2" s="10">
        <v>0</v>
      </c>
      <c r="F2" s="10">
        <v>0</v>
      </c>
      <c r="G2" s="10">
        <v>0</v>
      </c>
      <c r="H2" s="11">
        <v>588</v>
      </c>
      <c r="I2" s="12">
        <v>232</v>
      </c>
      <c r="J2" s="10">
        <v>278</v>
      </c>
      <c r="K2" s="10">
        <v>0</v>
      </c>
      <c r="L2" s="10">
        <v>0</v>
      </c>
      <c r="M2" s="10">
        <v>0</v>
      </c>
      <c r="N2" s="10">
        <v>0</v>
      </c>
      <c r="O2" s="10">
        <v>0</v>
      </c>
      <c r="P2" s="10">
        <v>77</v>
      </c>
      <c r="Q2" s="10">
        <v>0</v>
      </c>
      <c r="R2" s="10">
        <v>0</v>
      </c>
      <c r="S2" s="10">
        <v>0</v>
      </c>
      <c r="T2" s="13">
        <v>0</v>
      </c>
      <c r="U2" s="14">
        <v>1.175</v>
      </c>
      <c r="V2" s="42">
        <f>SUM(I2:T2)/H2</f>
        <v>0.99829931972789121</v>
      </c>
      <c r="W2" s="39">
        <f t="shared" ref="W2:W65" si="0">SUM(I2:T2)*U2</f>
        <v>689.72500000000002</v>
      </c>
    </row>
    <row r="3" spans="1:29" x14ac:dyDescent="0.25">
      <c r="A3" s="7" t="s">
        <v>2</v>
      </c>
      <c r="B3" s="15" t="s">
        <v>66</v>
      </c>
      <c r="C3" s="7" t="s">
        <v>18</v>
      </c>
      <c r="D3" s="14">
        <v>205</v>
      </c>
      <c r="E3" s="14">
        <v>14</v>
      </c>
      <c r="F3" s="14">
        <v>14</v>
      </c>
      <c r="G3" s="14">
        <v>36</v>
      </c>
      <c r="H3" s="16">
        <v>277</v>
      </c>
      <c r="I3" s="17">
        <v>4</v>
      </c>
      <c r="J3" s="14">
        <v>5</v>
      </c>
      <c r="K3" s="14">
        <v>0</v>
      </c>
      <c r="L3" s="14">
        <v>0</v>
      </c>
      <c r="M3" s="14">
        <v>0</v>
      </c>
      <c r="N3" s="14">
        <v>0</v>
      </c>
      <c r="O3" s="14">
        <v>0</v>
      </c>
      <c r="P3" s="14">
        <v>0</v>
      </c>
      <c r="Q3" s="14">
        <v>0</v>
      </c>
      <c r="R3" s="14">
        <v>0</v>
      </c>
      <c r="S3" s="14">
        <v>0</v>
      </c>
      <c r="T3" s="18">
        <v>0</v>
      </c>
      <c r="U3" s="14">
        <v>1.175</v>
      </c>
      <c r="V3" s="44"/>
      <c r="W3" s="39">
        <f t="shared" si="0"/>
        <v>10.575000000000001</v>
      </c>
    </row>
    <row r="4" spans="1:29" x14ac:dyDescent="0.25">
      <c r="A4" s="7" t="s">
        <v>2</v>
      </c>
      <c r="B4" s="15" t="s">
        <v>13</v>
      </c>
      <c r="C4" s="7" t="s">
        <v>18</v>
      </c>
      <c r="D4" s="14">
        <v>1870</v>
      </c>
      <c r="E4" s="14">
        <v>394</v>
      </c>
      <c r="F4" s="14">
        <v>313</v>
      </c>
      <c r="G4" s="14">
        <v>323</v>
      </c>
      <c r="H4" s="16">
        <v>3687</v>
      </c>
      <c r="I4" s="17">
        <v>467</v>
      </c>
      <c r="J4" s="14">
        <v>77</v>
      </c>
      <c r="K4" s="14">
        <v>103</v>
      </c>
      <c r="L4" s="14">
        <v>0</v>
      </c>
      <c r="M4" s="14">
        <v>104</v>
      </c>
      <c r="N4" s="14">
        <v>27</v>
      </c>
      <c r="O4" s="14">
        <v>0</v>
      </c>
      <c r="P4" s="14">
        <v>0</v>
      </c>
      <c r="Q4" s="14">
        <v>0</v>
      </c>
      <c r="R4" s="14">
        <v>0</v>
      </c>
      <c r="S4" s="14">
        <v>9</v>
      </c>
      <c r="T4" s="18">
        <v>0</v>
      </c>
      <c r="U4" s="14">
        <v>1.175</v>
      </c>
      <c r="V4" s="41"/>
      <c r="W4" s="39">
        <f t="shared" si="0"/>
        <v>924.72500000000002</v>
      </c>
    </row>
    <row r="5" spans="1:29" x14ac:dyDescent="0.25">
      <c r="A5" s="7" t="s">
        <v>2</v>
      </c>
      <c r="B5" s="15" t="s">
        <v>67</v>
      </c>
      <c r="C5" s="7" t="s">
        <v>18</v>
      </c>
      <c r="D5" s="14">
        <v>1431</v>
      </c>
      <c r="E5" s="14">
        <v>3141</v>
      </c>
      <c r="F5" s="14">
        <v>790</v>
      </c>
      <c r="G5" s="14">
        <v>192</v>
      </c>
      <c r="H5" s="16">
        <v>5986</v>
      </c>
      <c r="I5" s="17">
        <v>280</v>
      </c>
      <c r="J5" s="14">
        <v>33</v>
      </c>
      <c r="K5" s="14">
        <v>0</v>
      </c>
      <c r="L5" s="14">
        <v>0</v>
      </c>
      <c r="M5" s="14">
        <v>39</v>
      </c>
      <c r="N5" s="14">
        <v>18</v>
      </c>
      <c r="O5" s="14">
        <v>63</v>
      </c>
      <c r="P5" s="14">
        <v>0</v>
      </c>
      <c r="Q5" s="14">
        <v>0</v>
      </c>
      <c r="R5" s="14">
        <v>0</v>
      </c>
      <c r="S5" s="14">
        <v>0</v>
      </c>
      <c r="T5" s="18">
        <v>0</v>
      </c>
      <c r="U5" s="14">
        <v>1.175</v>
      </c>
      <c r="V5" s="41"/>
      <c r="W5" s="39">
        <f t="shared" si="0"/>
        <v>508.77500000000003</v>
      </c>
    </row>
    <row r="6" spans="1:29" x14ac:dyDescent="0.25">
      <c r="A6" s="7" t="s">
        <v>2</v>
      </c>
      <c r="B6" s="15" t="s">
        <v>73</v>
      </c>
      <c r="C6" s="7" t="s">
        <v>18</v>
      </c>
      <c r="D6" s="14">
        <v>2449</v>
      </c>
      <c r="E6" s="14">
        <v>511</v>
      </c>
      <c r="F6" s="14">
        <v>675</v>
      </c>
      <c r="G6" s="14">
        <v>470</v>
      </c>
      <c r="H6" s="16">
        <v>5742</v>
      </c>
      <c r="I6" s="17">
        <v>393</v>
      </c>
      <c r="J6" s="14">
        <v>228</v>
      </c>
      <c r="K6" s="14">
        <v>236</v>
      </c>
      <c r="L6" s="14">
        <v>0</v>
      </c>
      <c r="M6" s="14">
        <v>653</v>
      </c>
      <c r="N6" s="14">
        <v>0</v>
      </c>
      <c r="O6" s="14">
        <v>116</v>
      </c>
      <c r="P6" s="14">
        <v>0</v>
      </c>
      <c r="Q6" s="14">
        <v>11</v>
      </c>
      <c r="R6" s="14">
        <v>0</v>
      </c>
      <c r="S6" s="14">
        <v>0</v>
      </c>
      <c r="T6" s="18">
        <v>0</v>
      </c>
      <c r="U6" s="14">
        <v>1.175</v>
      </c>
      <c r="V6" s="41"/>
      <c r="W6" s="39">
        <f t="shared" si="0"/>
        <v>1923.4750000000001</v>
      </c>
    </row>
    <row r="7" spans="1:29" x14ac:dyDescent="0.25">
      <c r="A7" s="7" t="s">
        <v>2</v>
      </c>
      <c r="B7" s="15" t="s">
        <v>19</v>
      </c>
      <c r="C7" s="7" t="s">
        <v>18</v>
      </c>
      <c r="D7" s="14">
        <v>603</v>
      </c>
      <c r="E7" s="14">
        <v>90</v>
      </c>
      <c r="F7" s="14">
        <v>685</v>
      </c>
      <c r="G7" s="14">
        <v>475</v>
      </c>
      <c r="H7" s="16">
        <v>2366</v>
      </c>
      <c r="I7" s="17">
        <v>182</v>
      </c>
      <c r="J7" s="14">
        <v>288</v>
      </c>
      <c r="K7" s="14">
        <v>0</v>
      </c>
      <c r="L7" s="14">
        <v>0</v>
      </c>
      <c r="M7" s="14">
        <v>0</v>
      </c>
      <c r="N7" s="14">
        <v>23</v>
      </c>
      <c r="O7" s="14">
        <v>0</v>
      </c>
      <c r="P7" s="14">
        <v>0</v>
      </c>
      <c r="Q7" s="14">
        <v>0</v>
      </c>
      <c r="R7" s="14">
        <v>0</v>
      </c>
      <c r="S7" s="14">
        <v>21</v>
      </c>
      <c r="T7" s="18">
        <v>0</v>
      </c>
      <c r="U7" s="14">
        <v>1.175</v>
      </c>
      <c r="V7" s="41"/>
      <c r="W7" s="39">
        <f t="shared" si="0"/>
        <v>603.95000000000005</v>
      </c>
    </row>
    <row r="8" spans="1:29" ht="13" thickBot="1" x14ac:dyDescent="0.3">
      <c r="A8" s="7" t="s">
        <v>2</v>
      </c>
      <c r="B8" s="19" t="s">
        <v>20</v>
      </c>
      <c r="C8" s="20" t="s">
        <v>18</v>
      </c>
      <c r="D8" s="21">
        <v>0</v>
      </c>
      <c r="E8" s="21">
        <v>7</v>
      </c>
      <c r="F8" s="21">
        <v>2</v>
      </c>
      <c r="G8" s="21">
        <v>2</v>
      </c>
      <c r="H8" s="22">
        <v>37</v>
      </c>
      <c r="I8" s="23">
        <v>26</v>
      </c>
      <c r="J8" s="21">
        <v>0</v>
      </c>
      <c r="K8" s="21">
        <v>0</v>
      </c>
      <c r="L8" s="21">
        <v>0</v>
      </c>
      <c r="M8" s="21">
        <v>0</v>
      </c>
      <c r="N8" s="21">
        <v>0</v>
      </c>
      <c r="O8" s="21">
        <v>0</v>
      </c>
      <c r="P8" s="21">
        <v>0</v>
      </c>
      <c r="Q8" s="21">
        <v>0</v>
      </c>
      <c r="R8" s="21">
        <v>0</v>
      </c>
      <c r="S8" s="21">
        <v>0</v>
      </c>
      <c r="T8" s="24">
        <v>0</v>
      </c>
      <c r="U8" s="14">
        <v>1.175</v>
      </c>
      <c r="V8" s="44"/>
      <c r="W8" s="39">
        <f t="shared" si="0"/>
        <v>30.55</v>
      </c>
    </row>
    <row r="9" spans="1:29" ht="13" thickBot="1" x14ac:dyDescent="0.3">
      <c r="A9" s="7" t="s">
        <v>2</v>
      </c>
      <c r="B9" s="25" t="s">
        <v>12</v>
      </c>
      <c r="C9" s="26" t="s">
        <v>18</v>
      </c>
      <c r="D9" s="27">
        <v>6558</v>
      </c>
      <c r="E9" s="27">
        <v>4157</v>
      </c>
      <c r="F9" s="27">
        <v>2479</v>
      </c>
      <c r="G9" s="27">
        <v>1498</v>
      </c>
      <c r="H9" s="28">
        <v>18683</v>
      </c>
      <c r="I9" s="29">
        <v>1584</v>
      </c>
      <c r="J9" s="27">
        <v>909</v>
      </c>
      <c r="K9" s="27">
        <v>339</v>
      </c>
      <c r="L9" s="27">
        <v>0</v>
      </c>
      <c r="M9" s="27">
        <v>796</v>
      </c>
      <c r="N9" s="27">
        <v>68</v>
      </c>
      <c r="O9" s="27">
        <v>179</v>
      </c>
      <c r="P9" s="27">
        <v>77</v>
      </c>
      <c r="Q9" s="27">
        <v>11</v>
      </c>
      <c r="R9" s="27">
        <v>0</v>
      </c>
      <c r="S9" s="27">
        <v>30</v>
      </c>
      <c r="T9" s="29">
        <v>0</v>
      </c>
      <c r="U9" s="14">
        <v>1.175</v>
      </c>
      <c r="V9" s="43">
        <f>SUM(I4:T7)/SUM(H4:H7)</f>
        <v>0.18958438782970585</v>
      </c>
      <c r="W9" s="39"/>
      <c r="X9" s="35">
        <f>W7+W4</f>
        <v>1528.6750000000002</v>
      </c>
      <c r="Y9" s="35">
        <f>W2</f>
        <v>689.72500000000002</v>
      </c>
    </row>
    <row r="10" spans="1:29" x14ac:dyDescent="0.25">
      <c r="A10" s="7" t="s">
        <v>2</v>
      </c>
      <c r="B10" s="8" t="s">
        <v>17</v>
      </c>
      <c r="C10" s="9" t="s">
        <v>21</v>
      </c>
      <c r="D10" s="10">
        <v>0</v>
      </c>
      <c r="E10" s="10">
        <v>0</v>
      </c>
      <c r="F10" s="10">
        <v>0</v>
      </c>
      <c r="G10" s="10">
        <v>0</v>
      </c>
      <c r="H10" s="11">
        <v>45</v>
      </c>
      <c r="I10" s="12">
        <v>45</v>
      </c>
      <c r="J10" s="10">
        <v>0</v>
      </c>
      <c r="K10" s="10">
        <v>0</v>
      </c>
      <c r="L10" s="10">
        <v>0</v>
      </c>
      <c r="M10" s="10">
        <v>0</v>
      </c>
      <c r="N10" s="10">
        <v>0</v>
      </c>
      <c r="O10" s="10">
        <v>0</v>
      </c>
      <c r="P10" s="10">
        <v>0</v>
      </c>
      <c r="Q10" s="10">
        <v>0</v>
      </c>
      <c r="R10" s="10">
        <v>0</v>
      </c>
      <c r="S10" s="10">
        <v>0</v>
      </c>
      <c r="T10" s="13">
        <v>0</v>
      </c>
      <c r="U10" s="14">
        <v>1.175</v>
      </c>
      <c r="W10" s="39">
        <f t="shared" si="0"/>
        <v>52.875</v>
      </c>
      <c r="AB10" s="37" t="str">
        <f t="shared" ref="AB10:AB16" si="1">B10</f>
        <v>Parts-OTC</v>
      </c>
      <c r="AC10" s="36">
        <f t="shared" ref="AC10:AC16" si="2">I10*U10</f>
        <v>52.875</v>
      </c>
    </row>
    <row r="11" spans="1:29" x14ac:dyDescent="0.25">
      <c r="A11" s="7" t="s">
        <v>2</v>
      </c>
      <c r="B11" s="15" t="s">
        <v>66</v>
      </c>
      <c r="C11" s="7" t="s">
        <v>21</v>
      </c>
      <c r="D11" s="14">
        <v>0</v>
      </c>
      <c r="E11" s="14">
        <v>0</v>
      </c>
      <c r="F11" s="14">
        <v>0</v>
      </c>
      <c r="G11" s="14">
        <v>0</v>
      </c>
      <c r="H11" s="16">
        <v>292</v>
      </c>
      <c r="I11" s="17">
        <v>174</v>
      </c>
      <c r="J11" s="14">
        <v>118</v>
      </c>
      <c r="K11" s="14">
        <v>0</v>
      </c>
      <c r="L11" s="14">
        <v>0</v>
      </c>
      <c r="M11" s="14">
        <v>0</v>
      </c>
      <c r="N11" s="14">
        <v>0</v>
      </c>
      <c r="O11" s="14">
        <v>0</v>
      </c>
      <c r="P11" s="14">
        <v>0</v>
      </c>
      <c r="Q11" s="14">
        <v>0</v>
      </c>
      <c r="R11" s="14">
        <v>0</v>
      </c>
      <c r="S11" s="14">
        <v>0</v>
      </c>
      <c r="T11" s="18">
        <v>0</v>
      </c>
      <c r="U11" s="14">
        <v>1.175</v>
      </c>
      <c r="W11" s="39">
        <f t="shared" si="0"/>
        <v>343.1</v>
      </c>
      <c r="AB11" s="37" t="str">
        <f t="shared" si="1"/>
        <v>CTKS</v>
      </c>
      <c r="AC11" s="36">
        <f t="shared" si="2"/>
        <v>204.45000000000002</v>
      </c>
    </row>
    <row r="12" spans="1:29" x14ac:dyDescent="0.25">
      <c r="A12" s="7" t="s">
        <v>2</v>
      </c>
      <c r="B12" s="15" t="s">
        <v>13</v>
      </c>
      <c r="C12" s="7" t="s">
        <v>21</v>
      </c>
      <c r="D12" s="14">
        <v>0</v>
      </c>
      <c r="E12" s="14">
        <v>0</v>
      </c>
      <c r="F12" s="14">
        <v>0</v>
      </c>
      <c r="G12" s="14">
        <v>0</v>
      </c>
      <c r="H12" s="16">
        <v>986</v>
      </c>
      <c r="I12" s="17">
        <v>787</v>
      </c>
      <c r="J12" s="14">
        <v>131</v>
      </c>
      <c r="K12" s="14">
        <v>1</v>
      </c>
      <c r="L12" s="14">
        <v>9</v>
      </c>
      <c r="M12" s="14">
        <v>20</v>
      </c>
      <c r="N12" s="14">
        <v>0</v>
      </c>
      <c r="O12" s="14">
        <v>5</v>
      </c>
      <c r="P12" s="14">
        <v>29</v>
      </c>
      <c r="Q12" s="14">
        <v>0</v>
      </c>
      <c r="R12" s="14">
        <v>5</v>
      </c>
      <c r="S12" s="14">
        <v>0</v>
      </c>
      <c r="T12" s="18">
        <v>0</v>
      </c>
      <c r="U12" s="14">
        <v>1.175</v>
      </c>
      <c r="W12" s="39">
        <f t="shared" si="0"/>
        <v>1159.7250000000001</v>
      </c>
      <c r="AB12" s="37" t="str">
        <f t="shared" si="1"/>
        <v>Repair</v>
      </c>
      <c r="AC12" s="36">
        <f t="shared" si="2"/>
        <v>924.72500000000002</v>
      </c>
    </row>
    <row r="13" spans="1:29" x14ac:dyDescent="0.25">
      <c r="A13" s="7" t="s">
        <v>2</v>
      </c>
      <c r="B13" s="15" t="s">
        <v>67</v>
      </c>
      <c r="C13" s="7" t="s">
        <v>21</v>
      </c>
      <c r="D13" s="14">
        <v>0</v>
      </c>
      <c r="E13" s="14">
        <v>0</v>
      </c>
      <c r="F13" s="14">
        <v>0</v>
      </c>
      <c r="G13" s="14">
        <v>0</v>
      </c>
      <c r="H13" s="16">
        <v>2407</v>
      </c>
      <c r="I13" s="17">
        <v>368</v>
      </c>
      <c r="J13" s="14">
        <v>303</v>
      </c>
      <c r="K13" s="14">
        <v>236</v>
      </c>
      <c r="L13" s="14">
        <v>218</v>
      </c>
      <c r="M13" s="14">
        <v>193</v>
      </c>
      <c r="N13" s="14">
        <v>173</v>
      </c>
      <c r="O13" s="14">
        <v>146</v>
      </c>
      <c r="P13" s="14">
        <v>296</v>
      </c>
      <c r="Q13" s="14">
        <v>127</v>
      </c>
      <c r="R13" s="14">
        <v>124</v>
      </c>
      <c r="S13" s="14">
        <v>118</v>
      </c>
      <c r="T13" s="18">
        <v>104</v>
      </c>
      <c r="U13" s="14">
        <v>1.175</v>
      </c>
      <c r="W13" s="39">
        <f t="shared" si="0"/>
        <v>2827.05</v>
      </c>
      <c r="AB13" s="37" t="str">
        <f t="shared" si="1"/>
        <v>Rental</v>
      </c>
      <c r="AC13" s="36">
        <f t="shared" si="2"/>
        <v>432.40000000000003</v>
      </c>
    </row>
    <row r="14" spans="1:29" x14ac:dyDescent="0.25">
      <c r="A14" s="7" t="s">
        <v>2</v>
      </c>
      <c r="B14" s="15" t="s">
        <v>73</v>
      </c>
      <c r="C14" s="7" t="s">
        <v>21</v>
      </c>
      <c r="D14" s="14">
        <v>0</v>
      </c>
      <c r="E14" s="14">
        <v>0</v>
      </c>
      <c r="F14" s="14">
        <v>0</v>
      </c>
      <c r="G14" s="14">
        <v>0</v>
      </c>
      <c r="H14" s="16">
        <v>1250</v>
      </c>
      <c r="I14" s="17">
        <v>917</v>
      </c>
      <c r="J14" s="14">
        <v>179</v>
      </c>
      <c r="K14" s="14">
        <v>9</v>
      </c>
      <c r="L14" s="14">
        <v>1</v>
      </c>
      <c r="M14" s="14">
        <v>7</v>
      </c>
      <c r="N14" s="14">
        <v>1</v>
      </c>
      <c r="O14" s="14">
        <v>12</v>
      </c>
      <c r="P14" s="14">
        <v>103</v>
      </c>
      <c r="Q14" s="14">
        <v>2</v>
      </c>
      <c r="R14" s="14">
        <v>1</v>
      </c>
      <c r="S14" s="14">
        <v>1</v>
      </c>
      <c r="T14" s="18">
        <v>16</v>
      </c>
      <c r="U14" s="14">
        <v>1.175</v>
      </c>
      <c r="W14" s="39">
        <f t="shared" si="0"/>
        <v>1467.575</v>
      </c>
      <c r="AB14" s="37"/>
    </row>
    <row r="15" spans="1:29" x14ac:dyDescent="0.25">
      <c r="A15" s="7" t="s">
        <v>2</v>
      </c>
      <c r="B15" s="15" t="s">
        <v>19</v>
      </c>
      <c r="C15" s="7" t="s">
        <v>21</v>
      </c>
      <c r="D15" s="14">
        <v>0</v>
      </c>
      <c r="E15" s="14">
        <v>0</v>
      </c>
      <c r="F15" s="14">
        <v>0</v>
      </c>
      <c r="G15" s="14">
        <v>0</v>
      </c>
      <c r="H15" s="16">
        <v>4060</v>
      </c>
      <c r="I15" s="17">
        <v>960</v>
      </c>
      <c r="J15" s="14">
        <v>470</v>
      </c>
      <c r="K15" s="14">
        <v>286</v>
      </c>
      <c r="L15" s="14">
        <v>203</v>
      </c>
      <c r="M15" s="14">
        <v>452</v>
      </c>
      <c r="N15" s="14">
        <v>539</v>
      </c>
      <c r="O15" s="14">
        <v>335</v>
      </c>
      <c r="P15" s="14">
        <v>241</v>
      </c>
      <c r="Q15" s="14">
        <v>104</v>
      </c>
      <c r="R15" s="14">
        <v>41</v>
      </c>
      <c r="S15" s="14">
        <v>128</v>
      </c>
      <c r="T15" s="18">
        <v>300</v>
      </c>
      <c r="U15" s="14">
        <v>1.175</v>
      </c>
      <c r="W15" s="39">
        <f t="shared" si="0"/>
        <v>4769.3249999999998</v>
      </c>
      <c r="AB15" s="37" t="str">
        <f t="shared" si="1"/>
        <v>Maintenance</v>
      </c>
      <c r="AC15" s="36">
        <f t="shared" si="2"/>
        <v>1128</v>
      </c>
    </row>
    <row r="16" spans="1:29" ht="13" thickBot="1" x14ac:dyDescent="0.3">
      <c r="A16" s="7" t="s">
        <v>2</v>
      </c>
      <c r="B16" s="19" t="s">
        <v>20</v>
      </c>
      <c r="C16" s="20" t="s">
        <v>21</v>
      </c>
      <c r="D16" s="21">
        <v>0</v>
      </c>
      <c r="E16" s="21">
        <v>0</v>
      </c>
      <c r="F16" s="21">
        <v>0</v>
      </c>
      <c r="G16" s="21">
        <v>0</v>
      </c>
      <c r="H16" s="22">
        <v>24</v>
      </c>
      <c r="I16" s="23">
        <v>23</v>
      </c>
      <c r="J16" s="21">
        <v>0</v>
      </c>
      <c r="K16" s="21">
        <v>0</v>
      </c>
      <c r="L16" s="21">
        <v>0</v>
      </c>
      <c r="M16" s="21">
        <v>0</v>
      </c>
      <c r="N16" s="21">
        <v>0</v>
      </c>
      <c r="O16" s="21">
        <v>0</v>
      </c>
      <c r="P16" s="21">
        <v>1</v>
      </c>
      <c r="Q16" s="21">
        <v>0</v>
      </c>
      <c r="R16" s="21">
        <v>0</v>
      </c>
      <c r="S16" s="21">
        <v>0</v>
      </c>
      <c r="T16" s="24">
        <v>0</v>
      </c>
      <c r="U16" s="14">
        <v>1.175</v>
      </c>
      <c r="W16" s="39">
        <f t="shared" si="0"/>
        <v>28.200000000000003</v>
      </c>
      <c r="AB16" s="37" t="str">
        <f t="shared" si="1"/>
        <v>Startup</v>
      </c>
      <c r="AC16" s="36">
        <f t="shared" si="2"/>
        <v>27.025000000000002</v>
      </c>
    </row>
    <row r="17" spans="1:29" ht="13" thickBot="1" x14ac:dyDescent="0.3">
      <c r="A17" s="20" t="s">
        <v>2</v>
      </c>
      <c r="B17" s="25" t="s">
        <v>12</v>
      </c>
      <c r="C17" s="26" t="s">
        <v>21</v>
      </c>
      <c r="D17" s="27">
        <v>0</v>
      </c>
      <c r="E17" s="27">
        <v>0</v>
      </c>
      <c r="F17" s="27">
        <v>0</v>
      </c>
      <c r="G17" s="27">
        <v>0</v>
      </c>
      <c r="H17" s="28">
        <v>9064</v>
      </c>
      <c r="I17" s="29">
        <v>3274</v>
      </c>
      <c r="J17" s="27">
        <v>1201</v>
      </c>
      <c r="K17" s="27">
        <v>532</v>
      </c>
      <c r="L17" s="27">
        <v>431</v>
      </c>
      <c r="M17" s="27">
        <v>672</v>
      </c>
      <c r="N17" s="27">
        <v>713</v>
      </c>
      <c r="O17" s="27">
        <v>498</v>
      </c>
      <c r="P17" s="27">
        <v>670</v>
      </c>
      <c r="Q17" s="27">
        <v>233</v>
      </c>
      <c r="R17" s="27">
        <v>171</v>
      </c>
      <c r="S17" s="27">
        <v>247</v>
      </c>
      <c r="T17" s="29">
        <v>420</v>
      </c>
      <c r="U17" s="14">
        <v>1.175</v>
      </c>
      <c r="W17" s="39">
        <f t="shared" si="0"/>
        <v>10647.85</v>
      </c>
      <c r="X17" s="35">
        <f>W16+W15+W12</f>
        <v>5957.25</v>
      </c>
      <c r="Y17" s="35">
        <f>W10</f>
        <v>52.875</v>
      </c>
      <c r="Z17" s="40">
        <f>V8/X17</f>
        <v>0</v>
      </c>
      <c r="AA17" s="40">
        <f>IF((Y17=0),0,Y9/Y17)</f>
        <v>13.044444444444444</v>
      </c>
      <c r="AB17" s="48"/>
      <c r="AC17" s="48"/>
    </row>
    <row r="18" spans="1:29" ht="13" thickBot="1" x14ac:dyDescent="0.3">
      <c r="A18" s="9" t="s">
        <v>4</v>
      </c>
      <c r="B18" s="30" t="s">
        <v>15</v>
      </c>
      <c r="C18" s="31" t="s">
        <v>46</v>
      </c>
      <c r="D18" s="32" t="s">
        <v>47</v>
      </c>
      <c r="E18" s="53">
        <v>45689</v>
      </c>
      <c r="F18" s="53">
        <v>45717</v>
      </c>
      <c r="G18" s="53">
        <v>45748</v>
      </c>
      <c r="H18" s="28" t="s">
        <v>12</v>
      </c>
      <c r="I18" s="54">
        <v>45778</v>
      </c>
      <c r="J18" s="53">
        <v>45809</v>
      </c>
      <c r="K18" s="53">
        <v>45839</v>
      </c>
      <c r="L18" s="53">
        <v>45870</v>
      </c>
      <c r="M18" s="53">
        <v>45901</v>
      </c>
      <c r="N18" s="53">
        <v>45931</v>
      </c>
      <c r="O18" s="53">
        <v>45962</v>
      </c>
      <c r="P18" s="53">
        <v>45992</v>
      </c>
      <c r="Q18" s="53">
        <v>46023</v>
      </c>
      <c r="R18" s="53">
        <v>46054</v>
      </c>
      <c r="S18" s="53">
        <v>46082</v>
      </c>
      <c r="T18" s="55">
        <v>46113</v>
      </c>
      <c r="U18" s="14">
        <v>1.175</v>
      </c>
      <c r="V18" s="14" t="s">
        <v>183</v>
      </c>
      <c r="W18" s="39">
        <f t="shared" si="0"/>
        <v>647840.95000000007</v>
      </c>
      <c r="X18" s="14" t="s">
        <v>37</v>
      </c>
      <c r="Y18" s="14" t="s">
        <v>38</v>
      </c>
      <c r="AB18" s="48"/>
      <c r="AC18" s="48"/>
    </row>
    <row r="19" spans="1:29" x14ac:dyDescent="0.25">
      <c r="A19" s="7" t="s">
        <v>4</v>
      </c>
      <c r="B19" s="8" t="s">
        <v>17</v>
      </c>
      <c r="C19" s="9" t="s">
        <v>18</v>
      </c>
      <c r="D19" s="10">
        <v>0</v>
      </c>
      <c r="E19" s="10">
        <v>0</v>
      </c>
      <c r="F19" s="10">
        <v>0</v>
      </c>
      <c r="G19" s="10">
        <v>0</v>
      </c>
      <c r="H19" s="11">
        <v>342</v>
      </c>
      <c r="I19" s="12">
        <v>253</v>
      </c>
      <c r="J19" s="10">
        <v>89</v>
      </c>
      <c r="K19" s="10">
        <v>0</v>
      </c>
      <c r="L19" s="10">
        <v>0</v>
      </c>
      <c r="M19" s="10">
        <v>0</v>
      </c>
      <c r="N19" s="10">
        <v>0</v>
      </c>
      <c r="O19" s="10">
        <v>0</v>
      </c>
      <c r="P19" s="10">
        <v>0</v>
      </c>
      <c r="Q19" s="10">
        <v>0</v>
      </c>
      <c r="R19" s="10">
        <v>0</v>
      </c>
      <c r="S19" s="10">
        <v>0</v>
      </c>
      <c r="T19" s="13">
        <v>0</v>
      </c>
      <c r="U19" s="14">
        <v>1.175</v>
      </c>
      <c r="V19" s="42">
        <f>SUM(I19:T19)/H19</f>
        <v>1</v>
      </c>
      <c r="W19" s="39">
        <f t="shared" si="0"/>
        <v>401.85</v>
      </c>
    </row>
    <row r="20" spans="1:29" x14ac:dyDescent="0.25">
      <c r="A20" s="7" t="s">
        <v>4</v>
      </c>
      <c r="B20" s="15" t="s">
        <v>66</v>
      </c>
      <c r="C20" s="7" t="s">
        <v>18</v>
      </c>
      <c r="D20" s="14">
        <v>157</v>
      </c>
      <c r="E20" s="14">
        <v>43</v>
      </c>
      <c r="F20" s="14">
        <v>0</v>
      </c>
      <c r="G20" s="14">
        <v>0</v>
      </c>
      <c r="H20" s="16">
        <v>2682</v>
      </c>
      <c r="I20" s="17">
        <v>2129</v>
      </c>
      <c r="J20" s="14">
        <v>303</v>
      </c>
      <c r="K20" s="14">
        <v>50</v>
      </c>
      <c r="L20" s="14">
        <v>0</v>
      </c>
      <c r="M20" s="14">
        <v>0</v>
      </c>
      <c r="N20" s="14">
        <v>0</v>
      </c>
      <c r="O20" s="14">
        <v>0</v>
      </c>
      <c r="P20" s="14">
        <v>0</v>
      </c>
      <c r="Q20" s="14">
        <v>0</v>
      </c>
      <c r="R20" s="14">
        <v>0</v>
      </c>
      <c r="S20" s="14">
        <v>0</v>
      </c>
      <c r="T20" s="18">
        <v>0</v>
      </c>
      <c r="U20" s="14">
        <v>1.175</v>
      </c>
      <c r="V20" s="44"/>
      <c r="W20" s="39">
        <f t="shared" si="0"/>
        <v>2916.35</v>
      </c>
    </row>
    <row r="21" spans="1:29" x14ac:dyDescent="0.25">
      <c r="A21" s="7" t="s">
        <v>4</v>
      </c>
      <c r="B21" s="15" t="s">
        <v>13</v>
      </c>
      <c r="C21" s="7" t="s">
        <v>18</v>
      </c>
      <c r="D21" s="14">
        <v>0</v>
      </c>
      <c r="E21" s="14">
        <v>0</v>
      </c>
      <c r="F21" s="14">
        <v>0</v>
      </c>
      <c r="G21" s="14">
        <v>0</v>
      </c>
      <c r="H21" s="16">
        <v>1153</v>
      </c>
      <c r="I21" s="17">
        <v>746</v>
      </c>
      <c r="J21" s="14">
        <v>392</v>
      </c>
      <c r="K21" s="14">
        <v>15</v>
      </c>
      <c r="L21" s="14">
        <v>0</v>
      </c>
      <c r="M21" s="14">
        <v>0</v>
      </c>
      <c r="N21" s="14">
        <v>0</v>
      </c>
      <c r="O21" s="14">
        <v>0</v>
      </c>
      <c r="P21" s="14">
        <v>0</v>
      </c>
      <c r="Q21" s="14">
        <v>0</v>
      </c>
      <c r="R21" s="14">
        <v>0</v>
      </c>
      <c r="S21" s="14">
        <v>0</v>
      </c>
      <c r="T21" s="18">
        <v>0</v>
      </c>
      <c r="U21" s="14">
        <v>1.175</v>
      </c>
      <c r="V21" s="41"/>
      <c r="W21" s="39">
        <f t="shared" si="0"/>
        <v>1354.7750000000001</v>
      </c>
    </row>
    <row r="22" spans="1:29" x14ac:dyDescent="0.25">
      <c r="A22" s="7" t="s">
        <v>4</v>
      </c>
      <c r="B22" s="15" t="s">
        <v>67</v>
      </c>
      <c r="C22" s="7" t="s">
        <v>18</v>
      </c>
      <c r="D22" s="14">
        <v>50</v>
      </c>
      <c r="E22" s="14">
        <v>0</v>
      </c>
      <c r="F22" s="14">
        <v>0</v>
      </c>
      <c r="G22" s="14">
        <v>0</v>
      </c>
      <c r="H22" s="16">
        <v>1682</v>
      </c>
      <c r="I22" s="17">
        <v>1305</v>
      </c>
      <c r="J22" s="14">
        <v>270</v>
      </c>
      <c r="K22" s="14">
        <v>39</v>
      </c>
      <c r="L22" s="14">
        <v>0</v>
      </c>
      <c r="M22" s="14">
        <v>18</v>
      </c>
      <c r="N22" s="14">
        <v>0</v>
      </c>
      <c r="O22" s="14">
        <v>0</v>
      </c>
      <c r="P22" s="14">
        <v>0</v>
      </c>
      <c r="Q22" s="14">
        <v>0</v>
      </c>
      <c r="R22" s="14">
        <v>0</v>
      </c>
      <c r="S22" s="14">
        <v>0</v>
      </c>
      <c r="T22" s="18">
        <v>0</v>
      </c>
      <c r="U22" s="14">
        <v>1.175</v>
      </c>
      <c r="V22" s="41"/>
      <c r="W22" s="39">
        <f t="shared" si="0"/>
        <v>1917.6000000000001</v>
      </c>
    </row>
    <row r="23" spans="1:29" x14ac:dyDescent="0.25">
      <c r="A23" s="7" t="s">
        <v>4</v>
      </c>
      <c r="B23" s="15" t="s">
        <v>73</v>
      </c>
      <c r="C23" s="7" t="s">
        <v>18</v>
      </c>
      <c r="D23" s="14">
        <v>0</v>
      </c>
      <c r="E23" s="14">
        <v>0</v>
      </c>
      <c r="F23" s="14">
        <v>0</v>
      </c>
      <c r="G23" s="14">
        <v>0</v>
      </c>
      <c r="H23" s="16">
        <v>2048</v>
      </c>
      <c r="I23" s="17">
        <v>1069</v>
      </c>
      <c r="J23" s="14">
        <v>867</v>
      </c>
      <c r="K23" s="14">
        <v>63</v>
      </c>
      <c r="L23" s="14">
        <v>0</v>
      </c>
      <c r="M23" s="14">
        <v>0</v>
      </c>
      <c r="N23" s="14">
        <v>48</v>
      </c>
      <c r="O23" s="14">
        <v>0</v>
      </c>
      <c r="P23" s="14">
        <v>1</v>
      </c>
      <c r="Q23" s="14">
        <v>0</v>
      </c>
      <c r="R23" s="14">
        <v>0</v>
      </c>
      <c r="S23" s="14">
        <v>0</v>
      </c>
      <c r="T23" s="18">
        <v>0</v>
      </c>
      <c r="U23" s="14">
        <v>1.175</v>
      </c>
      <c r="V23" s="41"/>
      <c r="W23" s="39">
        <f t="shared" si="0"/>
        <v>2406.4</v>
      </c>
    </row>
    <row r="24" spans="1:29" x14ac:dyDescent="0.25">
      <c r="A24" s="7" t="s">
        <v>4</v>
      </c>
      <c r="B24" s="15" t="s">
        <v>19</v>
      </c>
      <c r="C24" s="7" t="s">
        <v>18</v>
      </c>
      <c r="D24" s="14">
        <v>0</v>
      </c>
      <c r="E24" s="14">
        <v>0</v>
      </c>
      <c r="F24" s="14">
        <v>2</v>
      </c>
      <c r="G24" s="14">
        <v>3</v>
      </c>
      <c r="H24" s="16">
        <v>654</v>
      </c>
      <c r="I24" s="17">
        <v>532</v>
      </c>
      <c r="J24" s="14">
        <v>106</v>
      </c>
      <c r="K24" s="14">
        <v>11</v>
      </c>
      <c r="L24" s="14">
        <v>0</v>
      </c>
      <c r="M24" s="14">
        <v>0</v>
      </c>
      <c r="N24" s="14">
        <v>0</v>
      </c>
      <c r="O24" s="14">
        <v>0</v>
      </c>
      <c r="P24" s="14">
        <v>0</v>
      </c>
      <c r="Q24" s="14">
        <v>0</v>
      </c>
      <c r="R24" s="14">
        <v>0</v>
      </c>
      <c r="S24" s="14">
        <v>0</v>
      </c>
      <c r="T24" s="18">
        <v>0</v>
      </c>
      <c r="U24" s="14">
        <v>1.175</v>
      </c>
      <c r="V24" s="41"/>
      <c r="W24" s="39">
        <f t="shared" si="0"/>
        <v>762.57500000000005</v>
      </c>
    </row>
    <row r="25" spans="1:29" ht="13" thickBot="1" x14ac:dyDescent="0.3">
      <c r="A25" s="7" t="s">
        <v>4</v>
      </c>
      <c r="B25" s="19" t="s">
        <v>20</v>
      </c>
      <c r="C25" s="20" t="s">
        <v>18</v>
      </c>
      <c r="D25" s="21">
        <v>18</v>
      </c>
      <c r="E25" s="21">
        <v>0</v>
      </c>
      <c r="F25" s="21">
        <v>0</v>
      </c>
      <c r="G25" s="21">
        <v>0</v>
      </c>
      <c r="H25" s="22">
        <v>26</v>
      </c>
      <c r="I25" s="23">
        <v>4</v>
      </c>
      <c r="J25" s="21">
        <v>2</v>
      </c>
      <c r="K25" s="21">
        <v>0</v>
      </c>
      <c r="L25" s="21">
        <v>2</v>
      </c>
      <c r="M25" s="21">
        <v>0</v>
      </c>
      <c r="N25" s="21">
        <v>0</v>
      </c>
      <c r="O25" s="21">
        <v>0</v>
      </c>
      <c r="P25" s="21">
        <v>0</v>
      </c>
      <c r="Q25" s="21">
        <v>0</v>
      </c>
      <c r="R25" s="21">
        <v>0</v>
      </c>
      <c r="S25" s="21">
        <v>0</v>
      </c>
      <c r="T25" s="24">
        <v>0</v>
      </c>
      <c r="U25" s="14">
        <v>1.175</v>
      </c>
      <c r="V25" s="44"/>
      <c r="W25" s="39">
        <f t="shared" si="0"/>
        <v>9.4</v>
      </c>
    </row>
    <row r="26" spans="1:29" ht="13" thickBot="1" x14ac:dyDescent="0.3">
      <c r="A26" s="7" t="s">
        <v>4</v>
      </c>
      <c r="B26" s="25" t="s">
        <v>12</v>
      </c>
      <c r="C26" s="26" t="s">
        <v>18</v>
      </c>
      <c r="D26" s="27">
        <v>224</v>
      </c>
      <c r="E26" s="27">
        <v>43</v>
      </c>
      <c r="F26" s="27">
        <v>2</v>
      </c>
      <c r="G26" s="27">
        <v>3</v>
      </c>
      <c r="H26" s="28">
        <v>8585</v>
      </c>
      <c r="I26" s="29">
        <v>6038</v>
      </c>
      <c r="J26" s="27">
        <v>2029</v>
      </c>
      <c r="K26" s="27">
        <v>177</v>
      </c>
      <c r="L26" s="27">
        <v>2</v>
      </c>
      <c r="M26" s="27">
        <v>18</v>
      </c>
      <c r="N26" s="27">
        <v>48</v>
      </c>
      <c r="O26" s="27">
        <v>0</v>
      </c>
      <c r="P26" s="27">
        <v>1</v>
      </c>
      <c r="Q26" s="27">
        <v>0</v>
      </c>
      <c r="R26" s="27">
        <v>0</v>
      </c>
      <c r="S26" s="27">
        <v>0</v>
      </c>
      <c r="T26" s="29">
        <v>0</v>
      </c>
      <c r="U26" s="14">
        <v>1.175</v>
      </c>
      <c r="V26" s="43">
        <f>SUM(I21:T24)/SUM(H21:H24)</f>
        <v>0.99006682318945283</v>
      </c>
      <c r="W26" s="39">
        <f t="shared" si="0"/>
        <v>9767.7749999999996</v>
      </c>
      <c r="X26" s="35">
        <f>W24+W21</f>
        <v>2117.3500000000004</v>
      </c>
      <c r="Y26" s="35">
        <f>W19</f>
        <v>401.85</v>
      </c>
    </row>
    <row r="27" spans="1:29" x14ac:dyDescent="0.25">
      <c r="A27" s="7" t="s">
        <v>4</v>
      </c>
      <c r="B27" s="8" t="s">
        <v>17</v>
      </c>
      <c r="C27" s="9" t="s">
        <v>21</v>
      </c>
      <c r="D27" s="10">
        <v>0</v>
      </c>
      <c r="E27" s="10">
        <v>0</v>
      </c>
      <c r="F27" s="10">
        <v>0</v>
      </c>
      <c r="G27" s="10">
        <v>0</v>
      </c>
      <c r="H27" s="11">
        <v>1</v>
      </c>
      <c r="I27" s="12">
        <v>1</v>
      </c>
      <c r="J27" s="10">
        <v>0</v>
      </c>
      <c r="K27" s="10">
        <v>0</v>
      </c>
      <c r="L27" s="10">
        <v>0</v>
      </c>
      <c r="M27" s="10">
        <v>0</v>
      </c>
      <c r="N27" s="10">
        <v>0</v>
      </c>
      <c r="O27" s="10">
        <v>0</v>
      </c>
      <c r="P27" s="10">
        <v>0</v>
      </c>
      <c r="Q27" s="10">
        <v>0</v>
      </c>
      <c r="R27" s="10">
        <v>0</v>
      </c>
      <c r="S27" s="10">
        <v>0</v>
      </c>
      <c r="T27" s="13">
        <v>0</v>
      </c>
      <c r="U27" s="14">
        <v>1.175</v>
      </c>
      <c r="W27" s="39">
        <f t="shared" si="0"/>
        <v>1.175</v>
      </c>
      <c r="AB27" s="37" t="str">
        <f t="shared" ref="AB27:AB33" si="3">B27</f>
        <v>Parts-OTC</v>
      </c>
      <c r="AC27" s="36">
        <f t="shared" ref="AC27:AC33" si="4">I27*U27</f>
        <v>1.175</v>
      </c>
    </row>
    <row r="28" spans="1:29" x14ac:dyDescent="0.25">
      <c r="A28" s="7" t="s">
        <v>4</v>
      </c>
      <c r="B28" s="15" t="s">
        <v>66</v>
      </c>
      <c r="C28" s="7" t="s">
        <v>21</v>
      </c>
      <c r="D28" s="14">
        <v>0</v>
      </c>
      <c r="E28" s="14">
        <v>0</v>
      </c>
      <c r="F28" s="14">
        <v>0</v>
      </c>
      <c r="G28" s="14">
        <v>0</v>
      </c>
      <c r="H28" s="16">
        <v>437</v>
      </c>
      <c r="I28" s="17">
        <v>349</v>
      </c>
      <c r="J28" s="14">
        <v>66</v>
      </c>
      <c r="K28" s="14">
        <v>0</v>
      </c>
      <c r="L28" s="14">
        <v>0</v>
      </c>
      <c r="M28" s="14">
        <v>22</v>
      </c>
      <c r="N28" s="14">
        <v>0</v>
      </c>
      <c r="O28" s="14">
        <v>0</v>
      </c>
      <c r="P28" s="14">
        <v>0</v>
      </c>
      <c r="Q28" s="14">
        <v>0</v>
      </c>
      <c r="R28" s="14">
        <v>0</v>
      </c>
      <c r="S28" s="14">
        <v>0</v>
      </c>
      <c r="T28" s="18">
        <v>0</v>
      </c>
      <c r="U28" s="14">
        <v>1.175</v>
      </c>
      <c r="W28" s="39">
        <f t="shared" si="0"/>
        <v>513.47500000000002</v>
      </c>
      <c r="AB28" s="37" t="str">
        <f t="shared" si="3"/>
        <v>CTKS</v>
      </c>
      <c r="AC28" s="36">
        <f t="shared" si="4"/>
        <v>410.07499999999999</v>
      </c>
    </row>
    <row r="29" spans="1:29" x14ac:dyDescent="0.25">
      <c r="A29" s="7" t="s">
        <v>4</v>
      </c>
      <c r="B29" s="15" t="s">
        <v>13</v>
      </c>
      <c r="C29" s="7" t="s">
        <v>21</v>
      </c>
      <c r="D29" s="14">
        <v>0</v>
      </c>
      <c r="E29" s="14">
        <v>0</v>
      </c>
      <c r="F29" s="14">
        <v>0</v>
      </c>
      <c r="G29" s="14">
        <v>0</v>
      </c>
      <c r="H29" s="16">
        <v>352</v>
      </c>
      <c r="I29" s="17">
        <v>235</v>
      </c>
      <c r="J29" s="14">
        <v>112</v>
      </c>
      <c r="K29" s="14">
        <v>3</v>
      </c>
      <c r="L29" s="14">
        <v>0</v>
      </c>
      <c r="M29" s="14">
        <v>0</v>
      </c>
      <c r="N29" s="14">
        <v>2</v>
      </c>
      <c r="O29" s="14">
        <v>0</v>
      </c>
      <c r="P29" s="14">
        <v>0</v>
      </c>
      <c r="Q29" s="14">
        <v>0</v>
      </c>
      <c r="R29" s="14">
        <v>0</v>
      </c>
      <c r="S29" s="14">
        <v>0</v>
      </c>
      <c r="T29" s="18">
        <v>0</v>
      </c>
      <c r="U29" s="14">
        <v>1.175</v>
      </c>
      <c r="W29" s="39">
        <f t="shared" si="0"/>
        <v>413.6</v>
      </c>
      <c r="AB29" s="37" t="str">
        <f t="shared" si="3"/>
        <v>Repair</v>
      </c>
      <c r="AC29" s="36">
        <f t="shared" si="4"/>
        <v>276.125</v>
      </c>
    </row>
    <row r="30" spans="1:29" x14ac:dyDescent="0.25">
      <c r="A30" s="7" t="s">
        <v>4</v>
      </c>
      <c r="B30" s="15" t="s">
        <v>67</v>
      </c>
      <c r="C30" s="7" t="s">
        <v>21</v>
      </c>
      <c r="D30" s="14">
        <v>0</v>
      </c>
      <c r="E30" s="14">
        <v>0</v>
      </c>
      <c r="F30" s="14">
        <v>0</v>
      </c>
      <c r="G30" s="14">
        <v>0</v>
      </c>
      <c r="H30" s="16">
        <v>628</v>
      </c>
      <c r="I30" s="17">
        <v>147</v>
      </c>
      <c r="J30" s="14">
        <v>87</v>
      </c>
      <c r="K30" s="14">
        <v>84</v>
      </c>
      <c r="L30" s="14">
        <v>89</v>
      </c>
      <c r="M30" s="14">
        <v>61</v>
      </c>
      <c r="N30" s="14">
        <v>52</v>
      </c>
      <c r="O30" s="14">
        <v>35</v>
      </c>
      <c r="P30" s="14">
        <v>33</v>
      </c>
      <c r="Q30" s="14">
        <v>20</v>
      </c>
      <c r="R30" s="14">
        <v>10</v>
      </c>
      <c r="S30" s="14">
        <v>6</v>
      </c>
      <c r="T30" s="18">
        <v>4</v>
      </c>
      <c r="U30" s="14">
        <v>1.175</v>
      </c>
      <c r="W30" s="39">
        <f t="shared" si="0"/>
        <v>737.9</v>
      </c>
      <c r="AB30" s="37" t="str">
        <f t="shared" si="3"/>
        <v>Rental</v>
      </c>
      <c r="AC30" s="36">
        <f t="shared" si="4"/>
        <v>172.72499999999999</v>
      </c>
    </row>
    <row r="31" spans="1:29" x14ac:dyDescent="0.25">
      <c r="A31" s="7" t="s">
        <v>4</v>
      </c>
      <c r="B31" s="15" t="s">
        <v>73</v>
      </c>
      <c r="C31" s="7" t="s">
        <v>21</v>
      </c>
      <c r="D31" s="14">
        <v>0</v>
      </c>
      <c r="E31" s="14">
        <v>0</v>
      </c>
      <c r="F31" s="14">
        <v>0</v>
      </c>
      <c r="G31" s="14">
        <v>0</v>
      </c>
      <c r="H31" s="16">
        <v>124</v>
      </c>
      <c r="I31" s="17">
        <v>68</v>
      </c>
      <c r="J31" s="14">
        <v>56</v>
      </c>
      <c r="K31" s="14">
        <v>0</v>
      </c>
      <c r="L31" s="14">
        <v>0</v>
      </c>
      <c r="M31" s="14">
        <v>0</v>
      </c>
      <c r="N31" s="14">
        <v>0</v>
      </c>
      <c r="O31" s="14">
        <v>0</v>
      </c>
      <c r="P31" s="14">
        <v>0</v>
      </c>
      <c r="Q31" s="14">
        <v>0</v>
      </c>
      <c r="R31" s="14">
        <v>0</v>
      </c>
      <c r="S31" s="14">
        <v>0</v>
      </c>
      <c r="T31" s="18">
        <v>0</v>
      </c>
      <c r="U31" s="14">
        <v>1.175</v>
      </c>
      <c r="W31" s="39">
        <f t="shared" si="0"/>
        <v>145.70000000000002</v>
      </c>
      <c r="AB31" s="37"/>
    </row>
    <row r="32" spans="1:29" x14ac:dyDescent="0.25">
      <c r="A32" s="7" t="s">
        <v>4</v>
      </c>
      <c r="B32" s="15" t="s">
        <v>19</v>
      </c>
      <c r="C32" s="7" t="s">
        <v>21</v>
      </c>
      <c r="D32" s="14">
        <v>0</v>
      </c>
      <c r="E32" s="14">
        <v>0</v>
      </c>
      <c r="F32" s="14">
        <v>0</v>
      </c>
      <c r="G32" s="14">
        <v>0</v>
      </c>
      <c r="H32" s="16">
        <v>752</v>
      </c>
      <c r="I32" s="17">
        <v>125</v>
      </c>
      <c r="J32" s="14">
        <v>81</v>
      </c>
      <c r="K32" s="14">
        <v>59</v>
      </c>
      <c r="L32" s="14">
        <v>87</v>
      </c>
      <c r="M32" s="14">
        <v>68</v>
      </c>
      <c r="N32" s="14">
        <v>66</v>
      </c>
      <c r="O32" s="14">
        <v>83</v>
      </c>
      <c r="P32" s="14">
        <v>52</v>
      </c>
      <c r="Q32" s="14">
        <v>21</v>
      </c>
      <c r="R32" s="14">
        <v>49</v>
      </c>
      <c r="S32" s="14">
        <v>33</v>
      </c>
      <c r="T32" s="18">
        <v>28</v>
      </c>
      <c r="U32" s="14">
        <v>1.175</v>
      </c>
      <c r="W32" s="39">
        <f t="shared" si="0"/>
        <v>883.6</v>
      </c>
      <c r="AB32" s="37" t="str">
        <f t="shared" si="3"/>
        <v>Maintenance</v>
      </c>
      <c r="AC32" s="36">
        <f t="shared" si="4"/>
        <v>146.875</v>
      </c>
    </row>
    <row r="33" spans="1:29" ht="13" thickBot="1" x14ac:dyDescent="0.3">
      <c r="A33" s="7" t="s">
        <v>4</v>
      </c>
      <c r="B33" s="19" t="s">
        <v>20</v>
      </c>
      <c r="C33" s="20" t="s">
        <v>21</v>
      </c>
      <c r="D33" s="21">
        <v>0</v>
      </c>
      <c r="E33" s="21">
        <v>0</v>
      </c>
      <c r="F33" s="21">
        <v>0</v>
      </c>
      <c r="G33" s="21">
        <v>0</v>
      </c>
      <c r="H33" s="22">
        <v>11</v>
      </c>
      <c r="I33" s="23">
        <v>11</v>
      </c>
      <c r="J33" s="21">
        <v>0</v>
      </c>
      <c r="K33" s="21">
        <v>0</v>
      </c>
      <c r="L33" s="21">
        <v>0</v>
      </c>
      <c r="M33" s="21">
        <v>0</v>
      </c>
      <c r="N33" s="21">
        <v>0</v>
      </c>
      <c r="O33" s="21">
        <v>0</v>
      </c>
      <c r="P33" s="21">
        <v>0</v>
      </c>
      <c r="Q33" s="21">
        <v>0</v>
      </c>
      <c r="R33" s="21">
        <v>0</v>
      </c>
      <c r="S33" s="21">
        <v>0</v>
      </c>
      <c r="T33" s="24">
        <v>0</v>
      </c>
      <c r="U33" s="14">
        <v>1.175</v>
      </c>
      <c r="W33" s="39">
        <f t="shared" si="0"/>
        <v>12.925000000000001</v>
      </c>
      <c r="AB33" s="37" t="str">
        <f t="shared" si="3"/>
        <v>Startup</v>
      </c>
      <c r="AC33" s="36">
        <f t="shared" si="4"/>
        <v>12.925000000000001</v>
      </c>
    </row>
    <row r="34" spans="1:29" ht="13" thickBot="1" x14ac:dyDescent="0.3">
      <c r="A34" s="20" t="s">
        <v>4</v>
      </c>
      <c r="B34" s="25" t="s">
        <v>12</v>
      </c>
      <c r="C34" s="26" t="s">
        <v>21</v>
      </c>
      <c r="D34" s="27">
        <v>0</v>
      </c>
      <c r="E34" s="27">
        <v>0</v>
      </c>
      <c r="F34" s="27">
        <v>0</v>
      </c>
      <c r="G34" s="27">
        <v>0</v>
      </c>
      <c r="H34" s="28">
        <v>2304</v>
      </c>
      <c r="I34" s="29">
        <v>937</v>
      </c>
      <c r="J34" s="27">
        <v>402</v>
      </c>
      <c r="K34" s="27">
        <v>146</v>
      </c>
      <c r="L34" s="27">
        <v>176</v>
      </c>
      <c r="M34" s="27">
        <v>151</v>
      </c>
      <c r="N34" s="27">
        <v>120</v>
      </c>
      <c r="O34" s="27">
        <v>117</v>
      </c>
      <c r="P34" s="27">
        <v>85</v>
      </c>
      <c r="Q34" s="27">
        <v>41</v>
      </c>
      <c r="R34" s="27">
        <v>59</v>
      </c>
      <c r="S34" s="27">
        <v>38</v>
      </c>
      <c r="T34" s="29">
        <v>32</v>
      </c>
      <c r="U34" s="14">
        <v>1.175</v>
      </c>
      <c r="W34" s="39">
        <f t="shared" si="0"/>
        <v>2707.2000000000003</v>
      </c>
      <c r="X34" s="35">
        <f>W33+W32+W29</f>
        <v>1310.125</v>
      </c>
      <c r="Y34" s="35">
        <f>W27</f>
        <v>1.175</v>
      </c>
      <c r="Z34" s="40">
        <f>V25/X34</f>
        <v>0</v>
      </c>
      <c r="AA34" s="40">
        <f>IF((Y34=0),0,Y26/Y34)</f>
        <v>342</v>
      </c>
      <c r="AB34" s="48"/>
      <c r="AC34" s="48"/>
    </row>
    <row r="35" spans="1:29" ht="13" thickBot="1" x14ac:dyDescent="0.3">
      <c r="A35" s="9" t="s">
        <v>3</v>
      </c>
      <c r="B35" s="30" t="s">
        <v>15</v>
      </c>
      <c r="C35" s="31" t="s">
        <v>46</v>
      </c>
      <c r="D35" s="32" t="s">
        <v>47</v>
      </c>
      <c r="E35" s="53">
        <v>45689</v>
      </c>
      <c r="F35" s="53">
        <v>45717</v>
      </c>
      <c r="G35" s="53">
        <v>45748</v>
      </c>
      <c r="H35" s="28" t="s">
        <v>12</v>
      </c>
      <c r="I35" s="54">
        <v>45778</v>
      </c>
      <c r="J35" s="53">
        <v>45809</v>
      </c>
      <c r="K35" s="53">
        <v>45839</v>
      </c>
      <c r="L35" s="53">
        <v>45870</v>
      </c>
      <c r="M35" s="53">
        <v>45901</v>
      </c>
      <c r="N35" s="53">
        <v>45931</v>
      </c>
      <c r="O35" s="53">
        <v>45962</v>
      </c>
      <c r="P35" s="53">
        <v>45992</v>
      </c>
      <c r="Q35" s="53">
        <v>46023</v>
      </c>
      <c r="R35" s="53">
        <v>46054</v>
      </c>
      <c r="S35" s="53">
        <v>46082</v>
      </c>
      <c r="T35" s="55">
        <v>46113</v>
      </c>
      <c r="U35" s="14">
        <v>1.175</v>
      </c>
      <c r="V35" s="14" t="s">
        <v>183</v>
      </c>
      <c r="W35" s="39">
        <f t="shared" si="0"/>
        <v>647840.95000000007</v>
      </c>
      <c r="X35" s="14" t="s">
        <v>37</v>
      </c>
      <c r="Y35" s="14" t="s">
        <v>38</v>
      </c>
      <c r="AB35" s="48"/>
      <c r="AC35" s="48"/>
    </row>
    <row r="36" spans="1:29" x14ac:dyDescent="0.25">
      <c r="A36" s="7" t="s">
        <v>3</v>
      </c>
      <c r="B36" s="8" t="s">
        <v>17</v>
      </c>
      <c r="C36" s="9" t="s">
        <v>18</v>
      </c>
      <c r="D36" s="10">
        <v>1</v>
      </c>
      <c r="E36" s="10">
        <v>0</v>
      </c>
      <c r="F36" s="10">
        <v>0</v>
      </c>
      <c r="G36" s="10">
        <v>0</v>
      </c>
      <c r="H36" s="11">
        <v>1852</v>
      </c>
      <c r="I36" s="12">
        <v>1330</v>
      </c>
      <c r="J36" s="10">
        <v>521</v>
      </c>
      <c r="K36" s="10">
        <v>0</v>
      </c>
      <c r="L36" s="10">
        <v>0</v>
      </c>
      <c r="M36" s="10">
        <v>0</v>
      </c>
      <c r="N36" s="10">
        <v>0</v>
      </c>
      <c r="O36" s="10">
        <v>0</v>
      </c>
      <c r="P36" s="10">
        <v>0</v>
      </c>
      <c r="Q36" s="10">
        <v>0</v>
      </c>
      <c r="R36" s="10">
        <v>0</v>
      </c>
      <c r="S36" s="10">
        <v>0</v>
      </c>
      <c r="T36" s="13">
        <v>0</v>
      </c>
      <c r="U36" s="14">
        <v>1.175</v>
      </c>
      <c r="V36" s="42">
        <f>SUM(I36:T36)/H36</f>
        <v>0.99946004319654425</v>
      </c>
      <c r="W36" s="39">
        <f t="shared" si="0"/>
        <v>2174.9250000000002</v>
      </c>
    </row>
    <row r="37" spans="1:29" x14ac:dyDescent="0.25">
      <c r="A37" s="7" t="s">
        <v>3</v>
      </c>
      <c r="B37" s="15" t="s">
        <v>66</v>
      </c>
      <c r="C37" s="7" t="s">
        <v>18</v>
      </c>
      <c r="D37" s="14">
        <v>82</v>
      </c>
      <c r="E37" s="14">
        <v>3</v>
      </c>
      <c r="F37" s="14">
        <v>0</v>
      </c>
      <c r="G37" s="14">
        <v>0</v>
      </c>
      <c r="H37" s="16">
        <v>103</v>
      </c>
      <c r="I37" s="17">
        <v>18</v>
      </c>
      <c r="J37" s="14">
        <v>0</v>
      </c>
      <c r="K37" s="14">
        <v>0</v>
      </c>
      <c r="L37" s="14">
        <v>0</v>
      </c>
      <c r="M37" s="14">
        <v>0</v>
      </c>
      <c r="N37" s="14">
        <v>0</v>
      </c>
      <c r="O37" s="14">
        <v>0</v>
      </c>
      <c r="P37" s="14">
        <v>0</v>
      </c>
      <c r="Q37" s="14">
        <v>0</v>
      </c>
      <c r="R37" s="14">
        <v>0</v>
      </c>
      <c r="S37" s="14">
        <v>0</v>
      </c>
      <c r="T37" s="18">
        <v>0</v>
      </c>
      <c r="U37" s="14">
        <v>1.175</v>
      </c>
      <c r="V37" s="44"/>
      <c r="W37" s="39">
        <f t="shared" si="0"/>
        <v>21.150000000000002</v>
      </c>
    </row>
    <row r="38" spans="1:29" x14ac:dyDescent="0.25">
      <c r="A38" s="7" t="s">
        <v>3</v>
      </c>
      <c r="B38" s="15" t="s">
        <v>13</v>
      </c>
      <c r="C38" s="7" t="s">
        <v>18</v>
      </c>
      <c r="D38" s="14">
        <v>21</v>
      </c>
      <c r="E38" s="14">
        <v>0</v>
      </c>
      <c r="F38" s="14">
        <v>0</v>
      </c>
      <c r="G38" s="14">
        <v>52</v>
      </c>
      <c r="H38" s="16">
        <v>2552</v>
      </c>
      <c r="I38" s="17">
        <v>1878</v>
      </c>
      <c r="J38" s="14">
        <v>413</v>
      </c>
      <c r="K38" s="14">
        <v>180</v>
      </c>
      <c r="L38" s="14">
        <v>4</v>
      </c>
      <c r="M38" s="14">
        <v>1</v>
      </c>
      <c r="N38" s="14">
        <v>3</v>
      </c>
      <c r="O38" s="14">
        <v>0</v>
      </c>
      <c r="P38" s="14">
        <v>0</v>
      </c>
      <c r="Q38" s="14">
        <v>0</v>
      </c>
      <c r="R38" s="14">
        <v>0</v>
      </c>
      <c r="S38" s="14">
        <v>0</v>
      </c>
      <c r="T38" s="18">
        <v>0</v>
      </c>
      <c r="U38" s="14">
        <v>1.175</v>
      </c>
      <c r="V38" s="41"/>
      <c r="W38" s="39">
        <f t="shared" si="0"/>
        <v>2912.8250000000003</v>
      </c>
    </row>
    <row r="39" spans="1:29" x14ac:dyDescent="0.25">
      <c r="A39" s="7" t="s">
        <v>3</v>
      </c>
      <c r="B39" s="15" t="s">
        <v>67</v>
      </c>
      <c r="C39" s="7" t="s">
        <v>18</v>
      </c>
      <c r="D39" s="14">
        <v>0</v>
      </c>
      <c r="E39" s="14">
        <v>0</v>
      </c>
      <c r="F39" s="14">
        <v>0</v>
      </c>
      <c r="G39" s="14">
        <v>157</v>
      </c>
      <c r="H39" s="16">
        <v>3930</v>
      </c>
      <c r="I39" s="17">
        <v>2420</v>
      </c>
      <c r="J39" s="14">
        <v>1077</v>
      </c>
      <c r="K39" s="14">
        <v>63</v>
      </c>
      <c r="L39" s="14">
        <v>2</v>
      </c>
      <c r="M39" s="14">
        <v>59</v>
      </c>
      <c r="N39" s="14">
        <v>0</v>
      </c>
      <c r="O39" s="14">
        <v>0</v>
      </c>
      <c r="P39" s="14">
        <v>152</v>
      </c>
      <c r="Q39" s="14">
        <v>0</v>
      </c>
      <c r="R39" s="14">
        <v>0</v>
      </c>
      <c r="S39" s="14">
        <v>0</v>
      </c>
      <c r="T39" s="18">
        <v>0</v>
      </c>
      <c r="U39" s="14">
        <v>1.175</v>
      </c>
      <c r="V39" s="41"/>
      <c r="W39" s="39">
        <f t="shared" si="0"/>
        <v>4433.2750000000005</v>
      </c>
    </row>
    <row r="40" spans="1:29" x14ac:dyDescent="0.25">
      <c r="A40" s="7" t="s">
        <v>3</v>
      </c>
      <c r="B40" s="15" t="s">
        <v>73</v>
      </c>
      <c r="C40" s="7" t="s">
        <v>18</v>
      </c>
      <c r="D40" s="14">
        <v>7</v>
      </c>
      <c r="E40" s="14">
        <v>14</v>
      </c>
      <c r="F40" s="14">
        <v>0</v>
      </c>
      <c r="G40" s="14">
        <v>74</v>
      </c>
      <c r="H40" s="16">
        <v>3564</v>
      </c>
      <c r="I40" s="17">
        <v>2581</v>
      </c>
      <c r="J40" s="14">
        <v>644</v>
      </c>
      <c r="K40" s="14">
        <v>242</v>
      </c>
      <c r="L40" s="14">
        <v>0</v>
      </c>
      <c r="M40" s="14">
        <v>2</v>
      </c>
      <c r="N40" s="14">
        <v>0</v>
      </c>
      <c r="O40" s="14">
        <v>0</v>
      </c>
      <c r="P40" s="14">
        <v>0</v>
      </c>
      <c r="Q40" s="14">
        <v>0</v>
      </c>
      <c r="R40" s="14">
        <v>0</v>
      </c>
      <c r="S40" s="14">
        <v>0</v>
      </c>
      <c r="T40" s="18">
        <v>0</v>
      </c>
      <c r="U40" s="14">
        <v>1.175</v>
      </c>
      <c r="V40" s="41"/>
      <c r="W40" s="39">
        <f t="shared" si="0"/>
        <v>4076.0750000000003</v>
      </c>
    </row>
    <row r="41" spans="1:29" x14ac:dyDescent="0.25">
      <c r="A41" s="7" t="s">
        <v>3</v>
      </c>
      <c r="B41" s="15" t="s">
        <v>19</v>
      </c>
      <c r="C41" s="7" t="s">
        <v>18</v>
      </c>
      <c r="D41" s="14">
        <v>16</v>
      </c>
      <c r="E41" s="14">
        <v>0</v>
      </c>
      <c r="F41" s="14">
        <v>0</v>
      </c>
      <c r="G41" s="14">
        <v>124</v>
      </c>
      <c r="H41" s="16">
        <v>2065</v>
      </c>
      <c r="I41" s="17">
        <v>1440</v>
      </c>
      <c r="J41" s="14">
        <v>365</v>
      </c>
      <c r="K41" s="14">
        <v>91</v>
      </c>
      <c r="L41" s="14">
        <v>0</v>
      </c>
      <c r="M41" s="14">
        <v>13</v>
      </c>
      <c r="N41" s="14">
        <v>12</v>
      </c>
      <c r="O41" s="14">
        <v>0</v>
      </c>
      <c r="P41" s="14">
        <v>0</v>
      </c>
      <c r="Q41" s="14">
        <v>4</v>
      </c>
      <c r="R41" s="14">
        <v>0</v>
      </c>
      <c r="S41" s="14">
        <v>0</v>
      </c>
      <c r="T41" s="18">
        <v>0</v>
      </c>
      <c r="U41" s="14">
        <v>1.175</v>
      </c>
      <c r="V41" s="41"/>
      <c r="W41" s="39">
        <f t="shared" si="0"/>
        <v>2261.875</v>
      </c>
    </row>
    <row r="42" spans="1:29" ht="13" thickBot="1" x14ac:dyDescent="0.3">
      <c r="A42" s="7" t="s">
        <v>3</v>
      </c>
      <c r="B42" s="19" t="s">
        <v>20</v>
      </c>
      <c r="C42" s="20" t="s">
        <v>18</v>
      </c>
      <c r="D42" s="21">
        <v>0</v>
      </c>
      <c r="E42" s="21">
        <v>0</v>
      </c>
      <c r="F42" s="21">
        <v>0</v>
      </c>
      <c r="G42" s="21">
        <v>0</v>
      </c>
      <c r="H42" s="22">
        <v>10</v>
      </c>
      <c r="I42" s="23">
        <v>10</v>
      </c>
      <c r="J42" s="21">
        <v>0</v>
      </c>
      <c r="K42" s="21">
        <v>0</v>
      </c>
      <c r="L42" s="21">
        <v>0</v>
      </c>
      <c r="M42" s="21">
        <v>0</v>
      </c>
      <c r="N42" s="21">
        <v>0</v>
      </c>
      <c r="O42" s="21">
        <v>0</v>
      </c>
      <c r="P42" s="21">
        <v>0</v>
      </c>
      <c r="Q42" s="21">
        <v>0</v>
      </c>
      <c r="R42" s="21">
        <v>0</v>
      </c>
      <c r="S42" s="21">
        <v>0</v>
      </c>
      <c r="T42" s="24">
        <v>0</v>
      </c>
      <c r="U42" s="14">
        <v>1.175</v>
      </c>
      <c r="V42" s="44"/>
      <c r="W42" s="39">
        <f t="shared" si="0"/>
        <v>11.75</v>
      </c>
    </row>
    <row r="43" spans="1:29" ht="13" thickBot="1" x14ac:dyDescent="0.3">
      <c r="A43" s="7" t="s">
        <v>3</v>
      </c>
      <c r="B43" s="25" t="s">
        <v>12</v>
      </c>
      <c r="C43" s="26" t="s">
        <v>18</v>
      </c>
      <c r="D43" s="27">
        <v>128</v>
      </c>
      <c r="E43" s="27">
        <v>17</v>
      </c>
      <c r="F43" s="27">
        <v>0</v>
      </c>
      <c r="G43" s="27">
        <v>406</v>
      </c>
      <c r="H43" s="28">
        <v>14076</v>
      </c>
      <c r="I43" s="29">
        <v>9677</v>
      </c>
      <c r="J43" s="27">
        <v>3020</v>
      </c>
      <c r="K43" s="27">
        <v>576</v>
      </c>
      <c r="L43" s="27">
        <v>7</v>
      </c>
      <c r="M43" s="27">
        <v>74</v>
      </c>
      <c r="N43" s="27">
        <v>15</v>
      </c>
      <c r="O43" s="27">
        <v>0</v>
      </c>
      <c r="P43" s="27">
        <v>152</v>
      </c>
      <c r="Q43" s="27">
        <v>4</v>
      </c>
      <c r="R43" s="27">
        <v>0</v>
      </c>
      <c r="S43" s="27">
        <v>0</v>
      </c>
      <c r="T43" s="29">
        <v>0</v>
      </c>
      <c r="U43" s="14">
        <v>1.175</v>
      </c>
      <c r="V43" s="43">
        <f>SUM(I38:T41)/SUM(H38:H41)</f>
        <v>0.9616051523408472</v>
      </c>
      <c r="W43" s="39">
        <f t="shared" si="0"/>
        <v>15891.875</v>
      </c>
      <c r="X43" s="35">
        <f>W41+W38</f>
        <v>5174.7000000000007</v>
      </c>
      <c r="Y43" s="35">
        <f>W36</f>
        <v>2174.9250000000002</v>
      </c>
    </row>
    <row r="44" spans="1:29" x14ac:dyDescent="0.25">
      <c r="A44" s="7" t="s">
        <v>3</v>
      </c>
      <c r="B44" s="8" t="s">
        <v>17</v>
      </c>
      <c r="C44" s="9" t="s">
        <v>21</v>
      </c>
      <c r="D44" s="10">
        <v>0</v>
      </c>
      <c r="E44" s="10">
        <v>0</v>
      </c>
      <c r="F44" s="10">
        <v>0</v>
      </c>
      <c r="G44" s="10">
        <v>0</v>
      </c>
      <c r="H44" s="11">
        <v>179</v>
      </c>
      <c r="I44" s="12">
        <v>150</v>
      </c>
      <c r="J44" s="10">
        <v>29</v>
      </c>
      <c r="K44" s="10">
        <v>0</v>
      </c>
      <c r="L44" s="10">
        <v>0</v>
      </c>
      <c r="M44" s="10">
        <v>0</v>
      </c>
      <c r="N44" s="10">
        <v>0</v>
      </c>
      <c r="O44" s="10">
        <v>0</v>
      </c>
      <c r="P44" s="10">
        <v>0</v>
      </c>
      <c r="Q44" s="10">
        <v>0</v>
      </c>
      <c r="R44" s="10">
        <v>0</v>
      </c>
      <c r="S44" s="10">
        <v>0</v>
      </c>
      <c r="T44" s="13">
        <v>0</v>
      </c>
      <c r="U44" s="14">
        <v>1.175</v>
      </c>
      <c r="W44" s="39">
        <f t="shared" si="0"/>
        <v>210.32500000000002</v>
      </c>
      <c r="AB44" s="37" t="str">
        <f t="shared" ref="AB44:AB50" si="5">B44</f>
        <v>Parts-OTC</v>
      </c>
      <c r="AC44" s="36">
        <f t="shared" ref="AC44:AC50" si="6">I44*U44</f>
        <v>176.25</v>
      </c>
    </row>
    <row r="45" spans="1:29" x14ac:dyDescent="0.25">
      <c r="A45" s="7" t="s">
        <v>3</v>
      </c>
      <c r="B45" s="15" t="s">
        <v>66</v>
      </c>
      <c r="C45" s="7" t="s">
        <v>21</v>
      </c>
      <c r="D45" s="14">
        <v>0</v>
      </c>
      <c r="E45" s="14">
        <v>0</v>
      </c>
      <c r="F45" s="14">
        <v>0</v>
      </c>
      <c r="G45" s="14">
        <v>0</v>
      </c>
      <c r="H45" s="16">
        <v>7845</v>
      </c>
      <c r="I45" s="17">
        <v>6571</v>
      </c>
      <c r="J45" s="14">
        <v>21</v>
      </c>
      <c r="K45" s="14">
        <v>291</v>
      </c>
      <c r="L45" s="14">
        <v>0</v>
      </c>
      <c r="M45" s="14">
        <v>253</v>
      </c>
      <c r="N45" s="14">
        <v>0</v>
      </c>
      <c r="O45" s="14">
        <v>0</v>
      </c>
      <c r="P45" s="14">
        <v>709</v>
      </c>
      <c r="Q45" s="14">
        <v>0</v>
      </c>
      <c r="R45" s="14">
        <v>0</v>
      </c>
      <c r="S45" s="14">
        <v>0</v>
      </c>
      <c r="T45" s="18">
        <v>0</v>
      </c>
      <c r="U45" s="14">
        <v>1.175</v>
      </c>
      <c r="W45" s="39">
        <f t="shared" si="0"/>
        <v>9217.875</v>
      </c>
      <c r="AB45" s="37" t="str">
        <f t="shared" si="5"/>
        <v>CTKS</v>
      </c>
      <c r="AC45" s="36">
        <f t="shared" si="6"/>
        <v>7720.9250000000002</v>
      </c>
    </row>
    <row r="46" spans="1:29" x14ac:dyDescent="0.25">
      <c r="A46" s="7" t="s">
        <v>3</v>
      </c>
      <c r="B46" s="15" t="s">
        <v>13</v>
      </c>
      <c r="C46" s="7" t="s">
        <v>21</v>
      </c>
      <c r="D46" s="14">
        <v>0</v>
      </c>
      <c r="E46" s="14">
        <v>0</v>
      </c>
      <c r="F46" s="14">
        <v>0</v>
      </c>
      <c r="G46" s="14">
        <v>0</v>
      </c>
      <c r="H46" s="16">
        <v>979</v>
      </c>
      <c r="I46" s="17">
        <v>65</v>
      </c>
      <c r="J46" s="14">
        <v>64</v>
      </c>
      <c r="K46" s="14">
        <v>195</v>
      </c>
      <c r="L46" s="14">
        <v>313</v>
      </c>
      <c r="M46" s="14">
        <v>162</v>
      </c>
      <c r="N46" s="14">
        <v>87</v>
      </c>
      <c r="O46" s="14">
        <v>45</v>
      </c>
      <c r="P46" s="14">
        <v>48</v>
      </c>
      <c r="Q46" s="14">
        <v>0</v>
      </c>
      <c r="R46" s="14">
        <v>0</v>
      </c>
      <c r="S46" s="14">
        <v>0</v>
      </c>
      <c r="T46" s="18">
        <v>0</v>
      </c>
      <c r="U46" s="14">
        <v>1.175</v>
      </c>
      <c r="W46" s="39">
        <f t="shared" si="0"/>
        <v>1150.325</v>
      </c>
      <c r="AB46" s="37" t="str">
        <f t="shared" si="5"/>
        <v>Repair</v>
      </c>
      <c r="AC46" s="36">
        <f t="shared" si="6"/>
        <v>76.375</v>
      </c>
    </row>
    <row r="47" spans="1:29" x14ac:dyDescent="0.25">
      <c r="A47" s="7" t="s">
        <v>3</v>
      </c>
      <c r="B47" s="15" t="s">
        <v>67</v>
      </c>
      <c r="C47" s="7" t="s">
        <v>21</v>
      </c>
      <c r="D47" s="14">
        <v>0</v>
      </c>
      <c r="E47" s="14">
        <v>0</v>
      </c>
      <c r="F47" s="14">
        <v>0</v>
      </c>
      <c r="G47" s="14">
        <v>0</v>
      </c>
      <c r="H47" s="16">
        <v>1223</v>
      </c>
      <c r="I47" s="17">
        <v>151</v>
      </c>
      <c r="J47" s="14">
        <v>115</v>
      </c>
      <c r="K47" s="14">
        <v>95</v>
      </c>
      <c r="L47" s="14">
        <v>99</v>
      </c>
      <c r="M47" s="14">
        <v>358</v>
      </c>
      <c r="N47" s="14">
        <v>201</v>
      </c>
      <c r="O47" s="14">
        <v>51</v>
      </c>
      <c r="P47" s="14">
        <v>47</v>
      </c>
      <c r="Q47" s="14">
        <v>33</v>
      </c>
      <c r="R47" s="14">
        <v>31</v>
      </c>
      <c r="S47" s="14">
        <v>24</v>
      </c>
      <c r="T47" s="18">
        <v>18</v>
      </c>
      <c r="U47" s="14">
        <v>1.175</v>
      </c>
      <c r="W47" s="39">
        <f t="shared" si="0"/>
        <v>1437.0250000000001</v>
      </c>
      <c r="AB47" s="37" t="str">
        <f t="shared" si="5"/>
        <v>Rental</v>
      </c>
      <c r="AC47" s="36">
        <f t="shared" si="6"/>
        <v>177.42500000000001</v>
      </c>
    </row>
    <row r="48" spans="1:29" x14ac:dyDescent="0.25">
      <c r="A48" s="7" t="s">
        <v>3</v>
      </c>
      <c r="B48" s="15" t="s">
        <v>73</v>
      </c>
      <c r="C48" s="7" t="s">
        <v>21</v>
      </c>
      <c r="D48" s="14">
        <v>0</v>
      </c>
      <c r="E48" s="14">
        <v>0</v>
      </c>
      <c r="F48" s="14">
        <v>0</v>
      </c>
      <c r="G48" s="14">
        <v>0</v>
      </c>
      <c r="H48" s="16">
        <v>1810</v>
      </c>
      <c r="I48" s="17">
        <v>23</v>
      </c>
      <c r="J48" s="14">
        <v>32</v>
      </c>
      <c r="K48" s="14">
        <v>95</v>
      </c>
      <c r="L48" s="14">
        <v>666</v>
      </c>
      <c r="M48" s="14">
        <v>369</v>
      </c>
      <c r="N48" s="14">
        <v>350</v>
      </c>
      <c r="O48" s="14">
        <v>162</v>
      </c>
      <c r="P48" s="14">
        <v>86</v>
      </c>
      <c r="Q48" s="14">
        <v>27</v>
      </c>
      <c r="R48" s="14">
        <v>0</v>
      </c>
      <c r="S48" s="14">
        <v>0</v>
      </c>
      <c r="T48" s="18">
        <v>0</v>
      </c>
      <c r="U48" s="14">
        <v>1.175</v>
      </c>
      <c r="W48" s="39">
        <f t="shared" si="0"/>
        <v>2126.75</v>
      </c>
      <c r="AB48" s="37"/>
    </row>
    <row r="49" spans="1:29" x14ac:dyDescent="0.25">
      <c r="A49" s="7" t="s">
        <v>3</v>
      </c>
      <c r="B49" s="15" t="s">
        <v>19</v>
      </c>
      <c r="C49" s="7" t="s">
        <v>21</v>
      </c>
      <c r="D49" s="14">
        <v>0</v>
      </c>
      <c r="E49" s="14">
        <v>0</v>
      </c>
      <c r="F49" s="14">
        <v>0</v>
      </c>
      <c r="G49" s="14">
        <v>0</v>
      </c>
      <c r="H49" s="16">
        <v>2949</v>
      </c>
      <c r="I49" s="17">
        <v>450</v>
      </c>
      <c r="J49" s="14">
        <v>349</v>
      </c>
      <c r="K49" s="14">
        <v>323</v>
      </c>
      <c r="L49" s="14">
        <v>344</v>
      </c>
      <c r="M49" s="14">
        <v>424</v>
      </c>
      <c r="N49" s="14">
        <v>270</v>
      </c>
      <c r="O49" s="14">
        <v>369</v>
      </c>
      <c r="P49" s="14">
        <v>365</v>
      </c>
      <c r="Q49" s="14">
        <v>12</v>
      </c>
      <c r="R49" s="14">
        <v>29</v>
      </c>
      <c r="S49" s="14">
        <v>9</v>
      </c>
      <c r="T49" s="18">
        <v>5</v>
      </c>
      <c r="U49" s="14">
        <v>1.175</v>
      </c>
      <c r="W49" s="39">
        <f t="shared" si="0"/>
        <v>3465.0750000000003</v>
      </c>
      <c r="AB49" s="37" t="str">
        <f t="shared" si="5"/>
        <v>Maintenance</v>
      </c>
      <c r="AC49" s="36">
        <f t="shared" si="6"/>
        <v>528.75</v>
      </c>
    </row>
    <row r="50" spans="1:29" ht="13" thickBot="1" x14ac:dyDescent="0.3">
      <c r="A50" s="7" t="s">
        <v>3</v>
      </c>
      <c r="B50" s="19" t="s">
        <v>20</v>
      </c>
      <c r="C50" s="20" t="s">
        <v>21</v>
      </c>
      <c r="D50" s="21">
        <v>0</v>
      </c>
      <c r="E50" s="21">
        <v>0</v>
      </c>
      <c r="F50" s="21">
        <v>0</v>
      </c>
      <c r="G50" s="21">
        <v>0</v>
      </c>
      <c r="H50" s="22">
        <v>58</v>
      </c>
      <c r="I50" s="23">
        <v>4</v>
      </c>
      <c r="J50" s="21">
        <v>10</v>
      </c>
      <c r="K50" s="21">
        <v>21</v>
      </c>
      <c r="L50" s="21">
        <v>10</v>
      </c>
      <c r="M50" s="21">
        <v>3</v>
      </c>
      <c r="N50" s="21">
        <v>0</v>
      </c>
      <c r="O50" s="21">
        <v>10</v>
      </c>
      <c r="P50" s="21">
        <v>0</v>
      </c>
      <c r="Q50" s="21">
        <v>0</v>
      </c>
      <c r="R50" s="21">
        <v>0</v>
      </c>
      <c r="S50" s="21">
        <v>0</v>
      </c>
      <c r="T50" s="24">
        <v>0</v>
      </c>
      <c r="U50" s="14">
        <v>1.175</v>
      </c>
      <c r="W50" s="39">
        <f t="shared" si="0"/>
        <v>68.150000000000006</v>
      </c>
      <c r="AB50" s="37" t="str">
        <f t="shared" si="5"/>
        <v>Startup</v>
      </c>
      <c r="AC50" s="36">
        <f t="shared" si="6"/>
        <v>4.7</v>
      </c>
    </row>
    <row r="51" spans="1:29" ht="13" thickBot="1" x14ac:dyDescent="0.3">
      <c r="A51" s="20" t="s">
        <v>3</v>
      </c>
      <c r="B51" s="25" t="s">
        <v>12</v>
      </c>
      <c r="C51" s="26" t="s">
        <v>21</v>
      </c>
      <c r="D51" s="27">
        <v>0</v>
      </c>
      <c r="E51" s="27">
        <v>0</v>
      </c>
      <c r="F51" s="27">
        <v>0</v>
      </c>
      <c r="G51" s="27">
        <v>0</v>
      </c>
      <c r="H51" s="28">
        <v>15046</v>
      </c>
      <c r="I51" s="29">
        <v>7414</v>
      </c>
      <c r="J51" s="27">
        <v>621</v>
      </c>
      <c r="K51" s="27">
        <v>1020</v>
      </c>
      <c r="L51" s="27">
        <v>1431</v>
      </c>
      <c r="M51" s="27">
        <v>1569</v>
      </c>
      <c r="N51" s="27">
        <v>909</v>
      </c>
      <c r="O51" s="27">
        <v>636</v>
      </c>
      <c r="P51" s="27">
        <v>1256</v>
      </c>
      <c r="Q51" s="27">
        <v>72</v>
      </c>
      <c r="R51" s="27">
        <v>61</v>
      </c>
      <c r="S51" s="27">
        <v>34</v>
      </c>
      <c r="T51" s="29">
        <v>23</v>
      </c>
      <c r="U51" s="14">
        <v>1.175</v>
      </c>
      <c r="W51" s="39">
        <f t="shared" si="0"/>
        <v>17679.05</v>
      </c>
      <c r="X51" s="35">
        <f>W50+W49+W46</f>
        <v>4683.55</v>
      </c>
      <c r="Y51" s="35">
        <f>W44</f>
        <v>210.32500000000002</v>
      </c>
      <c r="Z51" s="40">
        <f>V42/X51</f>
        <v>0</v>
      </c>
      <c r="AA51" s="40">
        <f>IF((Y51=0),0,Y43/Y51)</f>
        <v>10.340782122905027</v>
      </c>
      <c r="AB51" s="48"/>
      <c r="AC51" s="48"/>
    </row>
    <row r="52" spans="1:29" ht="13" thickBot="1" x14ac:dyDescent="0.3">
      <c r="A52" s="9" t="s">
        <v>24</v>
      </c>
      <c r="B52" s="30" t="s">
        <v>15</v>
      </c>
      <c r="C52" s="31" t="s">
        <v>46</v>
      </c>
      <c r="D52" s="32" t="s">
        <v>47</v>
      </c>
      <c r="E52" s="53">
        <v>45689</v>
      </c>
      <c r="F52" s="53">
        <v>45717</v>
      </c>
      <c r="G52" s="53">
        <v>45748</v>
      </c>
      <c r="H52" s="28" t="s">
        <v>12</v>
      </c>
      <c r="I52" s="54">
        <v>45778</v>
      </c>
      <c r="J52" s="53">
        <v>45809</v>
      </c>
      <c r="K52" s="53">
        <v>45839</v>
      </c>
      <c r="L52" s="53">
        <v>45870</v>
      </c>
      <c r="M52" s="53">
        <v>45901</v>
      </c>
      <c r="N52" s="53">
        <v>45931</v>
      </c>
      <c r="O52" s="53">
        <v>45962</v>
      </c>
      <c r="P52" s="53">
        <v>45992</v>
      </c>
      <c r="Q52" s="53">
        <v>46023</v>
      </c>
      <c r="R52" s="53">
        <v>46054</v>
      </c>
      <c r="S52" s="53">
        <v>46082</v>
      </c>
      <c r="T52" s="55">
        <v>46113</v>
      </c>
      <c r="U52" s="14">
        <v>1.34</v>
      </c>
      <c r="V52" s="14" t="s">
        <v>183</v>
      </c>
      <c r="W52" s="39">
        <f t="shared" si="0"/>
        <v>738814.36</v>
      </c>
      <c r="X52" s="14" t="s">
        <v>37</v>
      </c>
      <c r="Y52" s="14" t="s">
        <v>38</v>
      </c>
      <c r="AB52" s="48"/>
      <c r="AC52" s="48"/>
    </row>
    <row r="53" spans="1:29" x14ac:dyDescent="0.25">
      <c r="A53" s="7" t="s">
        <v>24</v>
      </c>
      <c r="B53" s="8" t="s">
        <v>17</v>
      </c>
      <c r="C53" s="9" t="s">
        <v>18</v>
      </c>
      <c r="D53" s="10">
        <v>73</v>
      </c>
      <c r="E53" s="10">
        <v>0</v>
      </c>
      <c r="F53" s="10">
        <v>8</v>
      </c>
      <c r="G53" s="10">
        <v>346</v>
      </c>
      <c r="H53" s="11">
        <v>521</v>
      </c>
      <c r="I53" s="12">
        <v>94</v>
      </c>
      <c r="J53" s="10">
        <v>0</v>
      </c>
      <c r="K53" s="10">
        <v>0</v>
      </c>
      <c r="L53" s="10">
        <v>0</v>
      </c>
      <c r="M53" s="10">
        <v>0</v>
      </c>
      <c r="N53" s="10">
        <v>0</v>
      </c>
      <c r="O53" s="10">
        <v>0</v>
      </c>
      <c r="P53" s="10">
        <v>0</v>
      </c>
      <c r="Q53" s="10">
        <v>0</v>
      </c>
      <c r="R53" s="10">
        <v>0</v>
      </c>
      <c r="S53" s="10">
        <v>0</v>
      </c>
      <c r="T53" s="13">
        <v>0</v>
      </c>
      <c r="U53" s="14">
        <v>1.34</v>
      </c>
      <c r="V53" s="42">
        <f>SUM(I53:T53)/H53</f>
        <v>0.18042226487523993</v>
      </c>
      <c r="W53" s="39">
        <f t="shared" si="0"/>
        <v>125.96000000000001</v>
      </c>
    </row>
    <row r="54" spans="1:29" x14ac:dyDescent="0.25">
      <c r="A54" s="7" t="s">
        <v>24</v>
      </c>
      <c r="B54" s="15" t="s">
        <v>66</v>
      </c>
      <c r="C54" s="7" t="s">
        <v>18</v>
      </c>
      <c r="D54" s="14">
        <v>0</v>
      </c>
      <c r="E54" s="14">
        <v>33</v>
      </c>
      <c r="F54" s="14">
        <v>30</v>
      </c>
      <c r="G54" s="14">
        <v>0</v>
      </c>
      <c r="H54" s="16">
        <v>337</v>
      </c>
      <c r="I54" s="17">
        <v>11</v>
      </c>
      <c r="J54" s="14">
        <v>58</v>
      </c>
      <c r="K54" s="14">
        <v>0</v>
      </c>
      <c r="L54" s="14">
        <v>0</v>
      </c>
      <c r="M54" s="14">
        <v>0</v>
      </c>
      <c r="N54" s="14">
        <v>0</v>
      </c>
      <c r="O54" s="14">
        <v>0</v>
      </c>
      <c r="P54" s="14">
        <v>205</v>
      </c>
      <c r="Q54" s="14">
        <v>0</v>
      </c>
      <c r="R54" s="14">
        <v>0</v>
      </c>
      <c r="S54" s="14">
        <v>0</v>
      </c>
      <c r="T54" s="18">
        <v>0</v>
      </c>
      <c r="U54" s="14">
        <v>1.34</v>
      </c>
      <c r="V54" s="44"/>
      <c r="W54" s="39">
        <f t="shared" si="0"/>
        <v>367.16</v>
      </c>
    </row>
    <row r="55" spans="1:29" x14ac:dyDescent="0.25">
      <c r="A55" s="7" t="s">
        <v>24</v>
      </c>
      <c r="B55" s="15" t="s">
        <v>13</v>
      </c>
      <c r="C55" s="7" t="s">
        <v>18</v>
      </c>
      <c r="D55" s="14">
        <v>2</v>
      </c>
      <c r="E55" s="14">
        <v>56</v>
      </c>
      <c r="F55" s="14">
        <v>3</v>
      </c>
      <c r="G55" s="14">
        <v>390</v>
      </c>
      <c r="H55" s="16">
        <v>3990</v>
      </c>
      <c r="I55" s="17">
        <v>3058</v>
      </c>
      <c r="J55" s="14">
        <v>282</v>
      </c>
      <c r="K55" s="14">
        <v>29</v>
      </c>
      <c r="L55" s="14">
        <v>170</v>
      </c>
      <c r="M55" s="14">
        <v>0</v>
      </c>
      <c r="N55" s="14">
        <v>0</v>
      </c>
      <c r="O55" s="14">
        <v>0</v>
      </c>
      <c r="P55" s="14">
        <v>0</v>
      </c>
      <c r="Q55" s="14">
        <v>0</v>
      </c>
      <c r="R55" s="14">
        <v>0</v>
      </c>
      <c r="S55" s="14">
        <v>0</v>
      </c>
      <c r="T55" s="18">
        <v>0</v>
      </c>
      <c r="U55" s="14">
        <v>1.34</v>
      </c>
      <c r="V55" s="41"/>
      <c r="W55" s="39">
        <f t="shared" si="0"/>
        <v>4742.26</v>
      </c>
    </row>
    <row r="56" spans="1:29" x14ac:dyDescent="0.25">
      <c r="A56" s="7" t="s">
        <v>24</v>
      </c>
      <c r="B56" s="15" t="s">
        <v>67</v>
      </c>
      <c r="C56" s="7" t="s">
        <v>18</v>
      </c>
      <c r="D56" s="14">
        <v>0</v>
      </c>
      <c r="E56" s="14">
        <v>0</v>
      </c>
      <c r="F56" s="14">
        <v>0</v>
      </c>
      <c r="G56" s="14">
        <v>192</v>
      </c>
      <c r="H56" s="16">
        <v>2587</v>
      </c>
      <c r="I56" s="17">
        <v>792</v>
      </c>
      <c r="J56" s="14">
        <v>900</v>
      </c>
      <c r="K56" s="14">
        <v>410</v>
      </c>
      <c r="L56" s="14">
        <v>86</v>
      </c>
      <c r="M56" s="14">
        <v>61</v>
      </c>
      <c r="N56" s="14">
        <v>64</v>
      </c>
      <c r="O56" s="14">
        <v>72</v>
      </c>
      <c r="P56" s="14">
        <v>10</v>
      </c>
      <c r="Q56" s="14">
        <v>0</v>
      </c>
      <c r="R56" s="14">
        <v>0</v>
      </c>
      <c r="S56" s="14">
        <v>0</v>
      </c>
      <c r="T56" s="18">
        <v>0</v>
      </c>
      <c r="U56" s="14">
        <v>1.34</v>
      </c>
      <c r="V56" s="41"/>
      <c r="W56" s="39">
        <f t="shared" si="0"/>
        <v>3209.3</v>
      </c>
    </row>
    <row r="57" spans="1:29" x14ac:dyDescent="0.25">
      <c r="A57" s="7" t="s">
        <v>24</v>
      </c>
      <c r="B57" s="15" t="s">
        <v>73</v>
      </c>
      <c r="C57" s="7" t="s">
        <v>18</v>
      </c>
      <c r="D57" s="14">
        <v>0</v>
      </c>
      <c r="E57" s="14">
        <v>0</v>
      </c>
      <c r="F57" s="14">
        <v>63</v>
      </c>
      <c r="G57" s="14">
        <v>336</v>
      </c>
      <c r="H57" s="16">
        <v>5448</v>
      </c>
      <c r="I57" s="17">
        <v>2805</v>
      </c>
      <c r="J57" s="14">
        <v>1344</v>
      </c>
      <c r="K57" s="14">
        <v>507</v>
      </c>
      <c r="L57" s="14">
        <v>201</v>
      </c>
      <c r="M57" s="14">
        <v>138</v>
      </c>
      <c r="N57" s="14">
        <v>51</v>
      </c>
      <c r="O57" s="14">
        <v>0</v>
      </c>
      <c r="P57" s="14">
        <v>3</v>
      </c>
      <c r="Q57" s="14">
        <v>0</v>
      </c>
      <c r="R57" s="14">
        <v>0</v>
      </c>
      <c r="S57" s="14">
        <v>0</v>
      </c>
      <c r="T57" s="18">
        <v>0</v>
      </c>
      <c r="U57" s="14">
        <v>1.34</v>
      </c>
      <c r="V57" s="41"/>
      <c r="W57" s="39">
        <f t="shared" si="0"/>
        <v>6765.6600000000008</v>
      </c>
    </row>
    <row r="58" spans="1:29" x14ac:dyDescent="0.25">
      <c r="A58" s="7" t="s">
        <v>24</v>
      </c>
      <c r="B58" s="15" t="s">
        <v>19</v>
      </c>
      <c r="C58" s="7" t="s">
        <v>18</v>
      </c>
      <c r="D58" s="14">
        <v>3</v>
      </c>
      <c r="E58" s="14">
        <v>14</v>
      </c>
      <c r="F58" s="14">
        <v>1</v>
      </c>
      <c r="G58" s="14">
        <v>138</v>
      </c>
      <c r="H58" s="16">
        <v>3679</v>
      </c>
      <c r="I58" s="17">
        <v>2863</v>
      </c>
      <c r="J58" s="14">
        <v>265</v>
      </c>
      <c r="K58" s="14">
        <v>56</v>
      </c>
      <c r="L58" s="14">
        <v>53</v>
      </c>
      <c r="M58" s="14">
        <v>0</v>
      </c>
      <c r="N58" s="14">
        <v>26</v>
      </c>
      <c r="O58" s="14">
        <v>0</v>
      </c>
      <c r="P58" s="14">
        <v>249</v>
      </c>
      <c r="Q58" s="14">
        <v>11</v>
      </c>
      <c r="R58" s="14">
        <v>0</v>
      </c>
      <c r="S58" s="14">
        <v>0</v>
      </c>
      <c r="T58" s="18">
        <v>0</v>
      </c>
      <c r="U58" s="14">
        <v>1.34</v>
      </c>
      <c r="V58" s="41"/>
      <c r="W58" s="39">
        <f t="shared" si="0"/>
        <v>4720.8200000000006</v>
      </c>
    </row>
    <row r="59" spans="1:29" ht="13" thickBot="1" x14ac:dyDescent="0.3">
      <c r="A59" s="7" t="s">
        <v>24</v>
      </c>
      <c r="B59" s="19" t="s">
        <v>20</v>
      </c>
      <c r="C59" s="20" t="s">
        <v>18</v>
      </c>
      <c r="D59" s="21">
        <v>0</v>
      </c>
      <c r="E59" s="21">
        <v>0</v>
      </c>
      <c r="F59" s="21">
        <v>0</v>
      </c>
      <c r="G59" s="21">
        <v>0</v>
      </c>
      <c r="H59" s="22">
        <v>55</v>
      </c>
      <c r="I59" s="23">
        <v>14</v>
      </c>
      <c r="J59" s="21">
        <v>0</v>
      </c>
      <c r="K59" s="21">
        <v>0</v>
      </c>
      <c r="L59" s="21">
        <v>0</v>
      </c>
      <c r="M59" s="21">
        <v>0</v>
      </c>
      <c r="N59" s="21">
        <v>22</v>
      </c>
      <c r="O59" s="21">
        <v>0</v>
      </c>
      <c r="P59" s="21">
        <v>1</v>
      </c>
      <c r="Q59" s="21">
        <v>18</v>
      </c>
      <c r="R59" s="21">
        <v>0</v>
      </c>
      <c r="S59" s="21">
        <v>0</v>
      </c>
      <c r="T59" s="24">
        <v>0</v>
      </c>
      <c r="U59" s="14">
        <v>1.34</v>
      </c>
      <c r="V59" s="44"/>
      <c r="W59" s="39">
        <f t="shared" si="0"/>
        <v>73.7</v>
      </c>
    </row>
    <row r="60" spans="1:29" ht="13" thickBot="1" x14ac:dyDescent="0.3">
      <c r="A60" s="7" t="s">
        <v>24</v>
      </c>
      <c r="B60" s="25" t="s">
        <v>12</v>
      </c>
      <c r="C60" s="26" t="s">
        <v>18</v>
      </c>
      <c r="D60" s="27">
        <v>77</v>
      </c>
      <c r="E60" s="27">
        <v>104</v>
      </c>
      <c r="F60" s="27">
        <v>106</v>
      </c>
      <c r="G60" s="27">
        <v>1402</v>
      </c>
      <c r="H60" s="28">
        <v>16618</v>
      </c>
      <c r="I60" s="29">
        <v>9637</v>
      </c>
      <c r="J60" s="27">
        <v>2849</v>
      </c>
      <c r="K60" s="27">
        <v>1002</v>
      </c>
      <c r="L60" s="27">
        <v>510</v>
      </c>
      <c r="M60" s="27">
        <v>199</v>
      </c>
      <c r="N60" s="27">
        <v>163</v>
      </c>
      <c r="O60" s="27">
        <v>72</v>
      </c>
      <c r="P60" s="27">
        <v>468</v>
      </c>
      <c r="Q60" s="27">
        <v>29</v>
      </c>
      <c r="R60" s="27">
        <v>0</v>
      </c>
      <c r="S60" s="27">
        <v>0</v>
      </c>
      <c r="T60" s="29">
        <v>0</v>
      </c>
      <c r="U60" s="14">
        <v>1.34</v>
      </c>
      <c r="V60" s="43">
        <f>SUM(I55:T58)/SUM(H55:H58)</f>
        <v>0.92371370351502802</v>
      </c>
      <c r="W60" s="39">
        <f t="shared" si="0"/>
        <v>20004.86</v>
      </c>
      <c r="X60" s="35">
        <f>W58+W55</f>
        <v>9463.0800000000017</v>
      </c>
      <c r="Y60" s="35">
        <f>W53</f>
        <v>125.96000000000001</v>
      </c>
    </row>
    <row r="61" spans="1:29" x14ac:dyDescent="0.25">
      <c r="A61" s="7" t="s">
        <v>24</v>
      </c>
      <c r="B61" s="8" t="s">
        <v>17</v>
      </c>
      <c r="C61" s="9" t="s">
        <v>21</v>
      </c>
      <c r="D61" s="10">
        <v>0</v>
      </c>
      <c r="E61" s="10">
        <v>0</v>
      </c>
      <c r="F61" s="10">
        <v>0</v>
      </c>
      <c r="G61" s="10">
        <v>0</v>
      </c>
      <c r="H61" s="11">
        <v>26</v>
      </c>
      <c r="I61" s="12">
        <v>26</v>
      </c>
      <c r="J61" s="10">
        <v>0</v>
      </c>
      <c r="K61" s="10">
        <v>0</v>
      </c>
      <c r="L61" s="10">
        <v>0</v>
      </c>
      <c r="M61" s="10">
        <v>0</v>
      </c>
      <c r="N61" s="10">
        <v>0</v>
      </c>
      <c r="O61" s="10">
        <v>0</v>
      </c>
      <c r="P61" s="10">
        <v>0</v>
      </c>
      <c r="Q61" s="10">
        <v>0</v>
      </c>
      <c r="R61" s="10">
        <v>0</v>
      </c>
      <c r="S61" s="10">
        <v>0</v>
      </c>
      <c r="T61" s="13">
        <v>0</v>
      </c>
      <c r="U61" s="14">
        <v>1.34</v>
      </c>
      <c r="W61" s="39">
        <f t="shared" si="0"/>
        <v>34.840000000000003</v>
      </c>
      <c r="AB61" s="37" t="str">
        <f t="shared" ref="AB61:AB67" si="7">B61</f>
        <v>Parts-OTC</v>
      </c>
      <c r="AC61" s="36">
        <f t="shared" ref="AC61:AC67" si="8">I61*U61</f>
        <v>34.840000000000003</v>
      </c>
    </row>
    <row r="62" spans="1:29" x14ac:dyDescent="0.25">
      <c r="A62" s="7" t="s">
        <v>24</v>
      </c>
      <c r="B62" s="15" t="s">
        <v>66</v>
      </c>
      <c r="C62" s="7" t="s">
        <v>21</v>
      </c>
      <c r="D62" s="14">
        <v>0</v>
      </c>
      <c r="E62" s="14">
        <v>0</v>
      </c>
      <c r="F62" s="14">
        <v>0</v>
      </c>
      <c r="G62" s="14">
        <v>0</v>
      </c>
      <c r="H62" s="16">
        <v>225</v>
      </c>
      <c r="I62" s="17">
        <v>44</v>
      </c>
      <c r="J62" s="14">
        <v>80</v>
      </c>
      <c r="K62" s="14">
        <v>18</v>
      </c>
      <c r="L62" s="14">
        <v>6</v>
      </c>
      <c r="M62" s="14">
        <v>77</v>
      </c>
      <c r="N62" s="14">
        <v>0</v>
      </c>
      <c r="O62" s="14">
        <v>0</v>
      </c>
      <c r="P62" s="14">
        <v>0</v>
      </c>
      <c r="Q62" s="14">
        <v>0</v>
      </c>
      <c r="R62" s="14">
        <v>0</v>
      </c>
      <c r="S62" s="14">
        <v>0</v>
      </c>
      <c r="T62" s="18">
        <v>0</v>
      </c>
      <c r="U62" s="14">
        <v>1.34</v>
      </c>
      <c r="W62" s="39">
        <f t="shared" si="0"/>
        <v>301.5</v>
      </c>
      <c r="AB62" s="37" t="str">
        <f t="shared" si="7"/>
        <v>CTKS</v>
      </c>
      <c r="AC62" s="36">
        <f t="shared" si="8"/>
        <v>58.96</v>
      </c>
    </row>
    <row r="63" spans="1:29" x14ac:dyDescent="0.25">
      <c r="A63" s="7" t="s">
        <v>24</v>
      </c>
      <c r="B63" s="15" t="s">
        <v>13</v>
      </c>
      <c r="C63" s="7" t="s">
        <v>21</v>
      </c>
      <c r="D63" s="14">
        <v>0</v>
      </c>
      <c r="E63" s="14">
        <v>0</v>
      </c>
      <c r="F63" s="14">
        <v>0</v>
      </c>
      <c r="G63" s="14">
        <v>0</v>
      </c>
      <c r="H63" s="16">
        <v>1148</v>
      </c>
      <c r="I63" s="17">
        <v>696</v>
      </c>
      <c r="J63" s="14">
        <v>276</v>
      </c>
      <c r="K63" s="14">
        <v>32</v>
      </c>
      <c r="L63" s="14">
        <v>29</v>
      </c>
      <c r="M63" s="14">
        <v>97</v>
      </c>
      <c r="N63" s="14">
        <v>18</v>
      </c>
      <c r="O63" s="14">
        <v>0</v>
      </c>
      <c r="P63" s="14">
        <v>0</v>
      </c>
      <c r="Q63" s="14">
        <v>0</v>
      </c>
      <c r="R63" s="14">
        <v>0</v>
      </c>
      <c r="S63" s="14">
        <v>0</v>
      </c>
      <c r="T63" s="18">
        <v>0</v>
      </c>
      <c r="U63" s="14">
        <v>1.34</v>
      </c>
      <c r="W63" s="39">
        <f t="shared" si="0"/>
        <v>1538.3200000000002</v>
      </c>
      <c r="AB63" s="37" t="str">
        <f t="shared" si="7"/>
        <v>Repair</v>
      </c>
      <c r="AC63" s="36">
        <f t="shared" si="8"/>
        <v>932.6400000000001</v>
      </c>
    </row>
    <row r="64" spans="1:29" x14ac:dyDescent="0.25">
      <c r="A64" s="7" t="s">
        <v>24</v>
      </c>
      <c r="B64" s="15" t="s">
        <v>67</v>
      </c>
      <c r="C64" s="7" t="s">
        <v>21</v>
      </c>
      <c r="D64" s="14">
        <v>0</v>
      </c>
      <c r="E64" s="14">
        <v>0</v>
      </c>
      <c r="F64" s="14">
        <v>0</v>
      </c>
      <c r="G64" s="14">
        <v>0</v>
      </c>
      <c r="H64" s="16">
        <v>1477</v>
      </c>
      <c r="I64" s="17">
        <v>284</v>
      </c>
      <c r="J64" s="14">
        <v>195</v>
      </c>
      <c r="K64" s="14">
        <v>188</v>
      </c>
      <c r="L64" s="14">
        <v>128</v>
      </c>
      <c r="M64" s="14">
        <v>125</v>
      </c>
      <c r="N64" s="14">
        <v>125</v>
      </c>
      <c r="O64" s="14">
        <v>96</v>
      </c>
      <c r="P64" s="14">
        <v>91</v>
      </c>
      <c r="Q64" s="14">
        <v>91</v>
      </c>
      <c r="R64" s="14">
        <v>66</v>
      </c>
      <c r="S64" s="14">
        <v>53</v>
      </c>
      <c r="T64" s="18">
        <v>35</v>
      </c>
      <c r="U64" s="14">
        <v>1.34</v>
      </c>
      <c r="W64" s="39">
        <f t="shared" si="0"/>
        <v>1979.18</v>
      </c>
      <c r="AB64" s="37" t="str">
        <f t="shared" si="7"/>
        <v>Rental</v>
      </c>
      <c r="AC64" s="36">
        <f t="shared" si="8"/>
        <v>380.56</v>
      </c>
    </row>
    <row r="65" spans="1:29" x14ac:dyDescent="0.25">
      <c r="A65" s="7" t="s">
        <v>24</v>
      </c>
      <c r="B65" s="15" t="s">
        <v>73</v>
      </c>
      <c r="C65" s="7" t="s">
        <v>21</v>
      </c>
      <c r="D65" s="14">
        <v>0</v>
      </c>
      <c r="E65" s="14">
        <v>0</v>
      </c>
      <c r="F65" s="14">
        <v>0</v>
      </c>
      <c r="G65" s="14">
        <v>0</v>
      </c>
      <c r="H65" s="16">
        <v>3055</v>
      </c>
      <c r="I65" s="17">
        <v>744</v>
      </c>
      <c r="J65" s="14">
        <v>595</v>
      </c>
      <c r="K65" s="14">
        <v>535</v>
      </c>
      <c r="L65" s="14">
        <v>185</v>
      </c>
      <c r="M65" s="14">
        <v>171</v>
      </c>
      <c r="N65" s="14">
        <v>9</v>
      </c>
      <c r="O65" s="14">
        <v>20</v>
      </c>
      <c r="P65" s="14">
        <v>758</v>
      </c>
      <c r="Q65" s="14">
        <v>38</v>
      </c>
      <c r="R65" s="14">
        <v>0</v>
      </c>
      <c r="S65" s="14">
        <v>0</v>
      </c>
      <c r="T65" s="18">
        <v>0</v>
      </c>
      <c r="U65" s="14">
        <v>1.34</v>
      </c>
      <c r="W65" s="39">
        <f t="shared" si="0"/>
        <v>4093.7000000000003</v>
      </c>
      <c r="AB65" s="37"/>
    </row>
    <row r="66" spans="1:29" x14ac:dyDescent="0.25">
      <c r="A66" s="7" t="s">
        <v>24</v>
      </c>
      <c r="B66" s="15" t="s">
        <v>19</v>
      </c>
      <c r="C66" s="7" t="s">
        <v>21</v>
      </c>
      <c r="D66" s="14">
        <v>0</v>
      </c>
      <c r="E66" s="14">
        <v>0</v>
      </c>
      <c r="F66" s="14">
        <v>0</v>
      </c>
      <c r="G66" s="14">
        <v>0</v>
      </c>
      <c r="H66" s="16">
        <v>3406</v>
      </c>
      <c r="I66" s="17">
        <v>469</v>
      </c>
      <c r="J66" s="14">
        <v>461</v>
      </c>
      <c r="K66" s="14">
        <v>334</v>
      </c>
      <c r="L66" s="14">
        <v>203</v>
      </c>
      <c r="M66" s="14">
        <v>453</v>
      </c>
      <c r="N66" s="14">
        <v>301</v>
      </c>
      <c r="O66" s="14">
        <v>232</v>
      </c>
      <c r="P66" s="14">
        <v>327</v>
      </c>
      <c r="Q66" s="14">
        <v>138</v>
      </c>
      <c r="R66" s="14">
        <v>223</v>
      </c>
      <c r="S66" s="14">
        <v>165</v>
      </c>
      <c r="T66" s="18">
        <v>100</v>
      </c>
      <c r="U66" s="14">
        <v>1.34</v>
      </c>
      <c r="W66" s="39">
        <f t="shared" ref="W66:W129" si="9">SUM(I66:T66)*U66</f>
        <v>4564.04</v>
      </c>
      <c r="AB66" s="37" t="str">
        <f t="shared" si="7"/>
        <v>Maintenance</v>
      </c>
      <c r="AC66" s="36">
        <f t="shared" si="8"/>
        <v>628.46</v>
      </c>
    </row>
    <row r="67" spans="1:29" ht="13" thickBot="1" x14ac:dyDescent="0.3">
      <c r="A67" s="7" t="s">
        <v>24</v>
      </c>
      <c r="B67" s="19" t="s">
        <v>20</v>
      </c>
      <c r="C67" s="20" t="s">
        <v>21</v>
      </c>
      <c r="D67" s="21">
        <v>0</v>
      </c>
      <c r="E67" s="21">
        <v>0</v>
      </c>
      <c r="F67" s="21">
        <v>0</v>
      </c>
      <c r="G67" s="21">
        <v>0</v>
      </c>
      <c r="H67" s="22">
        <v>770</v>
      </c>
      <c r="I67" s="23">
        <v>91</v>
      </c>
      <c r="J67" s="21">
        <v>39</v>
      </c>
      <c r="K67" s="21">
        <v>96</v>
      </c>
      <c r="L67" s="21">
        <v>231</v>
      </c>
      <c r="M67" s="21">
        <v>124</v>
      </c>
      <c r="N67" s="21">
        <v>47</v>
      </c>
      <c r="O67" s="21">
        <v>92</v>
      </c>
      <c r="P67" s="21">
        <v>50</v>
      </c>
      <c r="Q67" s="21">
        <v>0</v>
      </c>
      <c r="R67" s="21">
        <v>0</v>
      </c>
      <c r="S67" s="21">
        <v>0</v>
      </c>
      <c r="T67" s="24">
        <v>0</v>
      </c>
      <c r="U67" s="14">
        <v>1.34</v>
      </c>
      <c r="W67" s="39">
        <f t="shared" si="9"/>
        <v>1031.8</v>
      </c>
      <c r="AB67" s="37" t="str">
        <f t="shared" si="7"/>
        <v>Startup</v>
      </c>
      <c r="AC67" s="36">
        <f t="shared" si="8"/>
        <v>121.94000000000001</v>
      </c>
    </row>
    <row r="68" spans="1:29" ht="13" thickBot="1" x14ac:dyDescent="0.3">
      <c r="A68" s="20" t="s">
        <v>24</v>
      </c>
      <c r="B68" s="25" t="s">
        <v>12</v>
      </c>
      <c r="C68" s="26" t="s">
        <v>21</v>
      </c>
      <c r="D68" s="27">
        <v>0</v>
      </c>
      <c r="E68" s="27">
        <v>0</v>
      </c>
      <c r="F68" s="27">
        <v>0</v>
      </c>
      <c r="G68" s="27">
        <v>0</v>
      </c>
      <c r="H68" s="28">
        <v>10105</v>
      </c>
      <c r="I68" s="29">
        <v>2355</v>
      </c>
      <c r="J68" s="27">
        <v>1646</v>
      </c>
      <c r="K68" s="27">
        <v>1202</v>
      </c>
      <c r="L68" s="27">
        <v>782</v>
      </c>
      <c r="M68" s="27">
        <v>1046</v>
      </c>
      <c r="N68" s="27">
        <v>501</v>
      </c>
      <c r="O68" s="27">
        <v>439</v>
      </c>
      <c r="P68" s="27">
        <v>1225</v>
      </c>
      <c r="Q68" s="27">
        <v>266</v>
      </c>
      <c r="R68" s="27">
        <v>289</v>
      </c>
      <c r="S68" s="27">
        <v>218</v>
      </c>
      <c r="T68" s="29">
        <v>136</v>
      </c>
      <c r="U68" s="14">
        <v>1.34</v>
      </c>
      <c r="W68" s="39">
        <f t="shared" si="9"/>
        <v>13540.7</v>
      </c>
      <c r="X68" s="35">
        <f>W67+W66+W63</f>
        <v>7134.16</v>
      </c>
      <c r="Y68" s="35">
        <f>W61</f>
        <v>34.840000000000003</v>
      </c>
      <c r="Z68" s="40">
        <f>V59/X68</f>
        <v>0</v>
      </c>
      <c r="AA68" s="40">
        <f>IF((Y68=0),0,Y60/Y68)</f>
        <v>3.6153846153846154</v>
      </c>
      <c r="AB68" s="48"/>
      <c r="AC68" s="48"/>
    </row>
    <row r="69" spans="1:29" ht="13" thickBot="1" x14ac:dyDescent="0.3">
      <c r="A69" s="9" t="s">
        <v>0</v>
      </c>
      <c r="B69" s="30" t="s">
        <v>15</v>
      </c>
      <c r="C69" s="31" t="s">
        <v>46</v>
      </c>
      <c r="D69" s="32" t="s">
        <v>47</v>
      </c>
      <c r="E69" s="53">
        <v>45689</v>
      </c>
      <c r="F69" s="53">
        <v>45717</v>
      </c>
      <c r="G69" s="53">
        <v>45748</v>
      </c>
      <c r="H69" s="28" t="s">
        <v>12</v>
      </c>
      <c r="I69" s="54">
        <v>45778</v>
      </c>
      <c r="J69" s="53">
        <v>45809</v>
      </c>
      <c r="K69" s="53">
        <v>45839</v>
      </c>
      <c r="L69" s="53">
        <v>45870</v>
      </c>
      <c r="M69" s="53">
        <v>45901</v>
      </c>
      <c r="N69" s="53">
        <v>45931</v>
      </c>
      <c r="O69" s="53">
        <v>45962</v>
      </c>
      <c r="P69" s="53">
        <v>45992</v>
      </c>
      <c r="Q69" s="53">
        <v>46023</v>
      </c>
      <c r="R69" s="53">
        <v>46054</v>
      </c>
      <c r="S69" s="53">
        <v>46082</v>
      </c>
      <c r="T69" s="55">
        <v>46113</v>
      </c>
      <c r="U69" s="14">
        <v>1.175</v>
      </c>
      <c r="V69" s="14" t="s">
        <v>183</v>
      </c>
      <c r="W69" s="39">
        <f t="shared" si="9"/>
        <v>647840.95000000007</v>
      </c>
      <c r="X69" s="14" t="s">
        <v>37</v>
      </c>
      <c r="Y69" s="14" t="s">
        <v>38</v>
      </c>
      <c r="AB69" s="48"/>
      <c r="AC69" s="48"/>
    </row>
    <row r="70" spans="1:29" x14ac:dyDescent="0.25">
      <c r="A70" s="7" t="s">
        <v>0</v>
      </c>
      <c r="B70" s="8" t="s">
        <v>17</v>
      </c>
      <c r="C70" s="9" t="s">
        <v>18</v>
      </c>
      <c r="D70" s="10">
        <v>5</v>
      </c>
      <c r="E70" s="10">
        <v>0</v>
      </c>
      <c r="F70" s="10">
        <v>0</v>
      </c>
      <c r="G70" s="10">
        <v>8</v>
      </c>
      <c r="H70" s="11">
        <v>171</v>
      </c>
      <c r="I70" s="12">
        <v>158</v>
      </c>
      <c r="J70" s="10">
        <v>0</v>
      </c>
      <c r="K70" s="10">
        <v>0</v>
      </c>
      <c r="L70" s="10">
        <v>0</v>
      </c>
      <c r="M70" s="10">
        <v>0</v>
      </c>
      <c r="N70" s="10">
        <v>0</v>
      </c>
      <c r="O70" s="10">
        <v>0</v>
      </c>
      <c r="P70" s="10">
        <v>0</v>
      </c>
      <c r="Q70" s="10">
        <v>0</v>
      </c>
      <c r="R70" s="10">
        <v>0</v>
      </c>
      <c r="S70" s="10">
        <v>0</v>
      </c>
      <c r="T70" s="13">
        <v>0</v>
      </c>
      <c r="U70" s="14">
        <v>1.175</v>
      </c>
      <c r="V70" s="42">
        <f>SUM(I70:T70)/H70</f>
        <v>0.92397660818713445</v>
      </c>
      <c r="W70" s="39">
        <f t="shared" si="9"/>
        <v>185.65</v>
      </c>
    </row>
    <row r="71" spans="1:29" x14ac:dyDescent="0.25">
      <c r="A71" s="7" t="s">
        <v>0</v>
      </c>
      <c r="B71" s="15" t="s">
        <v>66</v>
      </c>
      <c r="C71" s="7" t="s">
        <v>18</v>
      </c>
      <c r="D71" s="14">
        <v>0</v>
      </c>
      <c r="E71" s="14">
        <v>0</v>
      </c>
      <c r="F71" s="14">
        <v>0</v>
      </c>
      <c r="G71" s="14">
        <v>0</v>
      </c>
      <c r="H71" s="16">
        <v>69</v>
      </c>
      <c r="I71" s="17">
        <v>0</v>
      </c>
      <c r="J71" s="14">
        <v>69</v>
      </c>
      <c r="K71" s="14">
        <v>0</v>
      </c>
      <c r="L71" s="14">
        <v>0</v>
      </c>
      <c r="M71" s="14">
        <v>0</v>
      </c>
      <c r="N71" s="14">
        <v>0</v>
      </c>
      <c r="O71" s="14">
        <v>0</v>
      </c>
      <c r="P71" s="14">
        <v>0</v>
      </c>
      <c r="Q71" s="14">
        <v>0</v>
      </c>
      <c r="R71" s="14">
        <v>0</v>
      </c>
      <c r="S71" s="14">
        <v>0</v>
      </c>
      <c r="T71" s="18">
        <v>0</v>
      </c>
      <c r="U71" s="14">
        <v>1.175</v>
      </c>
      <c r="V71" s="44"/>
      <c r="W71" s="39">
        <f t="shared" si="9"/>
        <v>81.075000000000003</v>
      </c>
    </row>
    <row r="72" spans="1:29" x14ac:dyDescent="0.25">
      <c r="A72" s="7" t="s">
        <v>0</v>
      </c>
      <c r="B72" s="15" t="s">
        <v>13</v>
      </c>
      <c r="C72" s="7" t="s">
        <v>18</v>
      </c>
      <c r="D72" s="14">
        <v>0</v>
      </c>
      <c r="E72" s="14">
        <v>0</v>
      </c>
      <c r="F72" s="14">
        <v>7</v>
      </c>
      <c r="G72" s="14">
        <v>45</v>
      </c>
      <c r="H72" s="16">
        <v>448</v>
      </c>
      <c r="I72" s="17">
        <v>163</v>
      </c>
      <c r="J72" s="14">
        <v>202</v>
      </c>
      <c r="K72" s="14">
        <v>25</v>
      </c>
      <c r="L72" s="14">
        <v>0</v>
      </c>
      <c r="M72" s="14">
        <v>0</v>
      </c>
      <c r="N72" s="14">
        <v>0</v>
      </c>
      <c r="O72" s="14">
        <v>1</v>
      </c>
      <c r="P72" s="14">
        <v>0</v>
      </c>
      <c r="Q72" s="14">
        <v>0</v>
      </c>
      <c r="R72" s="14">
        <v>4</v>
      </c>
      <c r="S72" s="14">
        <v>1</v>
      </c>
      <c r="T72" s="18">
        <v>0</v>
      </c>
      <c r="U72" s="14">
        <v>1.175</v>
      </c>
      <c r="V72" s="41"/>
      <c r="W72" s="39">
        <f t="shared" si="9"/>
        <v>465.3</v>
      </c>
    </row>
    <row r="73" spans="1:29" x14ac:dyDescent="0.25">
      <c r="A73" s="7" t="s">
        <v>0</v>
      </c>
      <c r="B73" s="15" t="s">
        <v>67</v>
      </c>
      <c r="C73" s="7" t="s">
        <v>18</v>
      </c>
      <c r="D73" s="14">
        <v>0</v>
      </c>
      <c r="E73" s="14">
        <v>0</v>
      </c>
      <c r="F73" s="14">
        <v>0</v>
      </c>
      <c r="G73" s="14">
        <v>62</v>
      </c>
      <c r="H73" s="16">
        <v>488</v>
      </c>
      <c r="I73" s="17">
        <v>157</v>
      </c>
      <c r="J73" s="14">
        <v>230</v>
      </c>
      <c r="K73" s="14">
        <v>17</v>
      </c>
      <c r="L73" s="14">
        <v>13</v>
      </c>
      <c r="M73" s="14">
        <v>5</v>
      </c>
      <c r="N73" s="14">
        <v>4</v>
      </c>
      <c r="O73" s="14">
        <v>0</v>
      </c>
      <c r="P73" s="14">
        <v>0</v>
      </c>
      <c r="Q73" s="14">
        <v>0</v>
      </c>
      <c r="R73" s="14">
        <v>0</v>
      </c>
      <c r="S73" s="14">
        <v>0</v>
      </c>
      <c r="T73" s="18">
        <v>0</v>
      </c>
      <c r="U73" s="14">
        <v>1.175</v>
      </c>
      <c r="V73" s="41"/>
      <c r="W73" s="39">
        <f t="shared" si="9"/>
        <v>500.55</v>
      </c>
    </row>
    <row r="74" spans="1:29" x14ac:dyDescent="0.25">
      <c r="A74" s="7" t="s">
        <v>0</v>
      </c>
      <c r="B74" s="15" t="s">
        <v>73</v>
      </c>
      <c r="C74" s="7" t="s">
        <v>18</v>
      </c>
      <c r="D74" s="14">
        <v>0</v>
      </c>
      <c r="E74" s="14">
        <v>0</v>
      </c>
      <c r="F74" s="14">
        <v>0</v>
      </c>
      <c r="G74" s="14">
        <v>0</v>
      </c>
      <c r="H74" s="16">
        <v>36</v>
      </c>
      <c r="I74" s="17">
        <v>32</v>
      </c>
      <c r="J74" s="14">
        <v>2</v>
      </c>
      <c r="K74" s="14">
        <v>0</v>
      </c>
      <c r="L74" s="14">
        <v>2</v>
      </c>
      <c r="M74" s="14">
        <v>0</v>
      </c>
      <c r="N74" s="14">
        <v>0</v>
      </c>
      <c r="O74" s="14">
        <v>0</v>
      </c>
      <c r="P74" s="14">
        <v>0</v>
      </c>
      <c r="Q74" s="14">
        <v>0</v>
      </c>
      <c r="R74" s="14">
        <v>0</v>
      </c>
      <c r="S74" s="14">
        <v>0</v>
      </c>
      <c r="T74" s="18">
        <v>0</v>
      </c>
      <c r="U74" s="14">
        <v>1.175</v>
      </c>
      <c r="V74" s="41"/>
      <c r="W74" s="39">
        <f t="shared" si="9"/>
        <v>42.300000000000004</v>
      </c>
    </row>
    <row r="75" spans="1:29" x14ac:dyDescent="0.25">
      <c r="A75" s="7" t="s">
        <v>0</v>
      </c>
      <c r="B75" s="15" t="s">
        <v>19</v>
      </c>
      <c r="C75" s="7" t="s">
        <v>18</v>
      </c>
      <c r="D75" s="14">
        <v>2</v>
      </c>
      <c r="E75" s="14">
        <v>0</v>
      </c>
      <c r="F75" s="14">
        <v>9</v>
      </c>
      <c r="G75" s="14">
        <v>37</v>
      </c>
      <c r="H75" s="16">
        <v>535</v>
      </c>
      <c r="I75" s="17">
        <v>296</v>
      </c>
      <c r="J75" s="14">
        <v>56</v>
      </c>
      <c r="K75" s="14">
        <v>0</v>
      </c>
      <c r="L75" s="14">
        <v>0</v>
      </c>
      <c r="M75" s="14">
        <v>0</v>
      </c>
      <c r="N75" s="14">
        <v>0</v>
      </c>
      <c r="O75" s="14">
        <v>7</v>
      </c>
      <c r="P75" s="14">
        <v>0</v>
      </c>
      <c r="Q75" s="14">
        <v>51</v>
      </c>
      <c r="R75" s="14">
        <v>33</v>
      </c>
      <c r="S75" s="14">
        <v>30</v>
      </c>
      <c r="T75" s="18">
        <v>14</v>
      </c>
      <c r="U75" s="14">
        <v>1.175</v>
      </c>
      <c r="V75" s="41"/>
      <c r="W75" s="39">
        <f t="shared" si="9"/>
        <v>572.22500000000002</v>
      </c>
    </row>
    <row r="76" spans="1:29" ht="13" thickBot="1" x14ac:dyDescent="0.3">
      <c r="A76" s="7" t="s">
        <v>0</v>
      </c>
      <c r="B76" s="19" t="s">
        <v>20</v>
      </c>
      <c r="C76" s="20" t="s">
        <v>18</v>
      </c>
      <c r="D76" s="21">
        <v>0</v>
      </c>
      <c r="E76" s="21">
        <v>0</v>
      </c>
      <c r="F76" s="21">
        <v>0</v>
      </c>
      <c r="G76" s="21">
        <v>1</v>
      </c>
      <c r="H76" s="22">
        <v>3</v>
      </c>
      <c r="I76" s="23">
        <v>2</v>
      </c>
      <c r="J76" s="21">
        <v>0</v>
      </c>
      <c r="K76" s="21">
        <v>0</v>
      </c>
      <c r="L76" s="21">
        <v>0</v>
      </c>
      <c r="M76" s="21">
        <v>0</v>
      </c>
      <c r="N76" s="21">
        <v>0</v>
      </c>
      <c r="O76" s="21">
        <v>0</v>
      </c>
      <c r="P76" s="21">
        <v>0</v>
      </c>
      <c r="Q76" s="21">
        <v>0</v>
      </c>
      <c r="R76" s="21">
        <v>0</v>
      </c>
      <c r="S76" s="21">
        <v>0</v>
      </c>
      <c r="T76" s="24">
        <v>0</v>
      </c>
      <c r="U76" s="14">
        <v>1.175</v>
      </c>
      <c r="V76" s="44"/>
      <c r="W76" s="39">
        <f t="shared" si="9"/>
        <v>2.35</v>
      </c>
    </row>
    <row r="77" spans="1:29" ht="13" thickBot="1" x14ac:dyDescent="0.3">
      <c r="A77" s="7" t="s">
        <v>0</v>
      </c>
      <c r="B77" s="25" t="s">
        <v>12</v>
      </c>
      <c r="C77" s="26" t="s">
        <v>18</v>
      </c>
      <c r="D77" s="27">
        <v>7</v>
      </c>
      <c r="E77" s="27">
        <v>0</v>
      </c>
      <c r="F77" s="27">
        <v>16</v>
      </c>
      <c r="G77" s="27">
        <v>153</v>
      </c>
      <c r="H77" s="28">
        <v>1750</v>
      </c>
      <c r="I77" s="29">
        <v>808</v>
      </c>
      <c r="J77" s="27">
        <v>558</v>
      </c>
      <c r="K77" s="27">
        <v>43</v>
      </c>
      <c r="L77" s="27">
        <v>15</v>
      </c>
      <c r="M77" s="27">
        <v>5</v>
      </c>
      <c r="N77" s="27">
        <v>4</v>
      </c>
      <c r="O77" s="27">
        <v>7</v>
      </c>
      <c r="P77" s="27">
        <v>0</v>
      </c>
      <c r="Q77" s="27">
        <v>51</v>
      </c>
      <c r="R77" s="27">
        <v>37</v>
      </c>
      <c r="S77" s="27">
        <v>31</v>
      </c>
      <c r="T77" s="29">
        <v>15</v>
      </c>
      <c r="U77" s="14">
        <v>1.175</v>
      </c>
      <c r="V77" s="43">
        <f>SUM(I72:T75)/SUM(H72:H75)</f>
        <v>0.89250165892501654</v>
      </c>
      <c r="W77" s="39">
        <f t="shared" si="9"/>
        <v>1849.45</v>
      </c>
      <c r="X77" s="35">
        <f>W75+W72</f>
        <v>1037.5250000000001</v>
      </c>
      <c r="Y77" s="35">
        <f>W70</f>
        <v>185.65</v>
      </c>
    </row>
    <row r="78" spans="1:29" x14ac:dyDescent="0.25">
      <c r="A78" s="7" t="s">
        <v>0</v>
      </c>
      <c r="B78" s="8" t="s">
        <v>17</v>
      </c>
      <c r="C78" s="9" t="s">
        <v>21</v>
      </c>
      <c r="D78" s="10">
        <v>0</v>
      </c>
      <c r="E78" s="10">
        <v>0</v>
      </c>
      <c r="F78" s="10">
        <v>0</v>
      </c>
      <c r="G78" s="10">
        <v>0</v>
      </c>
      <c r="H78" s="11">
        <v>35</v>
      </c>
      <c r="I78" s="12">
        <v>35</v>
      </c>
      <c r="J78" s="10">
        <v>0</v>
      </c>
      <c r="K78" s="10">
        <v>0</v>
      </c>
      <c r="L78" s="10">
        <v>0</v>
      </c>
      <c r="M78" s="10">
        <v>0</v>
      </c>
      <c r="N78" s="10">
        <v>0</v>
      </c>
      <c r="O78" s="10">
        <v>0</v>
      </c>
      <c r="P78" s="10">
        <v>0</v>
      </c>
      <c r="Q78" s="10">
        <v>0</v>
      </c>
      <c r="R78" s="10">
        <v>0</v>
      </c>
      <c r="S78" s="10">
        <v>0</v>
      </c>
      <c r="T78" s="13">
        <v>0</v>
      </c>
      <c r="U78" s="14">
        <v>1.175</v>
      </c>
      <c r="W78" s="39">
        <f t="shared" si="9"/>
        <v>41.125</v>
      </c>
      <c r="AB78" s="37" t="str">
        <f t="shared" ref="AB78:AB84" si="10">B78</f>
        <v>Parts-OTC</v>
      </c>
      <c r="AC78" s="36">
        <f t="shared" ref="AC78:AC84" si="11">I78*U78</f>
        <v>41.125</v>
      </c>
    </row>
    <row r="79" spans="1:29" x14ac:dyDescent="0.25">
      <c r="A79" s="7" t="s">
        <v>0</v>
      </c>
      <c r="B79" s="15" t="s">
        <v>66</v>
      </c>
      <c r="C79" s="7" t="s">
        <v>21</v>
      </c>
      <c r="D79" s="14">
        <v>0</v>
      </c>
      <c r="E79" s="14">
        <v>0</v>
      </c>
      <c r="F79" s="14">
        <v>0</v>
      </c>
      <c r="G79" s="14">
        <v>0</v>
      </c>
      <c r="H79" s="16">
        <v>7</v>
      </c>
      <c r="I79" s="17">
        <v>7</v>
      </c>
      <c r="J79" s="14">
        <v>0</v>
      </c>
      <c r="K79" s="14">
        <v>0</v>
      </c>
      <c r="L79" s="14">
        <v>0</v>
      </c>
      <c r="M79" s="14">
        <v>0</v>
      </c>
      <c r="N79" s="14">
        <v>0</v>
      </c>
      <c r="O79" s="14">
        <v>0</v>
      </c>
      <c r="P79" s="14">
        <v>0</v>
      </c>
      <c r="Q79" s="14">
        <v>0</v>
      </c>
      <c r="R79" s="14">
        <v>0</v>
      </c>
      <c r="S79" s="14">
        <v>0</v>
      </c>
      <c r="T79" s="18">
        <v>0</v>
      </c>
      <c r="U79" s="14">
        <v>1.175</v>
      </c>
      <c r="W79" s="39">
        <f t="shared" si="9"/>
        <v>8.2249999999999996</v>
      </c>
      <c r="AB79" s="37" t="str">
        <f t="shared" si="10"/>
        <v>CTKS</v>
      </c>
      <c r="AC79" s="36">
        <f t="shared" si="11"/>
        <v>8.2249999999999996</v>
      </c>
    </row>
    <row r="80" spans="1:29" x14ac:dyDescent="0.25">
      <c r="A80" s="7" t="s">
        <v>0</v>
      </c>
      <c r="B80" s="15" t="s">
        <v>13</v>
      </c>
      <c r="C80" s="7" t="s">
        <v>21</v>
      </c>
      <c r="D80" s="14">
        <v>0</v>
      </c>
      <c r="E80" s="14">
        <v>0</v>
      </c>
      <c r="F80" s="14">
        <v>0</v>
      </c>
      <c r="G80" s="14">
        <v>0</v>
      </c>
      <c r="H80" s="16">
        <v>354</v>
      </c>
      <c r="I80" s="17">
        <v>152</v>
      </c>
      <c r="J80" s="14">
        <v>81</v>
      </c>
      <c r="K80" s="14">
        <v>100</v>
      </c>
      <c r="L80" s="14">
        <v>0</v>
      </c>
      <c r="M80" s="14">
        <v>21</v>
      </c>
      <c r="N80" s="14">
        <v>0</v>
      </c>
      <c r="O80" s="14">
        <v>0</v>
      </c>
      <c r="P80" s="14">
        <v>0</v>
      </c>
      <c r="Q80" s="14">
        <v>0</v>
      </c>
      <c r="R80" s="14">
        <v>0</v>
      </c>
      <c r="S80" s="14">
        <v>0</v>
      </c>
      <c r="T80" s="18">
        <v>0</v>
      </c>
      <c r="U80" s="14">
        <v>1.175</v>
      </c>
      <c r="W80" s="39">
        <f t="shared" si="9"/>
        <v>415.95</v>
      </c>
      <c r="AB80" s="37" t="str">
        <f t="shared" si="10"/>
        <v>Repair</v>
      </c>
      <c r="AC80" s="36">
        <f t="shared" si="11"/>
        <v>178.6</v>
      </c>
    </row>
    <row r="81" spans="1:29" x14ac:dyDescent="0.25">
      <c r="A81" s="7" t="s">
        <v>0</v>
      </c>
      <c r="B81" s="15" t="s">
        <v>67</v>
      </c>
      <c r="C81" s="7" t="s">
        <v>21</v>
      </c>
      <c r="D81" s="14">
        <v>0</v>
      </c>
      <c r="E81" s="14">
        <v>0</v>
      </c>
      <c r="F81" s="14">
        <v>0</v>
      </c>
      <c r="G81" s="14">
        <v>0</v>
      </c>
      <c r="H81" s="16">
        <v>274</v>
      </c>
      <c r="I81" s="17">
        <v>52</v>
      </c>
      <c r="J81" s="14">
        <v>30</v>
      </c>
      <c r="K81" s="14">
        <v>27</v>
      </c>
      <c r="L81" s="14">
        <v>27</v>
      </c>
      <c r="M81" s="14">
        <v>27</v>
      </c>
      <c r="N81" s="14">
        <v>27</v>
      </c>
      <c r="O81" s="14">
        <v>25</v>
      </c>
      <c r="P81" s="14">
        <v>17</v>
      </c>
      <c r="Q81" s="14">
        <v>13</v>
      </c>
      <c r="R81" s="14">
        <v>11</v>
      </c>
      <c r="S81" s="14">
        <v>9</v>
      </c>
      <c r="T81" s="18">
        <v>9</v>
      </c>
      <c r="U81" s="14">
        <v>1.175</v>
      </c>
      <c r="W81" s="39">
        <f t="shared" si="9"/>
        <v>321.95</v>
      </c>
      <c r="AB81" s="37" t="str">
        <f t="shared" si="10"/>
        <v>Rental</v>
      </c>
      <c r="AC81" s="36">
        <f t="shared" si="11"/>
        <v>61.1</v>
      </c>
    </row>
    <row r="82" spans="1:29" x14ac:dyDescent="0.25">
      <c r="A82" s="7" t="s">
        <v>0</v>
      </c>
      <c r="B82" s="15" t="s">
        <v>73</v>
      </c>
      <c r="C82" s="7" t="s">
        <v>21</v>
      </c>
      <c r="D82" s="14">
        <v>0</v>
      </c>
      <c r="E82" s="14">
        <v>0</v>
      </c>
      <c r="F82" s="14">
        <v>0</v>
      </c>
      <c r="G82" s="14">
        <v>0</v>
      </c>
      <c r="H82" s="16">
        <v>190</v>
      </c>
      <c r="I82" s="17">
        <v>180</v>
      </c>
      <c r="J82" s="14">
        <v>10</v>
      </c>
      <c r="K82" s="14">
        <v>0</v>
      </c>
      <c r="L82" s="14">
        <v>0</v>
      </c>
      <c r="M82" s="14">
        <v>0</v>
      </c>
      <c r="N82" s="14">
        <v>0</v>
      </c>
      <c r="O82" s="14">
        <v>0</v>
      </c>
      <c r="P82" s="14">
        <v>0</v>
      </c>
      <c r="Q82" s="14">
        <v>0</v>
      </c>
      <c r="R82" s="14">
        <v>0</v>
      </c>
      <c r="S82" s="14">
        <v>0</v>
      </c>
      <c r="T82" s="18">
        <v>0</v>
      </c>
      <c r="U82" s="14">
        <v>1.175</v>
      </c>
      <c r="W82" s="39">
        <f t="shared" si="9"/>
        <v>223.25</v>
      </c>
      <c r="AB82" s="37"/>
    </row>
    <row r="83" spans="1:29" x14ac:dyDescent="0.25">
      <c r="A83" s="7" t="s">
        <v>0</v>
      </c>
      <c r="B83" s="15" t="s">
        <v>19</v>
      </c>
      <c r="C83" s="7" t="s">
        <v>21</v>
      </c>
      <c r="D83" s="14">
        <v>0</v>
      </c>
      <c r="E83" s="14">
        <v>0</v>
      </c>
      <c r="F83" s="14">
        <v>0</v>
      </c>
      <c r="G83" s="14">
        <v>0</v>
      </c>
      <c r="H83" s="16">
        <v>972</v>
      </c>
      <c r="I83" s="17">
        <v>173</v>
      </c>
      <c r="J83" s="14">
        <v>300</v>
      </c>
      <c r="K83" s="14">
        <v>93</v>
      </c>
      <c r="L83" s="14">
        <v>86</v>
      </c>
      <c r="M83" s="14">
        <v>51</v>
      </c>
      <c r="N83" s="14">
        <v>54</v>
      </c>
      <c r="O83" s="14">
        <v>113</v>
      </c>
      <c r="P83" s="14">
        <v>37</v>
      </c>
      <c r="Q83" s="14">
        <v>12</v>
      </c>
      <c r="R83" s="14">
        <v>31</v>
      </c>
      <c r="S83" s="14">
        <v>8</v>
      </c>
      <c r="T83" s="18">
        <v>14</v>
      </c>
      <c r="U83" s="14">
        <v>1.175</v>
      </c>
      <c r="W83" s="39">
        <f t="shared" si="9"/>
        <v>1142.1000000000001</v>
      </c>
      <c r="AB83" s="37" t="str">
        <f t="shared" si="10"/>
        <v>Maintenance</v>
      </c>
      <c r="AC83" s="36">
        <f t="shared" si="11"/>
        <v>203.27500000000001</v>
      </c>
    </row>
    <row r="84" spans="1:29" ht="13" thickBot="1" x14ac:dyDescent="0.3">
      <c r="A84" s="7" t="s">
        <v>0</v>
      </c>
      <c r="B84" s="19" t="s">
        <v>20</v>
      </c>
      <c r="C84" s="20" t="s">
        <v>21</v>
      </c>
      <c r="D84" s="21">
        <v>0</v>
      </c>
      <c r="E84" s="21">
        <v>0</v>
      </c>
      <c r="F84" s="21">
        <v>0</v>
      </c>
      <c r="G84" s="21">
        <v>0</v>
      </c>
      <c r="H84" s="22">
        <v>54</v>
      </c>
      <c r="I84" s="23">
        <v>25</v>
      </c>
      <c r="J84" s="21">
        <v>17</v>
      </c>
      <c r="K84" s="21">
        <v>2</v>
      </c>
      <c r="L84" s="21">
        <v>0</v>
      </c>
      <c r="M84" s="21">
        <v>10</v>
      </c>
      <c r="N84" s="21">
        <v>0</v>
      </c>
      <c r="O84" s="21">
        <v>0</v>
      </c>
      <c r="P84" s="21">
        <v>0</v>
      </c>
      <c r="Q84" s="21">
        <v>0</v>
      </c>
      <c r="R84" s="21">
        <v>0</v>
      </c>
      <c r="S84" s="21">
        <v>0</v>
      </c>
      <c r="T84" s="24">
        <v>0</v>
      </c>
      <c r="U84" s="14">
        <v>1.175</v>
      </c>
      <c r="W84" s="39">
        <f t="shared" si="9"/>
        <v>63.45</v>
      </c>
      <c r="AB84" s="37" t="str">
        <f t="shared" si="10"/>
        <v>Startup</v>
      </c>
      <c r="AC84" s="36">
        <f t="shared" si="11"/>
        <v>29.375</v>
      </c>
    </row>
    <row r="85" spans="1:29" ht="13" thickBot="1" x14ac:dyDescent="0.3">
      <c r="A85" s="20" t="s">
        <v>0</v>
      </c>
      <c r="B85" s="25" t="s">
        <v>12</v>
      </c>
      <c r="C85" s="26" t="s">
        <v>21</v>
      </c>
      <c r="D85" s="27">
        <v>0</v>
      </c>
      <c r="E85" s="27">
        <v>0</v>
      </c>
      <c r="F85" s="27">
        <v>0</v>
      </c>
      <c r="G85" s="27">
        <v>0</v>
      </c>
      <c r="H85" s="28">
        <v>1885</v>
      </c>
      <c r="I85" s="29">
        <v>623</v>
      </c>
      <c r="J85" s="27">
        <v>437</v>
      </c>
      <c r="K85" s="27">
        <v>222</v>
      </c>
      <c r="L85" s="27">
        <v>113</v>
      </c>
      <c r="M85" s="27">
        <v>110</v>
      </c>
      <c r="N85" s="27">
        <v>81</v>
      </c>
      <c r="O85" s="27">
        <v>138</v>
      </c>
      <c r="P85" s="27">
        <v>54</v>
      </c>
      <c r="Q85" s="27">
        <v>25</v>
      </c>
      <c r="R85" s="27">
        <v>42</v>
      </c>
      <c r="S85" s="27">
        <v>17</v>
      </c>
      <c r="T85" s="29">
        <v>23</v>
      </c>
      <c r="U85" s="14">
        <v>1.175</v>
      </c>
      <c r="W85" s="39">
        <f t="shared" si="9"/>
        <v>2214.875</v>
      </c>
      <c r="X85" s="35">
        <f>W84+W83+W80</f>
        <v>1621.5000000000002</v>
      </c>
      <c r="Y85" s="35">
        <f>W78</f>
        <v>41.125</v>
      </c>
      <c r="Z85" s="40">
        <f>V76/X85</f>
        <v>0</v>
      </c>
      <c r="AA85" s="40">
        <f>IF((Y85=0),0,Y77/Y85)</f>
        <v>4.5142857142857142</v>
      </c>
      <c r="AB85" s="48"/>
      <c r="AC85" s="48"/>
    </row>
    <row r="86" spans="1:29" ht="13" thickBot="1" x14ac:dyDescent="0.3">
      <c r="A86" s="9" t="s">
        <v>25</v>
      </c>
      <c r="B86" s="30" t="s">
        <v>15</v>
      </c>
      <c r="C86" s="31" t="s">
        <v>46</v>
      </c>
      <c r="D86" s="32" t="s">
        <v>47</v>
      </c>
      <c r="E86" s="53">
        <v>45689</v>
      </c>
      <c r="F86" s="53">
        <v>45717</v>
      </c>
      <c r="G86" s="53">
        <v>45748</v>
      </c>
      <c r="H86" s="28" t="s">
        <v>12</v>
      </c>
      <c r="I86" s="54">
        <v>45778</v>
      </c>
      <c r="J86" s="53">
        <v>45809</v>
      </c>
      <c r="K86" s="53">
        <v>45839</v>
      </c>
      <c r="L86" s="53">
        <v>45870</v>
      </c>
      <c r="M86" s="53">
        <v>45901</v>
      </c>
      <c r="N86" s="53">
        <v>45931</v>
      </c>
      <c r="O86" s="53">
        <v>45962</v>
      </c>
      <c r="P86" s="53">
        <v>45992</v>
      </c>
      <c r="Q86" s="53">
        <v>46023</v>
      </c>
      <c r="R86" s="53">
        <v>46054</v>
      </c>
      <c r="S86" s="53">
        <v>46082</v>
      </c>
      <c r="T86" s="55">
        <v>46113</v>
      </c>
      <c r="U86" s="14">
        <v>1.175</v>
      </c>
      <c r="V86" s="14" t="s">
        <v>183</v>
      </c>
      <c r="W86" s="39">
        <f t="shared" si="9"/>
        <v>647840.95000000007</v>
      </c>
      <c r="X86" s="14" t="s">
        <v>37</v>
      </c>
      <c r="Y86" s="14" t="s">
        <v>38</v>
      </c>
      <c r="AB86" s="48"/>
      <c r="AC86" s="48"/>
    </row>
    <row r="87" spans="1:29" x14ac:dyDescent="0.25">
      <c r="A87" s="7" t="s">
        <v>25</v>
      </c>
      <c r="B87" s="8" t="s">
        <v>17</v>
      </c>
      <c r="C87" s="9" t="s">
        <v>18</v>
      </c>
      <c r="D87" s="10">
        <v>0</v>
      </c>
      <c r="E87" s="10">
        <v>0</v>
      </c>
      <c r="F87" s="10">
        <v>0</v>
      </c>
      <c r="G87" s="10">
        <v>0</v>
      </c>
      <c r="H87" s="11">
        <v>469</v>
      </c>
      <c r="I87" s="12">
        <v>199</v>
      </c>
      <c r="J87" s="10">
        <v>93</v>
      </c>
      <c r="K87" s="10">
        <v>76</v>
      </c>
      <c r="L87" s="10">
        <v>0</v>
      </c>
      <c r="M87" s="10">
        <v>0</v>
      </c>
      <c r="N87" s="10">
        <v>0</v>
      </c>
      <c r="O87" s="10">
        <v>0</v>
      </c>
      <c r="P87" s="10">
        <v>101</v>
      </c>
      <c r="Q87" s="10">
        <v>0</v>
      </c>
      <c r="R87" s="10">
        <v>0</v>
      </c>
      <c r="S87" s="10">
        <v>0</v>
      </c>
      <c r="T87" s="13">
        <v>0</v>
      </c>
      <c r="U87" s="14">
        <v>1.175</v>
      </c>
      <c r="V87" s="42">
        <f>SUM(I87:T87)/H87</f>
        <v>1</v>
      </c>
      <c r="W87" s="39">
        <f t="shared" si="9"/>
        <v>551.07500000000005</v>
      </c>
    </row>
    <row r="88" spans="1:29" x14ac:dyDescent="0.25">
      <c r="A88" s="7" t="s">
        <v>25</v>
      </c>
      <c r="B88" s="15" t="s">
        <v>66</v>
      </c>
      <c r="C88" s="7" t="s">
        <v>18</v>
      </c>
      <c r="D88" s="14">
        <v>0</v>
      </c>
      <c r="E88" s="14">
        <v>0</v>
      </c>
      <c r="F88" s="14">
        <v>0</v>
      </c>
      <c r="G88" s="14">
        <v>0</v>
      </c>
      <c r="H88" s="16">
        <v>0</v>
      </c>
      <c r="I88" s="17">
        <v>0</v>
      </c>
      <c r="J88" s="14">
        <v>0</v>
      </c>
      <c r="K88" s="14">
        <v>0</v>
      </c>
      <c r="L88" s="14">
        <v>0</v>
      </c>
      <c r="M88" s="14">
        <v>0</v>
      </c>
      <c r="N88" s="14">
        <v>0</v>
      </c>
      <c r="O88" s="14">
        <v>0</v>
      </c>
      <c r="P88" s="14">
        <v>0</v>
      </c>
      <c r="Q88" s="14">
        <v>0</v>
      </c>
      <c r="R88" s="14">
        <v>0</v>
      </c>
      <c r="S88" s="14">
        <v>0</v>
      </c>
      <c r="T88" s="18">
        <v>0</v>
      </c>
      <c r="U88" s="14">
        <v>1.175</v>
      </c>
      <c r="V88" s="44"/>
      <c r="W88" s="39">
        <f t="shared" si="9"/>
        <v>0</v>
      </c>
    </row>
    <row r="89" spans="1:29" x14ac:dyDescent="0.25">
      <c r="A89" s="7" t="s">
        <v>25</v>
      </c>
      <c r="B89" s="15" t="s">
        <v>13</v>
      </c>
      <c r="C89" s="7" t="s">
        <v>18</v>
      </c>
      <c r="D89" s="14">
        <v>12</v>
      </c>
      <c r="E89" s="14">
        <v>23</v>
      </c>
      <c r="F89" s="14">
        <v>22</v>
      </c>
      <c r="G89" s="14">
        <v>282</v>
      </c>
      <c r="H89" s="16">
        <v>1496</v>
      </c>
      <c r="I89" s="17">
        <v>391</v>
      </c>
      <c r="J89" s="14">
        <v>203</v>
      </c>
      <c r="K89" s="14">
        <v>136</v>
      </c>
      <c r="L89" s="14">
        <v>115</v>
      </c>
      <c r="M89" s="14">
        <v>15</v>
      </c>
      <c r="N89" s="14">
        <v>12</v>
      </c>
      <c r="O89" s="14">
        <v>18</v>
      </c>
      <c r="P89" s="14">
        <v>263</v>
      </c>
      <c r="Q89" s="14">
        <v>0</v>
      </c>
      <c r="R89" s="14">
        <v>0</v>
      </c>
      <c r="S89" s="14">
        <v>0</v>
      </c>
      <c r="T89" s="18">
        <v>4</v>
      </c>
      <c r="U89" s="14">
        <v>1.175</v>
      </c>
      <c r="V89" s="41"/>
      <c r="W89" s="39">
        <f t="shared" si="9"/>
        <v>1359.4750000000001</v>
      </c>
    </row>
    <row r="90" spans="1:29" x14ac:dyDescent="0.25">
      <c r="A90" s="7" t="s">
        <v>25</v>
      </c>
      <c r="B90" s="15" t="s">
        <v>67</v>
      </c>
      <c r="C90" s="7" t="s">
        <v>18</v>
      </c>
      <c r="D90" s="14">
        <v>17</v>
      </c>
      <c r="E90" s="14">
        <v>0</v>
      </c>
      <c r="F90" s="14">
        <v>0</v>
      </c>
      <c r="G90" s="14">
        <v>38</v>
      </c>
      <c r="H90" s="16">
        <v>382</v>
      </c>
      <c r="I90" s="17">
        <v>153</v>
      </c>
      <c r="J90" s="14">
        <v>57</v>
      </c>
      <c r="K90" s="14">
        <v>53</v>
      </c>
      <c r="L90" s="14">
        <v>61</v>
      </c>
      <c r="M90" s="14">
        <v>0</v>
      </c>
      <c r="N90" s="14">
        <v>0</v>
      </c>
      <c r="O90" s="14">
        <v>0</v>
      </c>
      <c r="P90" s="14">
        <v>3</v>
      </c>
      <c r="Q90" s="14">
        <v>0</v>
      </c>
      <c r="R90" s="14">
        <v>0</v>
      </c>
      <c r="S90" s="14">
        <v>0</v>
      </c>
      <c r="T90" s="18">
        <v>0</v>
      </c>
      <c r="U90" s="14">
        <v>1.175</v>
      </c>
      <c r="V90" s="41"/>
      <c r="W90" s="39">
        <f t="shared" si="9"/>
        <v>384.22500000000002</v>
      </c>
    </row>
    <row r="91" spans="1:29" x14ac:dyDescent="0.25">
      <c r="A91" s="7" t="s">
        <v>25</v>
      </c>
      <c r="B91" s="15" t="s">
        <v>73</v>
      </c>
      <c r="C91" s="7" t="s">
        <v>18</v>
      </c>
      <c r="D91" s="14">
        <v>101</v>
      </c>
      <c r="E91" s="14">
        <v>0</v>
      </c>
      <c r="F91" s="14">
        <v>50</v>
      </c>
      <c r="G91" s="14">
        <v>149</v>
      </c>
      <c r="H91" s="16">
        <v>2292</v>
      </c>
      <c r="I91" s="17">
        <v>268</v>
      </c>
      <c r="J91" s="14">
        <v>341</v>
      </c>
      <c r="K91" s="14">
        <v>234</v>
      </c>
      <c r="L91" s="14">
        <v>117</v>
      </c>
      <c r="M91" s="14">
        <v>90</v>
      </c>
      <c r="N91" s="14">
        <v>23</v>
      </c>
      <c r="O91" s="14">
        <v>50</v>
      </c>
      <c r="P91" s="14">
        <v>869</v>
      </c>
      <c r="Q91" s="14">
        <v>0</v>
      </c>
      <c r="R91" s="14">
        <v>0</v>
      </c>
      <c r="S91" s="14">
        <v>0</v>
      </c>
      <c r="T91" s="18">
        <v>0</v>
      </c>
      <c r="U91" s="14">
        <v>1.175</v>
      </c>
      <c r="V91" s="41"/>
      <c r="W91" s="39">
        <f t="shared" si="9"/>
        <v>2340.6</v>
      </c>
    </row>
    <row r="92" spans="1:29" x14ac:dyDescent="0.25">
      <c r="A92" s="7" t="s">
        <v>25</v>
      </c>
      <c r="B92" s="15" t="s">
        <v>19</v>
      </c>
      <c r="C92" s="7" t="s">
        <v>18</v>
      </c>
      <c r="D92" s="14">
        <v>14</v>
      </c>
      <c r="E92" s="14">
        <v>0</v>
      </c>
      <c r="F92" s="14">
        <v>3</v>
      </c>
      <c r="G92" s="14">
        <v>48</v>
      </c>
      <c r="H92" s="16">
        <v>1415</v>
      </c>
      <c r="I92" s="17">
        <v>8</v>
      </c>
      <c r="J92" s="14">
        <v>337</v>
      </c>
      <c r="K92" s="14">
        <v>387</v>
      </c>
      <c r="L92" s="14">
        <v>247</v>
      </c>
      <c r="M92" s="14">
        <v>168</v>
      </c>
      <c r="N92" s="14">
        <v>102</v>
      </c>
      <c r="O92" s="14">
        <v>24</v>
      </c>
      <c r="P92" s="14">
        <v>70</v>
      </c>
      <c r="Q92" s="14">
        <v>3</v>
      </c>
      <c r="R92" s="14">
        <v>0</v>
      </c>
      <c r="S92" s="14">
        <v>2</v>
      </c>
      <c r="T92" s="18">
        <v>2</v>
      </c>
      <c r="U92" s="14">
        <v>1.175</v>
      </c>
      <c r="V92" s="41"/>
      <c r="W92" s="39">
        <f t="shared" si="9"/>
        <v>1586.25</v>
      </c>
    </row>
    <row r="93" spans="1:29" ht="13" thickBot="1" x14ac:dyDescent="0.3">
      <c r="A93" s="7" t="s">
        <v>25</v>
      </c>
      <c r="B93" s="19" t="s">
        <v>20</v>
      </c>
      <c r="C93" s="20" t="s">
        <v>18</v>
      </c>
      <c r="D93" s="21">
        <v>0</v>
      </c>
      <c r="E93" s="21">
        <v>0</v>
      </c>
      <c r="F93" s="21">
        <v>0</v>
      </c>
      <c r="G93" s="21">
        <v>0</v>
      </c>
      <c r="H93" s="22">
        <v>0</v>
      </c>
      <c r="I93" s="23">
        <v>0</v>
      </c>
      <c r="J93" s="21">
        <v>0</v>
      </c>
      <c r="K93" s="21">
        <v>0</v>
      </c>
      <c r="L93" s="21">
        <v>0</v>
      </c>
      <c r="M93" s="21">
        <v>0</v>
      </c>
      <c r="N93" s="21">
        <v>0</v>
      </c>
      <c r="O93" s="21">
        <v>0</v>
      </c>
      <c r="P93" s="21">
        <v>0</v>
      </c>
      <c r="Q93" s="21">
        <v>0</v>
      </c>
      <c r="R93" s="21">
        <v>0</v>
      </c>
      <c r="S93" s="21">
        <v>0</v>
      </c>
      <c r="T93" s="24">
        <v>0</v>
      </c>
      <c r="U93" s="14">
        <v>1.175</v>
      </c>
      <c r="V93" s="44"/>
      <c r="W93" s="39">
        <f t="shared" si="9"/>
        <v>0</v>
      </c>
    </row>
    <row r="94" spans="1:29" ht="13" thickBot="1" x14ac:dyDescent="0.3">
      <c r="A94" s="7" t="s">
        <v>25</v>
      </c>
      <c r="B94" s="25" t="s">
        <v>12</v>
      </c>
      <c r="C94" s="26" t="s">
        <v>18</v>
      </c>
      <c r="D94" s="27">
        <v>144</v>
      </c>
      <c r="E94" s="27">
        <v>23</v>
      </c>
      <c r="F94" s="27">
        <v>75</v>
      </c>
      <c r="G94" s="27">
        <v>517</v>
      </c>
      <c r="H94" s="28">
        <v>6052</v>
      </c>
      <c r="I94" s="29">
        <v>1019</v>
      </c>
      <c r="J94" s="27">
        <v>1031</v>
      </c>
      <c r="K94" s="27">
        <v>885</v>
      </c>
      <c r="L94" s="27">
        <v>540</v>
      </c>
      <c r="M94" s="27">
        <v>273</v>
      </c>
      <c r="N94" s="27">
        <v>136</v>
      </c>
      <c r="O94" s="27">
        <v>93</v>
      </c>
      <c r="P94" s="27">
        <v>1305</v>
      </c>
      <c r="Q94" s="27">
        <v>3</v>
      </c>
      <c r="R94" s="27">
        <v>0</v>
      </c>
      <c r="S94" s="27">
        <v>2</v>
      </c>
      <c r="T94" s="29">
        <v>6</v>
      </c>
      <c r="U94" s="14">
        <v>1.175</v>
      </c>
      <c r="V94" s="43">
        <f>SUM(I89:T92)/SUM(H89:H92)</f>
        <v>0.86410026857654432</v>
      </c>
      <c r="W94" s="39">
        <f t="shared" si="9"/>
        <v>6219.2750000000005</v>
      </c>
      <c r="X94" s="35">
        <f>W92+W89</f>
        <v>2945.7250000000004</v>
      </c>
      <c r="Y94" s="35">
        <f>W87</f>
        <v>551.07500000000005</v>
      </c>
    </row>
    <row r="95" spans="1:29" x14ac:dyDescent="0.25">
      <c r="A95" s="7" t="s">
        <v>25</v>
      </c>
      <c r="B95" s="8" t="s">
        <v>17</v>
      </c>
      <c r="C95" s="9" t="s">
        <v>21</v>
      </c>
      <c r="D95" s="10">
        <v>0</v>
      </c>
      <c r="E95" s="10">
        <v>0</v>
      </c>
      <c r="F95" s="10">
        <v>0</v>
      </c>
      <c r="G95" s="10">
        <v>0</v>
      </c>
      <c r="H95" s="11">
        <v>118</v>
      </c>
      <c r="I95" s="12">
        <v>112</v>
      </c>
      <c r="J95" s="10">
        <v>6</v>
      </c>
      <c r="K95" s="10">
        <v>0</v>
      </c>
      <c r="L95" s="10">
        <v>0</v>
      </c>
      <c r="M95" s="10">
        <v>0</v>
      </c>
      <c r="N95" s="10">
        <v>0</v>
      </c>
      <c r="O95" s="10">
        <v>0</v>
      </c>
      <c r="P95" s="10">
        <v>0</v>
      </c>
      <c r="Q95" s="10">
        <v>0</v>
      </c>
      <c r="R95" s="10">
        <v>0</v>
      </c>
      <c r="S95" s="10">
        <v>0</v>
      </c>
      <c r="T95" s="13">
        <v>0</v>
      </c>
      <c r="U95" s="14">
        <v>1.175</v>
      </c>
      <c r="W95" s="39">
        <f t="shared" si="9"/>
        <v>138.65</v>
      </c>
      <c r="AB95" s="37" t="str">
        <f t="shared" ref="AB95:AB101" si="12">B95</f>
        <v>Parts-OTC</v>
      </c>
      <c r="AC95" s="36">
        <f t="shared" ref="AC95:AC101" si="13">I95*U95</f>
        <v>131.6</v>
      </c>
    </row>
    <row r="96" spans="1:29" x14ac:dyDescent="0.25">
      <c r="A96" s="7" t="s">
        <v>25</v>
      </c>
      <c r="B96" s="15" t="s">
        <v>66</v>
      </c>
      <c r="C96" s="7" t="s">
        <v>21</v>
      </c>
      <c r="D96" s="14">
        <v>0</v>
      </c>
      <c r="E96" s="14">
        <v>0</v>
      </c>
      <c r="F96" s="14">
        <v>0</v>
      </c>
      <c r="G96" s="14">
        <v>0</v>
      </c>
      <c r="H96" s="16">
        <v>0</v>
      </c>
      <c r="I96" s="17">
        <v>0</v>
      </c>
      <c r="J96" s="14">
        <v>0</v>
      </c>
      <c r="K96" s="14">
        <v>0</v>
      </c>
      <c r="L96" s="14">
        <v>0</v>
      </c>
      <c r="M96" s="14">
        <v>0</v>
      </c>
      <c r="N96" s="14">
        <v>0</v>
      </c>
      <c r="O96" s="14">
        <v>0</v>
      </c>
      <c r="P96" s="14">
        <v>0</v>
      </c>
      <c r="Q96" s="14">
        <v>0</v>
      </c>
      <c r="R96" s="14">
        <v>0</v>
      </c>
      <c r="S96" s="14">
        <v>0</v>
      </c>
      <c r="T96" s="18">
        <v>0</v>
      </c>
      <c r="U96" s="14">
        <v>1.175</v>
      </c>
      <c r="W96" s="39">
        <f t="shared" si="9"/>
        <v>0</v>
      </c>
      <c r="AB96" s="37" t="str">
        <f t="shared" si="12"/>
        <v>CTKS</v>
      </c>
      <c r="AC96" s="36">
        <f t="shared" si="13"/>
        <v>0</v>
      </c>
    </row>
    <row r="97" spans="1:29" x14ac:dyDescent="0.25">
      <c r="A97" s="7" t="s">
        <v>25</v>
      </c>
      <c r="B97" s="15" t="s">
        <v>13</v>
      </c>
      <c r="C97" s="7" t="s">
        <v>21</v>
      </c>
      <c r="D97" s="14">
        <v>0</v>
      </c>
      <c r="E97" s="14">
        <v>0</v>
      </c>
      <c r="F97" s="14">
        <v>0</v>
      </c>
      <c r="G97" s="14">
        <v>0</v>
      </c>
      <c r="H97" s="16">
        <v>996</v>
      </c>
      <c r="I97" s="17">
        <v>617</v>
      </c>
      <c r="J97" s="14">
        <v>307</v>
      </c>
      <c r="K97" s="14">
        <v>54</v>
      </c>
      <c r="L97" s="14">
        <v>8</v>
      </c>
      <c r="M97" s="14">
        <v>0</v>
      </c>
      <c r="N97" s="14">
        <v>0</v>
      </c>
      <c r="O97" s="14">
        <v>0</v>
      </c>
      <c r="P97" s="14">
        <v>10</v>
      </c>
      <c r="Q97" s="14">
        <v>0</v>
      </c>
      <c r="R97" s="14">
        <v>0</v>
      </c>
      <c r="S97" s="14">
        <v>0</v>
      </c>
      <c r="T97" s="18">
        <v>0</v>
      </c>
      <c r="U97" s="14">
        <v>1.175</v>
      </c>
      <c r="W97" s="39">
        <f t="shared" si="9"/>
        <v>1170.3</v>
      </c>
      <c r="AB97" s="37" t="str">
        <f t="shared" si="12"/>
        <v>Repair</v>
      </c>
      <c r="AC97" s="36">
        <f t="shared" si="13"/>
        <v>724.97500000000002</v>
      </c>
    </row>
    <row r="98" spans="1:29" x14ac:dyDescent="0.25">
      <c r="A98" s="7" t="s">
        <v>25</v>
      </c>
      <c r="B98" s="15" t="s">
        <v>67</v>
      </c>
      <c r="C98" s="7" t="s">
        <v>21</v>
      </c>
      <c r="D98" s="14">
        <v>0</v>
      </c>
      <c r="E98" s="14">
        <v>0</v>
      </c>
      <c r="F98" s="14">
        <v>0</v>
      </c>
      <c r="G98" s="14">
        <v>0</v>
      </c>
      <c r="H98" s="16">
        <v>861</v>
      </c>
      <c r="I98" s="17">
        <v>241</v>
      </c>
      <c r="J98" s="14">
        <v>173</v>
      </c>
      <c r="K98" s="14">
        <v>155</v>
      </c>
      <c r="L98" s="14">
        <v>96</v>
      </c>
      <c r="M98" s="14">
        <v>60</v>
      </c>
      <c r="N98" s="14">
        <v>31</v>
      </c>
      <c r="O98" s="14">
        <v>31</v>
      </c>
      <c r="P98" s="14">
        <v>42</v>
      </c>
      <c r="Q98" s="14">
        <v>8</v>
      </c>
      <c r="R98" s="14">
        <v>8</v>
      </c>
      <c r="S98" s="14">
        <v>8</v>
      </c>
      <c r="T98" s="18">
        <v>8</v>
      </c>
      <c r="U98" s="14">
        <v>1.175</v>
      </c>
      <c r="W98" s="39">
        <f t="shared" si="9"/>
        <v>1011.6750000000001</v>
      </c>
      <c r="AB98" s="37" t="str">
        <f t="shared" si="12"/>
        <v>Rental</v>
      </c>
      <c r="AC98" s="36">
        <f t="shared" si="13"/>
        <v>283.17500000000001</v>
      </c>
    </row>
    <row r="99" spans="1:29" x14ac:dyDescent="0.25">
      <c r="A99" s="7" t="s">
        <v>25</v>
      </c>
      <c r="B99" s="15" t="s">
        <v>73</v>
      </c>
      <c r="C99" s="7" t="s">
        <v>21</v>
      </c>
      <c r="D99" s="14">
        <v>0</v>
      </c>
      <c r="E99" s="14">
        <v>0</v>
      </c>
      <c r="F99" s="14">
        <v>0</v>
      </c>
      <c r="G99" s="14">
        <v>0</v>
      </c>
      <c r="H99" s="16">
        <v>391</v>
      </c>
      <c r="I99" s="17">
        <v>174</v>
      </c>
      <c r="J99" s="14">
        <v>90</v>
      </c>
      <c r="K99" s="14">
        <v>117</v>
      </c>
      <c r="L99" s="14">
        <v>4</v>
      </c>
      <c r="M99" s="14">
        <v>6</v>
      </c>
      <c r="N99" s="14">
        <v>0</v>
      </c>
      <c r="O99" s="14">
        <v>0</v>
      </c>
      <c r="P99" s="14">
        <v>0</v>
      </c>
      <c r="Q99" s="14">
        <v>0</v>
      </c>
      <c r="R99" s="14">
        <v>0</v>
      </c>
      <c r="S99" s="14">
        <v>0</v>
      </c>
      <c r="T99" s="18">
        <v>0</v>
      </c>
      <c r="U99" s="14">
        <v>1.175</v>
      </c>
      <c r="W99" s="39">
        <f t="shared" si="9"/>
        <v>459.42500000000001</v>
      </c>
      <c r="AB99" s="37"/>
    </row>
    <row r="100" spans="1:29" x14ac:dyDescent="0.25">
      <c r="A100" s="7" t="s">
        <v>25</v>
      </c>
      <c r="B100" s="15" t="s">
        <v>19</v>
      </c>
      <c r="C100" s="7" t="s">
        <v>21</v>
      </c>
      <c r="D100" s="14">
        <v>0</v>
      </c>
      <c r="E100" s="14">
        <v>0</v>
      </c>
      <c r="F100" s="14">
        <v>0</v>
      </c>
      <c r="G100" s="14">
        <v>0</v>
      </c>
      <c r="H100" s="16">
        <v>1662</v>
      </c>
      <c r="I100" s="17">
        <v>312</v>
      </c>
      <c r="J100" s="14">
        <v>229</v>
      </c>
      <c r="K100" s="14">
        <v>70</v>
      </c>
      <c r="L100" s="14">
        <v>97</v>
      </c>
      <c r="M100" s="14">
        <v>185</v>
      </c>
      <c r="N100" s="14">
        <v>266</v>
      </c>
      <c r="O100" s="14">
        <v>256</v>
      </c>
      <c r="P100" s="14">
        <v>188</v>
      </c>
      <c r="Q100" s="14">
        <v>32</v>
      </c>
      <c r="R100" s="14">
        <v>1</v>
      </c>
      <c r="S100" s="14">
        <v>3</v>
      </c>
      <c r="T100" s="18">
        <v>23</v>
      </c>
      <c r="U100" s="14">
        <v>1.175</v>
      </c>
      <c r="W100" s="39">
        <f t="shared" si="9"/>
        <v>1952.8500000000001</v>
      </c>
      <c r="AB100" s="37" t="str">
        <f t="shared" si="12"/>
        <v>Maintenance</v>
      </c>
      <c r="AC100" s="36">
        <f t="shared" si="13"/>
        <v>366.6</v>
      </c>
    </row>
    <row r="101" spans="1:29" ht="13" thickBot="1" x14ac:dyDescent="0.3">
      <c r="A101" s="7" t="s">
        <v>25</v>
      </c>
      <c r="B101" s="19" t="s">
        <v>20</v>
      </c>
      <c r="C101" s="20" t="s">
        <v>21</v>
      </c>
      <c r="D101" s="21">
        <v>0</v>
      </c>
      <c r="E101" s="21">
        <v>0</v>
      </c>
      <c r="F101" s="21">
        <v>0</v>
      </c>
      <c r="G101" s="21">
        <v>0</v>
      </c>
      <c r="H101" s="22">
        <v>1139</v>
      </c>
      <c r="I101" s="23">
        <v>102</v>
      </c>
      <c r="J101" s="21">
        <v>185</v>
      </c>
      <c r="K101" s="21">
        <v>135</v>
      </c>
      <c r="L101" s="21">
        <v>7</v>
      </c>
      <c r="M101" s="21">
        <v>20</v>
      </c>
      <c r="N101" s="21">
        <v>2</v>
      </c>
      <c r="O101" s="21">
        <v>0</v>
      </c>
      <c r="P101" s="21">
        <v>688</v>
      </c>
      <c r="Q101" s="21">
        <v>0</v>
      </c>
      <c r="R101" s="21">
        <v>0</v>
      </c>
      <c r="S101" s="21">
        <v>0</v>
      </c>
      <c r="T101" s="24">
        <v>0</v>
      </c>
      <c r="U101" s="14">
        <v>1.175</v>
      </c>
      <c r="W101" s="39">
        <f t="shared" si="9"/>
        <v>1338.325</v>
      </c>
      <c r="AB101" s="37" t="str">
        <f t="shared" si="12"/>
        <v>Startup</v>
      </c>
      <c r="AC101" s="36">
        <f t="shared" si="13"/>
        <v>119.85000000000001</v>
      </c>
    </row>
    <row r="102" spans="1:29" ht="13" thickBot="1" x14ac:dyDescent="0.3">
      <c r="A102" s="20" t="s">
        <v>25</v>
      </c>
      <c r="B102" s="25" t="s">
        <v>12</v>
      </c>
      <c r="C102" s="26" t="s">
        <v>21</v>
      </c>
      <c r="D102" s="27">
        <v>0</v>
      </c>
      <c r="E102" s="27">
        <v>0</v>
      </c>
      <c r="F102" s="27">
        <v>0</v>
      </c>
      <c r="G102" s="27">
        <v>0</v>
      </c>
      <c r="H102" s="28">
        <v>5163</v>
      </c>
      <c r="I102" s="29">
        <v>1556</v>
      </c>
      <c r="J102" s="27">
        <v>990</v>
      </c>
      <c r="K102" s="27">
        <v>531</v>
      </c>
      <c r="L102" s="27">
        <v>212</v>
      </c>
      <c r="M102" s="27">
        <v>272</v>
      </c>
      <c r="N102" s="27">
        <v>299</v>
      </c>
      <c r="O102" s="27">
        <v>287</v>
      </c>
      <c r="P102" s="27">
        <v>928</v>
      </c>
      <c r="Q102" s="27">
        <v>39</v>
      </c>
      <c r="R102" s="27">
        <v>9</v>
      </c>
      <c r="S102" s="27">
        <v>10</v>
      </c>
      <c r="T102" s="29">
        <v>30</v>
      </c>
      <c r="U102" s="14">
        <v>1.175</v>
      </c>
      <c r="W102" s="39">
        <f t="shared" si="9"/>
        <v>6066.5250000000005</v>
      </c>
      <c r="X102" s="35">
        <f>W101+W100+W97</f>
        <v>4461.4750000000004</v>
      </c>
      <c r="Y102" s="35">
        <f>W95</f>
        <v>138.65</v>
      </c>
      <c r="Z102" s="40">
        <f>V93/X102</f>
        <v>0</v>
      </c>
      <c r="AA102" s="40">
        <f>IF((Y102=0),0,Y94/Y102)</f>
        <v>3.9745762711864407</v>
      </c>
      <c r="AB102" s="48"/>
      <c r="AC102" s="48"/>
    </row>
    <row r="103" spans="1:29" ht="13" thickBot="1" x14ac:dyDescent="0.3">
      <c r="A103" s="9" t="s">
        <v>1</v>
      </c>
      <c r="B103" s="30" t="s">
        <v>15</v>
      </c>
      <c r="C103" s="31" t="s">
        <v>46</v>
      </c>
      <c r="D103" s="32" t="s">
        <v>47</v>
      </c>
      <c r="E103" s="53">
        <v>45689</v>
      </c>
      <c r="F103" s="53">
        <v>45717</v>
      </c>
      <c r="G103" s="53">
        <v>45748</v>
      </c>
      <c r="H103" s="28" t="s">
        <v>12</v>
      </c>
      <c r="I103" s="54">
        <v>45778</v>
      </c>
      <c r="J103" s="53">
        <v>45809</v>
      </c>
      <c r="K103" s="53">
        <v>45839</v>
      </c>
      <c r="L103" s="53">
        <v>45870</v>
      </c>
      <c r="M103" s="53">
        <v>45901</v>
      </c>
      <c r="N103" s="53">
        <v>45931</v>
      </c>
      <c r="O103" s="53">
        <v>45962</v>
      </c>
      <c r="P103" s="53">
        <v>45992</v>
      </c>
      <c r="Q103" s="53">
        <v>46023</v>
      </c>
      <c r="R103" s="53">
        <v>46054</v>
      </c>
      <c r="S103" s="53">
        <v>46082</v>
      </c>
      <c r="T103" s="55">
        <v>46113</v>
      </c>
      <c r="U103" s="14">
        <v>0.1075543392</v>
      </c>
      <c r="V103" s="14" t="s">
        <v>183</v>
      </c>
      <c r="W103" s="39">
        <f t="shared" si="9"/>
        <v>59300.515135276801</v>
      </c>
      <c r="X103" s="14" t="s">
        <v>37</v>
      </c>
      <c r="Y103" s="14" t="s">
        <v>38</v>
      </c>
      <c r="AB103" s="48"/>
      <c r="AC103" s="48"/>
    </row>
    <row r="104" spans="1:29" x14ac:dyDescent="0.25">
      <c r="A104" s="7" t="s">
        <v>1</v>
      </c>
      <c r="B104" s="8" t="s">
        <v>17</v>
      </c>
      <c r="C104" s="9" t="s">
        <v>18</v>
      </c>
      <c r="D104" s="10">
        <v>0</v>
      </c>
      <c r="E104" s="10">
        <v>0</v>
      </c>
      <c r="F104" s="10">
        <v>0</v>
      </c>
      <c r="G104" s="10">
        <v>0</v>
      </c>
      <c r="H104" s="11">
        <v>14120</v>
      </c>
      <c r="I104" s="12">
        <v>14120</v>
      </c>
      <c r="J104" s="10">
        <v>0</v>
      </c>
      <c r="K104" s="10">
        <v>0</v>
      </c>
      <c r="L104" s="10">
        <v>0</v>
      </c>
      <c r="M104" s="10">
        <v>0</v>
      </c>
      <c r="N104" s="10">
        <v>0</v>
      </c>
      <c r="O104" s="10">
        <v>0</v>
      </c>
      <c r="P104" s="10">
        <v>0</v>
      </c>
      <c r="Q104" s="10">
        <v>0</v>
      </c>
      <c r="R104" s="10">
        <v>0</v>
      </c>
      <c r="S104" s="10">
        <v>0</v>
      </c>
      <c r="T104" s="13">
        <v>0</v>
      </c>
      <c r="U104" s="14">
        <v>0.1075543392</v>
      </c>
      <c r="V104" s="42">
        <f>SUM(I104:T104)/H104</f>
        <v>1</v>
      </c>
      <c r="W104" s="39">
        <f t="shared" si="9"/>
        <v>1518.6672695039999</v>
      </c>
    </row>
    <row r="105" spans="1:29" x14ac:dyDescent="0.25">
      <c r="A105" s="7" t="s">
        <v>1</v>
      </c>
      <c r="B105" s="15" t="s">
        <v>66</v>
      </c>
      <c r="C105" s="7" t="s">
        <v>18</v>
      </c>
      <c r="D105" s="14">
        <v>0</v>
      </c>
      <c r="E105" s="14">
        <v>0</v>
      </c>
      <c r="F105" s="14">
        <v>0</v>
      </c>
      <c r="G105" s="14">
        <v>0</v>
      </c>
      <c r="H105" s="16">
        <v>241</v>
      </c>
      <c r="I105" s="17">
        <v>241</v>
      </c>
      <c r="J105" s="14">
        <v>0</v>
      </c>
      <c r="K105" s="14">
        <v>0</v>
      </c>
      <c r="L105" s="14">
        <v>0</v>
      </c>
      <c r="M105" s="14">
        <v>0</v>
      </c>
      <c r="N105" s="14">
        <v>0</v>
      </c>
      <c r="O105" s="14">
        <v>0</v>
      </c>
      <c r="P105" s="14">
        <v>0</v>
      </c>
      <c r="Q105" s="14">
        <v>0</v>
      </c>
      <c r="R105" s="14">
        <v>0</v>
      </c>
      <c r="S105" s="14">
        <v>0</v>
      </c>
      <c r="T105" s="18">
        <v>0</v>
      </c>
      <c r="U105" s="14">
        <v>0.1075543392</v>
      </c>
      <c r="V105" s="44"/>
      <c r="W105" s="39">
        <f t="shared" si="9"/>
        <v>25.9205957472</v>
      </c>
    </row>
    <row r="106" spans="1:29" x14ac:dyDescent="0.25">
      <c r="A106" s="7" t="s">
        <v>1</v>
      </c>
      <c r="B106" s="15" t="s">
        <v>13</v>
      </c>
      <c r="C106" s="7" t="s">
        <v>18</v>
      </c>
      <c r="D106" s="14">
        <v>0</v>
      </c>
      <c r="E106" s="14">
        <v>0</v>
      </c>
      <c r="F106" s="14">
        <v>5</v>
      </c>
      <c r="G106" s="14">
        <v>10</v>
      </c>
      <c r="H106" s="16">
        <v>1999</v>
      </c>
      <c r="I106" s="17">
        <v>1984</v>
      </c>
      <c r="J106" s="14">
        <v>0</v>
      </c>
      <c r="K106" s="14">
        <v>0</v>
      </c>
      <c r="L106" s="14">
        <v>0</v>
      </c>
      <c r="M106" s="14">
        <v>0</v>
      </c>
      <c r="N106" s="14">
        <v>0</v>
      </c>
      <c r="O106" s="14">
        <v>0</v>
      </c>
      <c r="P106" s="14">
        <v>0</v>
      </c>
      <c r="Q106" s="14">
        <v>0</v>
      </c>
      <c r="R106" s="14">
        <v>0</v>
      </c>
      <c r="S106" s="14">
        <v>0</v>
      </c>
      <c r="T106" s="18">
        <v>0</v>
      </c>
      <c r="U106" s="14">
        <v>0.1075543392</v>
      </c>
      <c r="V106" s="41"/>
      <c r="W106" s="39">
        <f t="shared" si="9"/>
        <v>213.3878089728</v>
      </c>
    </row>
    <row r="107" spans="1:29" x14ac:dyDescent="0.25">
      <c r="A107" s="7" t="s">
        <v>1</v>
      </c>
      <c r="B107" s="15" t="s">
        <v>67</v>
      </c>
      <c r="C107" s="7" t="s">
        <v>18</v>
      </c>
      <c r="D107" s="14">
        <v>360</v>
      </c>
      <c r="E107" s="14">
        <v>0</v>
      </c>
      <c r="F107" s="14">
        <v>0</v>
      </c>
      <c r="G107" s="14">
        <v>0</v>
      </c>
      <c r="H107" s="16">
        <v>7671</v>
      </c>
      <c r="I107" s="17">
        <v>5961</v>
      </c>
      <c r="J107" s="14">
        <v>479</v>
      </c>
      <c r="K107" s="14">
        <v>0</v>
      </c>
      <c r="L107" s="14">
        <v>577</v>
      </c>
      <c r="M107" s="14">
        <v>0</v>
      </c>
      <c r="N107" s="14">
        <v>0</v>
      </c>
      <c r="O107" s="14">
        <v>106</v>
      </c>
      <c r="P107" s="14">
        <v>188</v>
      </c>
      <c r="Q107" s="14">
        <v>0</v>
      </c>
      <c r="R107" s="14">
        <v>0</v>
      </c>
      <c r="S107" s="14">
        <v>0</v>
      </c>
      <c r="T107" s="18">
        <v>0</v>
      </c>
      <c r="U107" s="14">
        <v>0.1075543392</v>
      </c>
      <c r="V107" s="41"/>
      <c r="W107" s="39">
        <f t="shared" si="9"/>
        <v>786.32977389120003</v>
      </c>
    </row>
    <row r="108" spans="1:29" x14ac:dyDescent="0.25">
      <c r="A108" s="7" t="s">
        <v>1</v>
      </c>
      <c r="B108" s="15" t="s">
        <v>73</v>
      </c>
      <c r="C108" s="7" t="s">
        <v>18</v>
      </c>
      <c r="D108" s="14">
        <v>21</v>
      </c>
      <c r="E108" s="14">
        <v>0</v>
      </c>
      <c r="F108" s="14">
        <v>0</v>
      </c>
      <c r="G108" s="14">
        <v>0</v>
      </c>
      <c r="H108" s="16">
        <v>1085</v>
      </c>
      <c r="I108" s="17">
        <v>1064</v>
      </c>
      <c r="J108" s="14">
        <v>0</v>
      </c>
      <c r="K108" s="14">
        <v>0</v>
      </c>
      <c r="L108" s="14">
        <v>0</v>
      </c>
      <c r="M108" s="14">
        <v>0</v>
      </c>
      <c r="N108" s="14">
        <v>0</v>
      </c>
      <c r="O108" s="14">
        <v>0</v>
      </c>
      <c r="P108" s="14">
        <v>0</v>
      </c>
      <c r="Q108" s="14">
        <v>0</v>
      </c>
      <c r="R108" s="14">
        <v>0</v>
      </c>
      <c r="S108" s="14">
        <v>0</v>
      </c>
      <c r="T108" s="18">
        <v>0</v>
      </c>
      <c r="U108" s="14">
        <v>0.1075543392</v>
      </c>
      <c r="V108" s="41"/>
      <c r="W108" s="39">
        <f t="shared" si="9"/>
        <v>114.4378169088</v>
      </c>
    </row>
    <row r="109" spans="1:29" x14ac:dyDescent="0.25">
      <c r="A109" s="7" t="s">
        <v>1</v>
      </c>
      <c r="B109" s="15" t="s">
        <v>19</v>
      </c>
      <c r="C109" s="7" t="s">
        <v>18</v>
      </c>
      <c r="D109" s="14">
        <v>13</v>
      </c>
      <c r="E109" s="14">
        <v>0</v>
      </c>
      <c r="F109" s="14">
        <v>0</v>
      </c>
      <c r="G109" s="14">
        <v>0</v>
      </c>
      <c r="H109" s="16">
        <v>1167</v>
      </c>
      <c r="I109" s="17">
        <v>1154</v>
      </c>
      <c r="J109" s="14">
        <v>0</v>
      </c>
      <c r="K109" s="14">
        <v>0</v>
      </c>
      <c r="L109" s="14">
        <v>0</v>
      </c>
      <c r="M109" s="14">
        <v>0</v>
      </c>
      <c r="N109" s="14">
        <v>0</v>
      </c>
      <c r="O109" s="14">
        <v>0</v>
      </c>
      <c r="P109" s="14">
        <v>0</v>
      </c>
      <c r="Q109" s="14">
        <v>0</v>
      </c>
      <c r="R109" s="14">
        <v>0</v>
      </c>
      <c r="S109" s="14">
        <v>0</v>
      </c>
      <c r="T109" s="18">
        <v>0</v>
      </c>
      <c r="U109" s="14">
        <v>0.1075543392</v>
      </c>
      <c r="V109" s="41"/>
      <c r="W109" s="39">
        <f t="shared" si="9"/>
        <v>124.1177074368</v>
      </c>
    </row>
    <row r="110" spans="1:29" ht="13" thickBot="1" x14ac:dyDescent="0.3">
      <c r="A110" s="7" t="s">
        <v>1</v>
      </c>
      <c r="B110" s="19" t="s">
        <v>20</v>
      </c>
      <c r="C110" s="20" t="s">
        <v>18</v>
      </c>
      <c r="D110" s="21">
        <v>0</v>
      </c>
      <c r="E110" s="21">
        <v>0</v>
      </c>
      <c r="F110" s="21">
        <v>0</v>
      </c>
      <c r="G110" s="21">
        <v>0</v>
      </c>
      <c r="H110" s="22">
        <v>90</v>
      </c>
      <c r="I110" s="23">
        <v>55</v>
      </c>
      <c r="J110" s="21">
        <v>35</v>
      </c>
      <c r="K110" s="21">
        <v>0</v>
      </c>
      <c r="L110" s="21">
        <v>0</v>
      </c>
      <c r="M110" s="21">
        <v>0</v>
      </c>
      <c r="N110" s="21">
        <v>0</v>
      </c>
      <c r="O110" s="21">
        <v>0</v>
      </c>
      <c r="P110" s="21">
        <v>0</v>
      </c>
      <c r="Q110" s="21">
        <v>0</v>
      </c>
      <c r="R110" s="21">
        <v>0</v>
      </c>
      <c r="S110" s="21">
        <v>0</v>
      </c>
      <c r="T110" s="24">
        <v>0</v>
      </c>
      <c r="U110" s="14">
        <v>0.1075543392</v>
      </c>
      <c r="V110" s="44"/>
      <c r="W110" s="39">
        <f t="shared" si="9"/>
        <v>9.6798905279999996</v>
      </c>
    </row>
    <row r="111" spans="1:29" ht="13" thickBot="1" x14ac:dyDescent="0.3">
      <c r="A111" s="7" t="s">
        <v>1</v>
      </c>
      <c r="B111" s="25" t="s">
        <v>12</v>
      </c>
      <c r="C111" s="26" t="s">
        <v>18</v>
      </c>
      <c r="D111" s="27">
        <v>394</v>
      </c>
      <c r="E111" s="27">
        <v>0</v>
      </c>
      <c r="F111" s="27">
        <v>5</v>
      </c>
      <c r="G111" s="27">
        <v>10</v>
      </c>
      <c r="H111" s="28">
        <v>26373</v>
      </c>
      <c r="I111" s="29">
        <v>24579</v>
      </c>
      <c r="J111" s="27">
        <v>514</v>
      </c>
      <c r="K111" s="27">
        <v>0</v>
      </c>
      <c r="L111" s="27">
        <v>577</v>
      </c>
      <c r="M111" s="27">
        <v>0</v>
      </c>
      <c r="N111" s="27">
        <v>0</v>
      </c>
      <c r="O111" s="27">
        <v>106</v>
      </c>
      <c r="P111" s="27">
        <v>188</v>
      </c>
      <c r="Q111" s="27">
        <v>0</v>
      </c>
      <c r="R111" s="27">
        <v>0</v>
      </c>
      <c r="S111" s="27">
        <v>0</v>
      </c>
      <c r="T111" s="29">
        <v>0</v>
      </c>
      <c r="U111" s="14">
        <v>0.1075543392</v>
      </c>
      <c r="V111" s="43">
        <f>SUM(I106:T109)/SUM(H106:H109)</f>
        <v>0.96569367555779229</v>
      </c>
      <c r="W111" s="39">
        <f t="shared" si="9"/>
        <v>2792.5408629888002</v>
      </c>
      <c r="X111" s="35">
        <f>W109+W106</f>
        <v>337.50551640959998</v>
      </c>
      <c r="Y111" s="35">
        <f>W104</f>
        <v>1518.6672695039999</v>
      </c>
    </row>
    <row r="112" spans="1:29" x14ac:dyDescent="0.25">
      <c r="A112" s="7" t="s">
        <v>1</v>
      </c>
      <c r="B112" s="8" t="s">
        <v>17</v>
      </c>
      <c r="C112" s="9" t="s">
        <v>21</v>
      </c>
      <c r="D112" s="10">
        <v>0</v>
      </c>
      <c r="E112" s="10">
        <v>0</v>
      </c>
      <c r="F112" s="10">
        <v>0</v>
      </c>
      <c r="G112" s="10">
        <v>0</v>
      </c>
      <c r="H112" s="11">
        <v>100</v>
      </c>
      <c r="I112" s="12">
        <v>100</v>
      </c>
      <c r="J112" s="10">
        <v>0</v>
      </c>
      <c r="K112" s="10">
        <v>0</v>
      </c>
      <c r="L112" s="10">
        <v>0</v>
      </c>
      <c r="M112" s="10">
        <v>0</v>
      </c>
      <c r="N112" s="10">
        <v>0</v>
      </c>
      <c r="O112" s="10">
        <v>0</v>
      </c>
      <c r="P112" s="10">
        <v>0</v>
      </c>
      <c r="Q112" s="10">
        <v>0</v>
      </c>
      <c r="R112" s="10">
        <v>0</v>
      </c>
      <c r="S112" s="10">
        <v>0</v>
      </c>
      <c r="T112" s="13">
        <v>0</v>
      </c>
      <c r="U112" s="14">
        <v>0.1075543392</v>
      </c>
      <c r="W112" s="39">
        <f t="shared" si="9"/>
        <v>10.75543392</v>
      </c>
      <c r="AB112" s="37" t="str">
        <f t="shared" ref="AB112:AB118" si="14">B112</f>
        <v>Parts-OTC</v>
      </c>
      <c r="AC112" s="36">
        <f t="shared" ref="AC112:AC118" si="15">I112*U112</f>
        <v>10.75543392</v>
      </c>
    </row>
    <row r="113" spans="1:29" x14ac:dyDescent="0.25">
      <c r="A113" s="7" t="s">
        <v>1</v>
      </c>
      <c r="B113" s="15" t="s">
        <v>66</v>
      </c>
      <c r="C113" s="7" t="s">
        <v>21</v>
      </c>
      <c r="D113" s="14">
        <v>0</v>
      </c>
      <c r="E113" s="14">
        <v>0</v>
      </c>
      <c r="F113" s="14">
        <v>0</v>
      </c>
      <c r="G113" s="14">
        <v>0</v>
      </c>
      <c r="H113" s="16">
        <v>0</v>
      </c>
      <c r="I113" s="17">
        <v>0</v>
      </c>
      <c r="J113" s="14">
        <v>0</v>
      </c>
      <c r="K113" s="14">
        <v>0</v>
      </c>
      <c r="L113" s="14">
        <v>0</v>
      </c>
      <c r="M113" s="14">
        <v>0</v>
      </c>
      <c r="N113" s="14">
        <v>0</v>
      </c>
      <c r="O113" s="14">
        <v>0</v>
      </c>
      <c r="P113" s="14">
        <v>0</v>
      </c>
      <c r="Q113" s="14">
        <v>0</v>
      </c>
      <c r="R113" s="14">
        <v>0</v>
      </c>
      <c r="S113" s="14">
        <v>0</v>
      </c>
      <c r="T113" s="18">
        <v>0</v>
      </c>
      <c r="U113" s="14">
        <v>0.1075543392</v>
      </c>
      <c r="W113" s="39">
        <f t="shared" si="9"/>
        <v>0</v>
      </c>
      <c r="AB113" s="37" t="str">
        <f t="shared" si="14"/>
        <v>CTKS</v>
      </c>
      <c r="AC113" s="36">
        <f t="shared" si="15"/>
        <v>0</v>
      </c>
    </row>
    <row r="114" spans="1:29" x14ac:dyDescent="0.25">
      <c r="A114" s="7" t="s">
        <v>1</v>
      </c>
      <c r="B114" s="15" t="s">
        <v>13</v>
      </c>
      <c r="C114" s="7" t="s">
        <v>21</v>
      </c>
      <c r="D114" s="14">
        <v>0</v>
      </c>
      <c r="E114" s="14">
        <v>0</v>
      </c>
      <c r="F114" s="14">
        <v>0</v>
      </c>
      <c r="G114" s="14">
        <v>0</v>
      </c>
      <c r="H114" s="16">
        <v>812</v>
      </c>
      <c r="I114" s="17">
        <v>609</v>
      </c>
      <c r="J114" s="14">
        <v>203</v>
      </c>
      <c r="K114" s="14">
        <v>0</v>
      </c>
      <c r="L114" s="14">
        <v>0</v>
      </c>
      <c r="M114" s="14">
        <v>0</v>
      </c>
      <c r="N114" s="14">
        <v>0</v>
      </c>
      <c r="O114" s="14">
        <v>0</v>
      </c>
      <c r="P114" s="14">
        <v>0</v>
      </c>
      <c r="Q114" s="14">
        <v>0</v>
      </c>
      <c r="R114" s="14">
        <v>0</v>
      </c>
      <c r="S114" s="14">
        <v>0</v>
      </c>
      <c r="T114" s="18">
        <v>0</v>
      </c>
      <c r="U114" s="14">
        <v>0.1075543392</v>
      </c>
      <c r="W114" s="39">
        <f t="shared" si="9"/>
        <v>87.334123430399998</v>
      </c>
      <c r="AB114" s="37" t="str">
        <f t="shared" si="14"/>
        <v>Repair</v>
      </c>
      <c r="AC114" s="36">
        <f t="shared" si="15"/>
        <v>65.500592572800002</v>
      </c>
    </row>
    <row r="115" spans="1:29" x14ac:dyDescent="0.25">
      <c r="A115" s="7" t="s">
        <v>1</v>
      </c>
      <c r="B115" s="15" t="s">
        <v>67</v>
      </c>
      <c r="C115" s="7" t="s">
        <v>21</v>
      </c>
      <c r="D115" s="14">
        <v>0</v>
      </c>
      <c r="E115" s="14">
        <v>0</v>
      </c>
      <c r="F115" s="14">
        <v>0</v>
      </c>
      <c r="G115" s="14">
        <v>0</v>
      </c>
      <c r="H115" s="16">
        <v>200</v>
      </c>
      <c r="I115" s="17">
        <v>191</v>
      </c>
      <c r="J115" s="14">
        <v>9</v>
      </c>
      <c r="K115" s="14">
        <v>0</v>
      </c>
      <c r="L115" s="14">
        <v>0</v>
      </c>
      <c r="M115" s="14">
        <v>0</v>
      </c>
      <c r="N115" s="14">
        <v>0</v>
      </c>
      <c r="O115" s="14">
        <v>0</v>
      </c>
      <c r="P115" s="14">
        <v>0</v>
      </c>
      <c r="Q115" s="14">
        <v>0</v>
      </c>
      <c r="R115" s="14">
        <v>0</v>
      </c>
      <c r="S115" s="14">
        <v>0</v>
      </c>
      <c r="T115" s="18">
        <v>0</v>
      </c>
      <c r="U115" s="14">
        <v>0.1075543392</v>
      </c>
      <c r="W115" s="39">
        <f t="shared" si="9"/>
        <v>21.51086784</v>
      </c>
      <c r="AB115" s="37" t="str">
        <f t="shared" si="14"/>
        <v>Rental</v>
      </c>
      <c r="AC115" s="36">
        <f t="shared" si="15"/>
        <v>20.542878787199999</v>
      </c>
    </row>
    <row r="116" spans="1:29" x14ac:dyDescent="0.25">
      <c r="A116" s="7" t="s">
        <v>1</v>
      </c>
      <c r="B116" s="15" t="s">
        <v>73</v>
      </c>
      <c r="C116" s="7" t="s">
        <v>21</v>
      </c>
      <c r="D116" s="14">
        <v>0</v>
      </c>
      <c r="E116" s="14">
        <v>0</v>
      </c>
      <c r="F116" s="14">
        <v>0</v>
      </c>
      <c r="G116" s="14">
        <v>0</v>
      </c>
      <c r="H116" s="16">
        <v>1561</v>
      </c>
      <c r="I116" s="17">
        <v>1561</v>
      </c>
      <c r="J116" s="14">
        <v>0</v>
      </c>
      <c r="K116" s="14">
        <v>0</v>
      </c>
      <c r="L116" s="14">
        <v>0</v>
      </c>
      <c r="M116" s="14">
        <v>0</v>
      </c>
      <c r="N116" s="14">
        <v>0</v>
      </c>
      <c r="O116" s="14">
        <v>0</v>
      </c>
      <c r="P116" s="14">
        <v>0</v>
      </c>
      <c r="Q116" s="14">
        <v>0</v>
      </c>
      <c r="R116" s="14">
        <v>0</v>
      </c>
      <c r="S116" s="14">
        <v>0</v>
      </c>
      <c r="T116" s="18">
        <v>0</v>
      </c>
      <c r="U116" s="14">
        <v>0.1075543392</v>
      </c>
      <c r="W116" s="39">
        <f t="shared" si="9"/>
        <v>167.89232349119999</v>
      </c>
      <c r="AB116" s="37"/>
    </row>
    <row r="117" spans="1:29" x14ac:dyDescent="0.25">
      <c r="A117" s="7" t="s">
        <v>1</v>
      </c>
      <c r="B117" s="15" t="s">
        <v>19</v>
      </c>
      <c r="C117" s="7" t="s">
        <v>21</v>
      </c>
      <c r="D117" s="14">
        <v>0</v>
      </c>
      <c r="E117" s="14">
        <v>0</v>
      </c>
      <c r="F117" s="14">
        <v>0</v>
      </c>
      <c r="G117" s="14">
        <v>0</v>
      </c>
      <c r="H117" s="16">
        <v>2027</v>
      </c>
      <c r="I117" s="17">
        <v>584</v>
      </c>
      <c r="J117" s="14">
        <v>276</v>
      </c>
      <c r="K117" s="14">
        <v>24</v>
      </c>
      <c r="L117" s="14">
        <v>128</v>
      </c>
      <c r="M117" s="14">
        <v>210</v>
      </c>
      <c r="N117" s="14">
        <v>93</v>
      </c>
      <c r="O117" s="14">
        <v>301</v>
      </c>
      <c r="P117" s="14">
        <v>197</v>
      </c>
      <c r="Q117" s="14">
        <v>92</v>
      </c>
      <c r="R117" s="14">
        <v>114</v>
      </c>
      <c r="S117" s="14">
        <v>4</v>
      </c>
      <c r="T117" s="18">
        <v>4</v>
      </c>
      <c r="U117" s="14">
        <v>0.1075543392</v>
      </c>
      <c r="W117" s="39">
        <f t="shared" si="9"/>
        <v>218.01264555840001</v>
      </c>
      <c r="AB117" s="37" t="str">
        <f t="shared" si="14"/>
        <v>Maintenance</v>
      </c>
      <c r="AC117" s="36">
        <f t="shared" si="15"/>
        <v>62.811734092800002</v>
      </c>
    </row>
    <row r="118" spans="1:29" ht="13" thickBot="1" x14ac:dyDescent="0.3">
      <c r="A118" s="7" t="s">
        <v>1</v>
      </c>
      <c r="B118" s="19" t="s">
        <v>20</v>
      </c>
      <c r="C118" s="20" t="s">
        <v>21</v>
      </c>
      <c r="D118" s="21">
        <v>0</v>
      </c>
      <c r="E118" s="21">
        <v>0</v>
      </c>
      <c r="F118" s="21">
        <v>0</v>
      </c>
      <c r="G118" s="21">
        <v>0</v>
      </c>
      <c r="H118" s="22">
        <v>65</v>
      </c>
      <c r="I118" s="23">
        <v>65</v>
      </c>
      <c r="J118" s="21">
        <v>0</v>
      </c>
      <c r="K118" s="21">
        <v>0</v>
      </c>
      <c r="L118" s="21">
        <v>0</v>
      </c>
      <c r="M118" s="21">
        <v>0</v>
      </c>
      <c r="N118" s="21">
        <v>0</v>
      </c>
      <c r="O118" s="21">
        <v>0</v>
      </c>
      <c r="P118" s="21">
        <v>0</v>
      </c>
      <c r="Q118" s="21">
        <v>0</v>
      </c>
      <c r="R118" s="21">
        <v>0</v>
      </c>
      <c r="S118" s="21">
        <v>0</v>
      </c>
      <c r="T118" s="24">
        <v>0</v>
      </c>
      <c r="U118" s="14">
        <v>0.1075543392</v>
      </c>
      <c r="W118" s="39">
        <f t="shared" si="9"/>
        <v>6.9910320480000001</v>
      </c>
      <c r="AB118" s="37" t="str">
        <f t="shared" si="14"/>
        <v>Startup</v>
      </c>
      <c r="AC118" s="36">
        <f t="shared" si="15"/>
        <v>6.9910320480000001</v>
      </c>
    </row>
    <row r="119" spans="1:29" ht="13" thickBot="1" x14ac:dyDescent="0.3">
      <c r="A119" s="20" t="s">
        <v>1</v>
      </c>
      <c r="B119" s="25" t="s">
        <v>12</v>
      </c>
      <c r="C119" s="26" t="s">
        <v>21</v>
      </c>
      <c r="D119" s="27">
        <v>0</v>
      </c>
      <c r="E119" s="27">
        <v>0</v>
      </c>
      <c r="F119" s="27">
        <v>0</v>
      </c>
      <c r="G119" s="27">
        <v>0</v>
      </c>
      <c r="H119" s="28">
        <v>4765</v>
      </c>
      <c r="I119" s="29">
        <v>3110</v>
      </c>
      <c r="J119" s="27">
        <v>488</v>
      </c>
      <c r="K119" s="27">
        <v>24</v>
      </c>
      <c r="L119" s="27">
        <v>128</v>
      </c>
      <c r="M119" s="27">
        <v>210</v>
      </c>
      <c r="N119" s="27">
        <v>93</v>
      </c>
      <c r="O119" s="27">
        <v>301</v>
      </c>
      <c r="P119" s="27">
        <v>197</v>
      </c>
      <c r="Q119" s="27">
        <v>92</v>
      </c>
      <c r="R119" s="27">
        <v>114</v>
      </c>
      <c r="S119" s="27">
        <v>4</v>
      </c>
      <c r="T119" s="29">
        <v>4</v>
      </c>
      <c r="U119" s="14">
        <v>0.1075543392</v>
      </c>
      <c r="W119" s="39">
        <f t="shared" si="9"/>
        <v>512.49642628799995</v>
      </c>
      <c r="X119" s="35">
        <f>W118+W117+W114</f>
        <v>312.33780103679999</v>
      </c>
      <c r="Y119" s="35">
        <f>W112</f>
        <v>10.75543392</v>
      </c>
      <c r="Z119" s="40">
        <f>V110/X119</f>
        <v>0</v>
      </c>
      <c r="AA119" s="40">
        <f>IF((Y119=0),0,Y111/Y119)</f>
        <v>141.19999999999999</v>
      </c>
      <c r="AB119" s="48"/>
      <c r="AC119" s="48"/>
    </row>
    <row r="120" spans="1:29" ht="13" thickBot="1" x14ac:dyDescent="0.3">
      <c r="A120" s="9" t="s">
        <v>11</v>
      </c>
      <c r="B120" s="30" t="s">
        <v>15</v>
      </c>
      <c r="C120" s="31" t="s">
        <v>94</v>
      </c>
      <c r="D120" s="32" t="s">
        <v>47</v>
      </c>
      <c r="E120" s="53" t="s">
        <v>116</v>
      </c>
      <c r="F120" s="53" t="s">
        <v>117</v>
      </c>
      <c r="G120" s="53" t="s">
        <v>118</v>
      </c>
      <c r="H120" s="28" t="s">
        <v>12</v>
      </c>
      <c r="I120" s="54" t="s">
        <v>119</v>
      </c>
      <c r="J120" s="53" t="s">
        <v>174</v>
      </c>
      <c r="K120" s="53" t="s">
        <v>175</v>
      </c>
      <c r="L120" s="53" t="s">
        <v>99</v>
      </c>
      <c r="M120" s="53" t="s">
        <v>100</v>
      </c>
      <c r="N120" s="53" t="s">
        <v>101</v>
      </c>
      <c r="O120" s="53" t="s">
        <v>102</v>
      </c>
      <c r="P120" s="53" t="s">
        <v>103</v>
      </c>
      <c r="Q120" s="53" t="s">
        <v>104</v>
      </c>
      <c r="R120" s="53" t="s">
        <v>105</v>
      </c>
      <c r="S120" s="53" t="s">
        <v>106</v>
      </c>
      <c r="T120" s="55" t="s">
        <v>107</v>
      </c>
      <c r="U120" s="14">
        <v>1.175</v>
      </c>
      <c r="V120" s="14" t="s">
        <v>183</v>
      </c>
      <c r="W120" s="39">
        <f t="shared" si="9"/>
        <v>0</v>
      </c>
      <c r="X120" s="14" t="s">
        <v>37</v>
      </c>
      <c r="Y120" s="14" t="s">
        <v>38</v>
      </c>
      <c r="AB120" s="48"/>
      <c r="AC120" s="48"/>
    </row>
    <row r="121" spans="1:29" x14ac:dyDescent="0.25">
      <c r="A121" s="7" t="s">
        <v>11</v>
      </c>
      <c r="B121" s="8" t="s">
        <v>17</v>
      </c>
      <c r="C121" s="9" t="s">
        <v>18</v>
      </c>
      <c r="D121" s="10">
        <v>0</v>
      </c>
      <c r="E121" s="10">
        <v>0</v>
      </c>
      <c r="F121" s="10">
        <v>7</v>
      </c>
      <c r="G121" s="10">
        <v>640</v>
      </c>
      <c r="H121" s="11">
        <v>652</v>
      </c>
      <c r="I121" s="12">
        <v>5</v>
      </c>
      <c r="J121" s="10">
        <v>0</v>
      </c>
      <c r="K121" s="10">
        <v>0</v>
      </c>
      <c r="L121" s="10">
        <v>0</v>
      </c>
      <c r="M121" s="10">
        <v>0</v>
      </c>
      <c r="N121" s="10">
        <v>0</v>
      </c>
      <c r="O121" s="10">
        <v>0</v>
      </c>
      <c r="P121" s="10">
        <v>0</v>
      </c>
      <c r="Q121" s="10">
        <v>0</v>
      </c>
      <c r="R121" s="10">
        <v>0</v>
      </c>
      <c r="S121" s="10">
        <v>0</v>
      </c>
      <c r="T121" s="13">
        <v>0</v>
      </c>
      <c r="U121" s="14">
        <v>1.175</v>
      </c>
      <c r="V121" s="42">
        <f>SUM(I121:T121)/H121</f>
        <v>7.6687116564417178E-3</v>
      </c>
      <c r="W121" s="39">
        <f t="shared" si="9"/>
        <v>5.875</v>
      </c>
    </row>
    <row r="122" spans="1:29" x14ac:dyDescent="0.25">
      <c r="A122" s="7" t="s">
        <v>11</v>
      </c>
      <c r="B122" s="15" t="s">
        <v>66</v>
      </c>
      <c r="C122" s="7" t="s">
        <v>18</v>
      </c>
      <c r="D122" s="14">
        <v>0</v>
      </c>
      <c r="E122" s="14">
        <v>0</v>
      </c>
      <c r="F122" s="14">
        <v>0</v>
      </c>
      <c r="G122" s="14">
        <v>6</v>
      </c>
      <c r="H122" s="16">
        <v>6</v>
      </c>
      <c r="I122" s="17">
        <v>0</v>
      </c>
      <c r="J122" s="14">
        <v>0</v>
      </c>
      <c r="K122" s="14">
        <v>0</v>
      </c>
      <c r="L122" s="14">
        <v>0</v>
      </c>
      <c r="M122" s="14">
        <v>0</v>
      </c>
      <c r="N122" s="14">
        <v>0</v>
      </c>
      <c r="O122" s="14">
        <v>0</v>
      </c>
      <c r="P122" s="14">
        <v>0</v>
      </c>
      <c r="Q122" s="14">
        <v>0</v>
      </c>
      <c r="R122" s="14">
        <v>0</v>
      </c>
      <c r="S122" s="14">
        <v>0</v>
      </c>
      <c r="T122" s="18">
        <v>0</v>
      </c>
      <c r="U122" s="14">
        <v>1.175</v>
      </c>
      <c r="V122" s="44"/>
      <c r="W122" s="39">
        <f t="shared" si="9"/>
        <v>0</v>
      </c>
    </row>
    <row r="123" spans="1:29" x14ac:dyDescent="0.25">
      <c r="A123" s="7" t="s">
        <v>11</v>
      </c>
      <c r="B123" s="15" t="s">
        <v>13</v>
      </c>
      <c r="C123" s="7" t="s">
        <v>18</v>
      </c>
      <c r="D123" s="14">
        <v>0</v>
      </c>
      <c r="E123" s="14">
        <v>0</v>
      </c>
      <c r="F123" s="14">
        <v>69</v>
      </c>
      <c r="G123" s="14">
        <v>347</v>
      </c>
      <c r="H123" s="16">
        <v>459</v>
      </c>
      <c r="I123" s="17">
        <v>43</v>
      </c>
      <c r="J123" s="14">
        <v>0</v>
      </c>
      <c r="K123" s="14">
        <v>0</v>
      </c>
      <c r="L123" s="14">
        <v>0</v>
      </c>
      <c r="M123" s="14">
        <v>0</v>
      </c>
      <c r="N123" s="14">
        <v>0</v>
      </c>
      <c r="O123" s="14">
        <v>0</v>
      </c>
      <c r="P123" s="14">
        <v>0</v>
      </c>
      <c r="Q123" s="14">
        <v>0</v>
      </c>
      <c r="R123" s="14">
        <v>0</v>
      </c>
      <c r="S123" s="14">
        <v>0</v>
      </c>
      <c r="T123" s="18">
        <v>0</v>
      </c>
      <c r="U123" s="14">
        <v>1.175</v>
      </c>
      <c r="V123" s="41"/>
      <c r="W123" s="39">
        <f t="shared" si="9"/>
        <v>50.524999999999999</v>
      </c>
    </row>
    <row r="124" spans="1:29" x14ac:dyDescent="0.25">
      <c r="A124" s="7" t="s">
        <v>11</v>
      </c>
      <c r="B124" s="15" t="s">
        <v>67</v>
      </c>
      <c r="C124" s="7" t="s">
        <v>18</v>
      </c>
      <c r="D124" s="14">
        <v>0</v>
      </c>
      <c r="E124" s="14">
        <v>0</v>
      </c>
      <c r="F124" s="14">
        <v>0</v>
      </c>
      <c r="G124" s="14">
        <v>621</v>
      </c>
      <c r="H124" s="16">
        <v>932</v>
      </c>
      <c r="I124" s="17">
        <v>35</v>
      </c>
      <c r="J124" s="14">
        <v>276</v>
      </c>
      <c r="K124" s="14">
        <v>0</v>
      </c>
      <c r="L124" s="14">
        <v>0</v>
      </c>
      <c r="M124" s="14">
        <v>0</v>
      </c>
      <c r="N124" s="14">
        <v>0</v>
      </c>
      <c r="O124" s="14">
        <v>0</v>
      </c>
      <c r="P124" s="14">
        <v>0</v>
      </c>
      <c r="Q124" s="14">
        <v>0</v>
      </c>
      <c r="R124" s="14">
        <v>0</v>
      </c>
      <c r="S124" s="14">
        <v>0</v>
      </c>
      <c r="T124" s="18">
        <v>0</v>
      </c>
      <c r="U124" s="14">
        <v>1.175</v>
      </c>
      <c r="V124" s="41"/>
      <c r="W124" s="39">
        <f t="shared" si="9"/>
        <v>365.42500000000001</v>
      </c>
    </row>
    <row r="125" spans="1:29" x14ac:dyDescent="0.25">
      <c r="A125" s="7" t="s">
        <v>11</v>
      </c>
      <c r="B125" s="15" t="s">
        <v>73</v>
      </c>
      <c r="C125" s="7" t="s">
        <v>18</v>
      </c>
      <c r="D125" s="14">
        <v>0</v>
      </c>
      <c r="E125" s="14">
        <v>0</v>
      </c>
      <c r="F125" s="14">
        <v>0</v>
      </c>
      <c r="G125" s="14">
        <v>122</v>
      </c>
      <c r="H125" s="16">
        <v>177</v>
      </c>
      <c r="I125" s="17">
        <v>55</v>
      </c>
      <c r="J125" s="14">
        <v>0</v>
      </c>
      <c r="K125" s="14">
        <v>0</v>
      </c>
      <c r="L125" s="14">
        <v>0</v>
      </c>
      <c r="M125" s="14">
        <v>0</v>
      </c>
      <c r="N125" s="14">
        <v>0</v>
      </c>
      <c r="O125" s="14">
        <v>0</v>
      </c>
      <c r="P125" s="14">
        <v>0</v>
      </c>
      <c r="Q125" s="14">
        <v>0</v>
      </c>
      <c r="R125" s="14">
        <v>0</v>
      </c>
      <c r="S125" s="14">
        <v>0</v>
      </c>
      <c r="T125" s="18">
        <v>0</v>
      </c>
      <c r="U125" s="14">
        <v>1.175</v>
      </c>
      <c r="V125" s="41"/>
      <c r="W125" s="39">
        <f t="shared" si="9"/>
        <v>64.625</v>
      </c>
    </row>
    <row r="126" spans="1:29" x14ac:dyDescent="0.25">
      <c r="A126" s="7" t="s">
        <v>11</v>
      </c>
      <c r="B126" s="15" t="s">
        <v>19</v>
      </c>
      <c r="C126" s="7" t="s">
        <v>18</v>
      </c>
      <c r="D126" s="14">
        <v>0</v>
      </c>
      <c r="E126" s="14">
        <v>0</v>
      </c>
      <c r="F126" s="14">
        <v>1</v>
      </c>
      <c r="G126" s="14">
        <v>186</v>
      </c>
      <c r="H126" s="16">
        <v>206</v>
      </c>
      <c r="I126" s="17">
        <v>18</v>
      </c>
      <c r="J126" s="14">
        <v>0</v>
      </c>
      <c r="K126" s="14">
        <v>0</v>
      </c>
      <c r="L126" s="14">
        <v>0</v>
      </c>
      <c r="M126" s="14">
        <v>0</v>
      </c>
      <c r="N126" s="14">
        <v>0</v>
      </c>
      <c r="O126" s="14">
        <v>0</v>
      </c>
      <c r="P126" s="14">
        <v>0</v>
      </c>
      <c r="Q126" s="14">
        <v>0</v>
      </c>
      <c r="R126" s="14">
        <v>0</v>
      </c>
      <c r="S126" s="14">
        <v>0</v>
      </c>
      <c r="T126" s="18">
        <v>0</v>
      </c>
      <c r="U126" s="14">
        <v>1.175</v>
      </c>
      <c r="V126" s="41"/>
      <c r="W126" s="39">
        <f t="shared" si="9"/>
        <v>21.150000000000002</v>
      </c>
    </row>
    <row r="127" spans="1:29" ht="13" thickBot="1" x14ac:dyDescent="0.3">
      <c r="A127" s="7" t="s">
        <v>11</v>
      </c>
      <c r="B127" s="19" t="s">
        <v>20</v>
      </c>
      <c r="C127" s="20" t="s">
        <v>18</v>
      </c>
      <c r="D127" s="21">
        <v>0</v>
      </c>
      <c r="E127" s="21">
        <v>0</v>
      </c>
      <c r="F127" s="21">
        <v>0</v>
      </c>
      <c r="G127" s="21">
        <v>0</v>
      </c>
      <c r="H127" s="22">
        <v>0</v>
      </c>
      <c r="I127" s="23">
        <v>0</v>
      </c>
      <c r="J127" s="21">
        <v>0</v>
      </c>
      <c r="K127" s="21">
        <v>0</v>
      </c>
      <c r="L127" s="21">
        <v>0</v>
      </c>
      <c r="M127" s="21">
        <v>0</v>
      </c>
      <c r="N127" s="21">
        <v>0</v>
      </c>
      <c r="O127" s="21">
        <v>0</v>
      </c>
      <c r="P127" s="21">
        <v>0</v>
      </c>
      <c r="Q127" s="21">
        <v>0</v>
      </c>
      <c r="R127" s="21">
        <v>0</v>
      </c>
      <c r="S127" s="21">
        <v>0</v>
      </c>
      <c r="T127" s="24">
        <v>0</v>
      </c>
      <c r="U127" s="14">
        <v>1.175</v>
      </c>
      <c r="V127" s="44"/>
      <c r="W127" s="39">
        <f t="shared" si="9"/>
        <v>0</v>
      </c>
    </row>
    <row r="128" spans="1:29" ht="13" thickBot="1" x14ac:dyDescent="0.3">
      <c r="A128" s="7" t="s">
        <v>11</v>
      </c>
      <c r="B128" s="25" t="s">
        <v>12</v>
      </c>
      <c r="C128" s="26" t="s">
        <v>18</v>
      </c>
      <c r="D128" s="27">
        <v>0</v>
      </c>
      <c r="E128" s="27">
        <v>0</v>
      </c>
      <c r="F128" s="27">
        <v>77</v>
      </c>
      <c r="G128" s="27">
        <v>1922</v>
      </c>
      <c r="H128" s="28">
        <v>2432</v>
      </c>
      <c r="I128" s="29">
        <v>156</v>
      </c>
      <c r="J128" s="27">
        <v>276</v>
      </c>
      <c r="K128" s="27">
        <v>0</v>
      </c>
      <c r="L128" s="27">
        <v>0</v>
      </c>
      <c r="M128" s="27">
        <v>0</v>
      </c>
      <c r="N128" s="27">
        <v>0</v>
      </c>
      <c r="O128" s="27">
        <v>0</v>
      </c>
      <c r="P128" s="27">
        <v>0</v>
      </c>
      <c r="Q128" s="27">
        <v>0</v>
      </c>
      <c r="R128" s="27">
        <v>0</v>
      </c>
      <c r="S128" s="27">
        <v>0</v>
      </c>
      <c r="T128" s="29">
        <v>0</v>
      </c>
      <c r="U128" s="14">
        <v>1.175</v>
      </c>
      <c r="V128" s="43">
        <f>SUM(I123:T126)/SUM(H123:H126)</f>
        <v>0.2406989853438557</v>
      </c>
      <c r="W128" s="39">
        <f t="shared" si="9"/>
        <v>507.6</v>
      </c>
      <c r="X128" s="35">
        <f>W126+W123</f>
        <v>71.674999999999997</v>
      </c>
      <c r="Y128" s="35">
        <f>W121</f>
        <v>5.875</v>
      </c>
    </row>
    <row r="129" spans="1:29" x14ac:dyDescent="0.25">
      <c r="A129" s="7" t="s">
        <v>11</v>
      </c>
      <c r="B129" s="8" t="s">
        <v>17</v>
      </c>
      <c r="C129" s="9" t="s">
        <v>21</v>
      </c>
      <c r="D129" s="10">
        <v>0</v>
      </c>
      <c r="E129" s="10">
        <v>0</v>
      </c>
      <c r="F129" s="10">
        <v>0</v>
      </c>
      <c r="G129" s="10">
        <v>0</v>
      </c>
      <c r="H129" s="11">
        <v>0</v>
      </c>
      <c r="I129" s="12">
        <v>0</v>
      </c>
      <c r="J129" s="10">
        <v>0</v>
      </c>
      <c r="K129" s="10">
        <v>0</v>
      </c>
      <c r="L129" s="10">
        <v>0</v>
      </c>
      <c r="M129" s="10">
        <v>0</v>
      </c>
      <c r="N129" s="10">
        <v>0</v>
      </c>
      <c r="O129" s="10">
        <v>0</v>
      </c>
      <c r="P129" s="10">
        <v>0</v>
      </c>
      <c r="Q129" s="10">
        <v>0</v>
      </c>
      <c r="R129" s="10">
        <v>0</v>
      </c>
      <c r="S129" s="10">
        <v>0</v>
      </c>
      <c r="T129" s="13">
        <v>0</v>
      </c>
      <c r="U129" s="14">
        <v>1.175</v>
      </c>
      <c r="W129" s="39">
        <f t="shared" si="9"/>
        <v>0</v>
      </c>
      <c r="AB129" s="37" t="str">
        <f t="shared" ref="AB129:AB135" si="16">B129</f>
        <v>Parts-OTC</v>
      </c>
      <c r="AC129" s="36">
        <f t="shared" ref="AC129:AC135" si="17">I129*U129</f>
        <v>0</v>
      </c>
    </row>
    <row r="130" spans="1:29" x14ac:dyDescent="0.25">
      <c r="A130" s="7" t="s">
        <v>11</v>
      </c>
      <c r="B130" s="15" t="s">
        <v>66</v>
      </c>
      <c r="C130" s="7" t="s">
        <v>21</v>
      </c>
      <c r="D130" s="14">
        <v>0</v>
      </c>
      <c r="E130" s="14">
        <v>0</v>
      </c>
      <c r="F130" s="14">
        <v>0</v>
      </c>
      <c r="G130" s="14">
        <v>0</v>
      </c>
      <c r="H130" s="16">
        <v>91</v>
      </c>
      <c r="I130" s="17">
        <v>38</v>
      </c>
      <c r="J130" s="14">
        <v>2</v>
      </c>
      <c r="K130" s="14">
        <v>38</v>
      </c>
      <c r="L130" s="14">
        <v>0</v>
      </c>
      <c r="M130" s="14">
        <v>0</v>
      </c>
      <c r="N130" s="14">
        <v>0</v>
      </c>
      <c r="O130" s="14">
        <v>0</v>
      </c>
      <c r="P130" s="14">
        <v>0</v>
      </c>
      <c r="Q130" s="14">
        <v>0</v>
      </c>
      <c r="R130" s="14">
        <v>0</v>
      </c>
      <c r="S130" s="14">
        <v>13</v>
      </c>
      <c r="T130" s="18">
        <v>0</v>
      </c>
      <c r="U130" s="14">
        <v>1.175</v>
      </c>
      <c r="W130" s="39">
        <f t="shared" ref="W130:W210" si="18">SUM(I130:T130)*U130</f>
        <v>106.925</v>
      </c>
      <c r="AB130" s="37" t="str">
        <f t="shared" si="16"/>
        <v>CTKS</v>
      </c>
      <c r="AC130" s="36">
        <f t="shared" si="17"/>
        <v>44.65</v>
      </c>
    </row>
    <row r="131" spans="1:29" x14ac:dyDescent="0.25">
      <c r="A131" s="7" t="s">
        <v>11</v>
      </c>
      <c r="B131" s="15" t="s">
        <v>13</v>
      </c>
      <c r="C131" s="7" t="s">
        <v>21</v>
      </c>
      <c r="D131" s="14">
        <v>0</v>
      </c>
      <c r="E131" s="14">
        <v>0</v>
      </c>
      <c r="F131" s="14">
        <v>0</v>
      </c>
      <c r="G131" s="14">
        <v>0</v>
      </c>
      <c r="H131" s="16">
        <v>146</v>
      </c>
      <c r="I131" s="17">
        <v>146</v>
      </c>
      <c r="J131" s="14">
        <v>0</v>
      </c>
      <c r="K131" s="14">
        <v>0</v>
      </c>
      <c r="L131" s="14">
        <v>0</v>
      </c>
      <c r="M131" s="14">
        <v>0</v>
      </c>
      <c r="N131" s="14">
        <v>0</v>
      </c>
      <c r="O131" s="14">
        <v>0</v>
      </c>
      <c r="P131" s="14">
        <v>0</v>
      </c>
      <c r="Q131" s="14">
        <v>0</v>
      </c>
      <c r="R131" s="14">
        <v>0</v>
      </c>
      <c r="S131" s="14">
        <v>0</v>
      </c>
      <c r="T131" s="18">
        <v>0</v>
      </c>
      <c r="U131" s="14">
        <v>1.175</v>
      </c>
      <c r="W131" s="39">
        <f t="shared" si="18"/>
        <v>171.55</v>
      </c>
      <c r="AB131" s="37" t="str">
        <f t="shared" si="16"/>
        <v>Repair</v>
      </c>
      <c r="AC131" s="36">
        <f t="shared" si="17"/>
        <v>171.55</v>
      </c>
    </row>
    <row r="132" spans="1:29" x14ac:dyDescent="0.25">
      <c r="A132" s="7" t="s">
        <v>11</v>
      </c>
      <c r="B132" s="15" t="s">
        <v>67</v>
      </c>
      <c r="C132" s="7" t="s">
        <v>21</v>
      </c>
      <c r="D132" s="14">
        <v>0</v>
      </c>
      <c r="E132" s="14">
        <v>0</v>
      </c>
      <c r="F132" s="14">
        <v>0</v>
      </c>
      <c r="G132" s="14">
        <v>0</v>
      </c>
      <c r="H132" s="16">
        <v>321</v>
      </c>
      <c r="I132" s="17">
        <v>70</v>
      </c>
      <c r="J132" s="14">
        <v>17</v>
      </c>
      <c r="K132" s="14">
        <v>33</v>
      </c>
      <c r="L132" s="14">
        <v>10</v>
      </c>
      <c r="M132" s="14">
        <v>62</v>
      </c>
      <c r="N132" s="14">
        <v>43</v>
      </c>
      <c r="O132" s="14">
        <v>7</v>
      </c>
      <c r="P132" s="14">
        <v>27</v>
      </c>
      <c r="Q132" s="14">
        <v>7</v>
      </c>
      <c r="R132" s="14">
        <v>7</v>
      </c>
      <c r="S132" s="14">
        <v>30</v>
      </c>
      <c r="T132" s="18">
        <v>7</v>
      </c>
      <c r="U132" s="14">
        <v>1.175</v>
      </c>
      <c r="W132" s="39">
        <f t="shared" si="18"/>
        <v>376</v>
      </c>
      <c r="AB132" s="37" t="str">
        <f t="shared" si="16"/>
        <v>Rental</v>
      </c>
      <c r="AC132" s="36">
        <f t="shared" si="17"/>
        <v>82.25</v>
      </c>
    </row>
    <row r="133" spans="1:29" x14ac:dyDescent="0.25">
      <c r="A133" s="7" t="s">
        <v>11</v>
      </c>
      <c r="B133" s="15" t="s">
        <v>73</v>
      </c>
      <c r="C133" s="7" t="s">
        <v>21</v>
      </c>
      <c r="D133" s="14">
        <v>0</v>
      </c>
      <c r="E133" s="14">
        <v>0</v>
      </c>
      <c r="F133" s="14">
        <v>0</v>
      </c>
      <c r="G133" s="14">
        <v>0</v>
      </c>
      <c r="H133" s="16">
        <v>19</v>
      </c>
      <c r="I133" s="17">
        <v>19</v>
      </c>
      <c r="J133" s="14">
        <v>0</v>
      </c>
      <c r="K133" s="14">
        <v>0</v>
      </c>
      <c r="L133" s="14">
        <v>0</v>
      </c>
      <c r="M133" s="14">
        <v>0</v>
      </c>
      <c r="N133" s="14">
        <v>0</v>
      </c>
      <c r="O133" s="14">
        <v>0</v>
      </c>
      <c r="P133" s="14">
        <v>0</v>
      </c>
      <c r="Q133" s="14">
        <v>0</v>
      </c>
      <c r="R133" s="14">
        <v>0</v>
      </c>
      <c r="S133" s="14">
        <v>0</v>
      </c>
      <c r="T133" s="18">
        <v>0</v>
      </c>
      <c r="U133" s="14">
        <v>1.175</v>
      </c>
      <c r="W133" s="39">
        <f t="shared" si="18"/>
        <v>22.324999999999999</v>
      </c>
      <c r="AB133" s="37"/>
    </row>
    <row r="134" spans="1:29" x14ac:dyDescent="0.25">
      <c r="A134" s="7" t="s">
        <v>11</v>
      </c>
      <c r="B134" s="15" t="s">
        <v>19</v>
      </c>
      <c r="C134" s="7" t="s">
        <v>21</v>
      </c>
      <c r="D134" s="14">
        <v>0</v>
      </c>
      <c r="E134" s="14">
        <v>0</v>
      </c>
      <c r="F134" s="14">
        <v>0</v>
      </c>
      <c r="G134" s="14">
        <v>0</v>
      </c>
      <c r="H134" s="16">
        <v>411</v>
      </c>
      <c r="I134" s="17">
        <v>60</v>
      </c>
      <c r="J134" s="14">
        <v>72</v>
      </c>
      <c r="K134" s="14">
        <v>14</v>
      </c>
      <c r="L134" s="14">
        <v>62</v>
      </c>
      <c r="M134" s="14">
        <v>37</v>
      </c>
      <c r="N134" s="14">
        <v>49</v>
      </c>
      <c r="O134" s="14">
        <v>35</v>
      </c>
      <c r="P134" s="14">
        <v>36</v>
      </c>
      <c r="Q134" s="14">
        <v>2</v>
      </c>
      <c r="R134" s="14">
        <v>12</v>
      </c>
      <c r="S134" s="14">
        <v>3</v>
      </c>
      <c r="T134" s="18">
        <v>29</v>
      </c>
      <c r="U134" s="14">
        <v>1.175</v>
      </c>
      <c r="W134" s="39">
        <f t="shared" si="18"/>
        <v>482.92500000000001</v>
      </c>
      <c r="AB134" s="37" t="str">
        <f t="shared" si="16"/>
        <v>Maintenance</v>
      </c>
      <c r="AC134" s="36">
        <f t="shared" si="17"/>
        <v>70.5</v>
      </c>
    </row>
    <row r="135" spans="1:29" ht="13" thickBot="1" x14ac:dyDescent="0.3">
      <c r="A135" s="7" t="s">
        <v>11</v>
      </c>
      <c r="B135" s="19" t="s">
        <v>20</v>
      </c>
      <c r="C135" s="20" t="s">
        <v>21</v>
      </c>
      <c r="D135" s="21">
        <v>0</v>
      </c>
      <c r="E135" s="21">
        <v>0</v>
      </c>
      <c r="F135" s="21">
        <v>0</v>
      </c>
      <c r="G135" s="21">
        <v>0</v>
      </c>
      <c r="H135" s="22">
        <v>41</v>
      </c>
      <c r="I135" s="23">
        <v>34</v>
      </c>
      <c r="J135" s="21">
        <v>0</v>
      </c>
      <c r="K135" s="21">
        <v>0</v>
      </c>
      <c r="L135" s="21">
        <v>0</v>
      </c>
      <c r="M135" s="21">
        <v>0</v>
      </c>
      <c r="N135" s="21">
        <v>0</v>
      </c>
      <c r="O135" s="21">
        <v>0</v>
      </c>
      <c r="P135" s="21">
        <v>0</v>
      </c>
      <c r="Q135" s="21">
        <v>0</v>
      </c>
      <c r="R135" s="21">
        <v>0</v>
      </c>
      <c r="S135" s="21">
        <v>0</v>
      </c>
      <c r="T135" s="24">
        <v>7</v>
      </c>
      <c r="U135" s="14">
        <v>1.175</v>
      </c>
      <c r="W135" s="39">
        <f t="shared" si="18"/>
        <v>48.175000000000004</v>
      </c>
      <c r="AB135" s="37" t="str">
        <f t="shared" si="16"/>
        <v>Startup</v>
      </c>
      <c r="AC135" s="36">
        <f t="shared" si="17"/>
        <v>39.950000000000003</v>
      </c>
    </row>
    <row r="136" spans="1:29" ht="13" thickBot="1" x14ac:dyDescent="0.3">
      <c r="A136" s="20" t="s">
        <v>11</v>
      </c>
      <c r="B136" s="25" t="s">
        <v>12</v>
      </c>
      <c r="C136" s="26" t="s">
        <v>21</v>
      </c>
      <c r="D136" s="27">
        <v>0</v>
      </c>
      <c r="E136" s="27">
        <v>0</v>
      </c>
      <c r="F136" s="27">
        <v>0</v>
      </c>
      <c r="G136" s="27">
        <v>0</v>
      </c>
      <c r="H136" s="28">
        <v>1029</v>
      </c>
      <c r="I136" s="29">
        <v>367</v>
      </c>
      <c r="J136" s="27">
        <v>91</v>
      </c>
      <c r="K136" s="27">
        <v>85</v>
      </c>
      <c r="L136" s="27">
        <v>72</v>
      </c>
      <c r="M136" s="27">
        <v>99</v>
      </c>
      <c r="N136" s="27">
        <v>92</v>
      </c>
      <c r="O136" s="27">
        <v>42</v>
      </c>
      <c r="P136" s="27">
        <v>63</v>
      </c>
      <c r="Q136" s="27">
        <v>9</v>
      </c>
      <c r="R136" s="27">
        <v>19</v>
      </c>
      <c r="S136" s="27">
        <v>46</v>
      </c>
      <c r="T136" s="29">
        <v>43</v>
      </c>
      <c r="U136" s="14">
        <v>1.175</v>
      </c>
      <c r="W136" s="39">
        <f t="shared" si="18"/>
        <v>1207.9000000000001</v>
      </c>
      <c r="X136" s="35">
        <f>W135+W134+W131</f>
        <v>702.65000000000009</v>
      </c>
      <c r="Y136" s="35">
        <f>W129</f>
        <v>0</v>
      </c>
      <c r="Z136" s="40">
        <f>V127/X136</f>
        <v>0</v>
      </c>
      <c r="AA136" s="40">
        <f>IF((Y136=0),0,Y128/Y136)</f>
        <v>0</v>
      </c>
      <c r="AB136" s="48"/>
      <c r="AC136" s="48"/>
    </row>
    <row r="137" spans="1:29" ht="13" thickBot="1" x14ac:dyDescent="0.3">
      <c r="A137" s="9" t="s">
        <v>8</v>
      </c>
      <c r="B137" s="30" t="s">
        <v>15</v>
      </c>
      <c r="C137" s="31" t="s">
        <v>94</v>
      </c>
      <c r="D137" s="32" t="s">
        <v>47</v>
      </c>
      <c r="E137" s="53" t="s">
        <v>116</v>
      </c>
      <c r="F137" s="53" t="s">
        <v>117</v>
      </c>
      <c r="G137" s="53" t="s">
        <v>118</v>
      </c>
      <c r="H137" s="28" t="s">
        <v>12</v>
      </c>
      <c r="I137" s="54" t="s">
        <v>119</v>
      </c>
      <c r="J137" s="53" t="s">
        <v>174</v>
      </c>
      <c r="K137" s="53" t="s">
        <v>175</v>
      </c>
      <c r="L137" s="53" t="s">
        <v>99</v>
      </c>
      <c r="M137" s="53" t="s">
        <v>100</v>
      </c>
      <c r="N137" s="53" t="s">
        <v>101</v>
      </c>
      <c r="O137" s="53" t="s">
        <v>102</v>
      </c>
      <c r="P137" s="53" t="s">
        <v>103</v>
      </c>
      <c r="Q137" s="53" t="s">
        <v>104</v>
      </c>
      <c r="R137" s="53" t="s">
        <v>105</v>
      </c>
      <c r="S137" s="53" t="s">
        <v>106</v>
      </c>
      <c r="T137" s="55" t="s">
        <v>107</v>
      </c>
      <c r="U137" s="14">
        <v>3.0394242999999999E-3</v>
      </c>
      <c r="V137" s="14" t="s">
        <v>183</v>
      </c>
      <c r="W137" s="39">
        <f t="shared" si="18"/>
        <v>0</v>
      </c>
      <c r="X137" s="14" t="s">
        <v>37</v>
      </c>
      <c r="Y137" s="14" t="s">
        <v>38</v>
      </c>
      <c r="AB137" s="48"/>
      <c r="AC137" s="48"/>
    </row>
    <row r="138" spans="1:29" x14ac:dyDescent="0.25">
      <c r="A138" s="7" t="s">
        <v>8</v>
      </c>
      <c r="B138" s="8" t="s">
        <v>17</v>
      </c>
      <c r="C138" s="9" t="s">
        <v>18</v>
      </c>
      <c r="D138" s="10">
        <v>35182</v>
      </c>
      <c r="E138" s="10">
        <v>14012</v>
      </c>
      <c r="F138" s="10">
        <v>21126</v>
      </c>
      <c r="G138" s="10">
        <v>17779</v>
      </c>
      <c r="H138" s="11">
        <v>105040</v>
      </c>
      <c r="I138" s="12">
        <v>7461</v>
      </c>
      <c r="J138" s="10">
        <v>6257</v>
      </c>
      <c r="K138" s="10">
        <v>487</v>
      </c>
      <c r="L138" s="10">
        <v>0</v>
      </c>
      <c r="M138" s="10">
        <v>0</v>
      </c>
      <c r="N138" s="10">
        <v>0</v>
      </c>
      <c r="O138" s="10">
        <v>2734</v>
      </c>
      <c r="P138" s="10">
        <v>0</v>
      </c>
      <c r="Q138" s="10">
        <v>0</v>
      </c>
      <c r="R138" s="10">
        <v>0</v>
      </c>
      <c r="S138" s="10">
        <v>0</v>
      </c>
      <c r="T138" s="13">
        <v>0</v>
      </c>
      <c r="U138" s="14">
        <v>3.0394242999999999E-3</v>
      </c>
      <c r="V138" s="42">
        <f>SUM(I138:T138)/H138</f>
        <v>0.16126237623762377</v>
      </c>
      <c r="W138" s="39">
        <f t="shared" si="18"/>
        <v>51.484808217699999</v>
      </c>
    </row>
    <row r="139" spans="1:29" x14ac:dyDescent="0.25">
      <c r="A139" s="7" t="s">
        <v>8</v>
      </c>
      <c r="B139" s="15" t="s">
        <v>66</v>
      </c>
      <c r="C139" s="7" t="s">
        <v>18</v>
      </c>
      <c r="D139" s="14">
        <v>0</v>
      </c>
      <c r="E139" s="14">
        <v>0</v>
      </c>
      <c r="F139" s="14">
        <v>0</v>
      </c>
      <c r="G139" s="14">
        <v>60722</v>
      </c>
      <c r="H139" s="16">
        <v>120587</v>
      </c>
      <c r="I139" s="17">
        <v>59864</v>
      </c>
      <c r="J139" s="14">
        <v>0</v>
      </c>
      <c r="K139" s="14">
        <v>0</v>
      </c>
      <c r="L139" s="14">
        <v>0</v>
      </c>
      <c r="M139" s="14">
        <v>0</v>
      </c>
      <c r="N139" s="14">
        <v>0</v>
      </c>
      <c r="O139" s="14">
        <v>0</v>
      </c>
      <c r="P139" s="14">
        <v>0</v>
      </c>
      <c r="Q139" s="14">
        <v>0</v>
      </c>
      <c r="R139" s="14">
        <v>0</v>
      </c>
      <c r="S139" s="14">
        <v>0</v>
      </c>
      <c r="T139" s="18">
        <v>0</v>
      </c>
      <c r="U139" s="14">
        <v>3.0394242999999999E-3</v>
      </c>
      <c r="V139" s="44"/>
      <c r="W139" s="39">
        <f t="shared" si="18"/>
        <v>181.95209629519999</v>
      </c>
    </row>
    <row r="140" spans="1:29" x14ac:dyDescent="0.25">
      <c r="A140" s="7" t="s">
        <v>8</v>
      </c>
      <c r="B140" s="15" t="s">
        <v>13</v>
      </c>
      <c r="C140" s="7" t="s">
        <v>18</v>
      </c>
      <c r="D140" s="14">
        <v>435</v>
      </c>
      <c r="E140" s="14">
        <v>0</v>
      </c>
      <c r="F140" s="14">
        <v>6970</v>
      </c>
      <c r="G140" s="14">
        <v>316111</v>
      </c>
      <c r="H140" s="16">
        <v>600500</v>
      </c>
      <c r="I140" s="17">
        <v>274819</v>
      </c>
      <c r="J140" s="14">
        <v>0</v>
      </c>
      <c r="K140" s="14">
        <v>2163</v>
      </c>
      <c r="L140" s="14">
        <v>0</v>
      </c>
      <c r="M140" s="14">
        <v>0</v>
      </c>
      <c r="N140" s="14">
        <v>0</v>
      </c>
      <c r="O140" s="14">
        <v>0</v>
      </c>
      <c r="P140" s="14">
        <v>0</v>
      </c>
      <c r="Q140" s="14">
        <v>0</v>
      </c>
      <c r="R140" s="14">
        <v>0</v>
      </c>
      <c r="S140" s="14">
        <v>0</v>
      </c>
      <c r="T140" s="18">
        <v>0</v>
      </c>
      <c r="U140" s="14">
        <v>3.0394242999999999E-3</v>
      </c>
      <c r="V140" s="41"/>
      <c r="W140" s="39">
        <f t="shared" si="18"/>
        <v>841.86582146259991</v>
      </c>
    </row>
    <row r="141" spans="1:29" x14ac:dyDescent="0.25">
      <c r="A141" s="7" t="s">
        <v>8</v>
      </c>
      <c r="B141" s="15" t="s">
        <v>67</v>
      </c>
      <c r="C141" s="7" t="s">
        <v>18</v>
      </c>
      <c r="D141" s="14">
        <v>3918</v>
      </c>
      <c r="E141" s="14">
        <v>58919</v>
      </c>
      <c r="F141" s="14">
        <v>334640</v>
      </c>
      <c r="G141" s="14">
        <v>549847</v>
      </c>
      <c r="H141" s="16">
        <v>1605403</v>
      </c>
      <c r="I141" s="17">
        <v>513194</v>
      </c>
      <c r="J141" s="14">
        <v>69704</v>
      </c>
      <c r="K141" s="14">
        <v>15474</v>
      </c>
      <c r="L141" s="14">
        <v>2037</v>
      </c>
      <c r="M141" s="14">
        <v>0</v>
      </c>
      <c r="N141" s="14">
        <v>50123</v>
      </c>
      <c r="O141" s="14">
        <v>0</v>
      </c>
      <c r="P141" s="14">
        <v>0</v>
      </c>
      <c r="Q141" s="14">
        <v>0</v>
      </c>
      <c r="R141" s="14">
        <v>0</v>
      </c>
      <c r="S141" s="14">
        <v>7548</v>
      </c>
      <c r="T141" s="18">
        <v>0</v>
      </c>
      <c r="U141" s="14">
        <v>3.0394242999999999E-3</v>
      </c>
      <c r="V141" s="41"/>
      <c r="W141" s="39">
        <f t="shared" si="18"/>
        <v>2000.1843433439999</v>
      </c>
    </row>
    <row r="142" spans="1:29" x14ac:dyDescent="0.25">
      <c r="A142" s="7" t="s">
        <v>8</v>
      </c>
      <c r="B142" s="15" t="s">
        <v>73</v>
      </c>
      <c r="C142" s="7" t="s">
        <v>18</v>
      </c>
      <c r="D142" s="14">
        <v>2838</v>
      </c>
      <c r="E142" s="14">
        <v>19896</v>
      </c>
      <c r="F142" s="14">
        <v>13101</v>
      </c>
      <c r="G142" s="14">
        <v>871200</v>
      </c>
      <c r="H142" s="16">
        <v>1640939</v>
      </c>
      <c r="I142" s="17">
        <v>733110</v>
      </c>
      <c r="J142" s="14">
        <v>794</v>
      </c>
      <c r="K142" s="14">
        <v>0</v>
      </c>
      <c r="L142" s="14">
        <v>0</v>
      </c>
      <c r="M142" s="14">
        <v>0</v>
      </c>
      <c r="N142" s="14">
        <v>0</v>
      </c>
      <c r="O142" s="14">
        <v>0</v>
      </c>
      <c r="P142" s="14">
        <v>0</v>
      </c>
      <c r="Q142" s="14">
        <v>0</v>
      </c>
      <c r="R142" s="14">
        <v>0</v>
      </c>
      <c r="S142" s="14">
        <v>0</v>
      </c>
      <c r="T142" s="18">
        <v>0</v>
      </c>
      <c r="U142" s="14">
        <v>3.0394242999999999E-3</v>
      </c>
      <c r="V142" s="41"/>
      <c r="W142" s="39">
        <f t="shared" si="18"/>
        <v>2230.6456514672</v>
      </c>
    </row>
    <row r="143" spans="1:29" x14ac:dyDescent="0.25">
      <c r="A143" s="7" t="s">
        <v>8</v>
      </c>
      <c r="B143" s="15" t="s">
        <v>19</v>
      </c>
      <c r="C143" s="7" t="s">
        <v>18</v>
      </c>
      <c r="D143" s="14">
        <v>425</v>
      </c>
      <c r="E143" s="14">
        <v>1309</v>
      </c>
      <c r="F143" s="14">
        <v>599</v>
      </c>
      <c r="G143" s="14">
        <v>54284</v>
      </c>
      <c r="H143" s="16">
        <v>129609</v>
      </c>
      <c r="I143" s="17">
        <v>56840</v>
      </c>
      <c r="J143" s="14">
        <v>0</v>
      </c>
      <c r="K143" s="14">
        <v>0</v>
      </c>
      <c r="L143" s="14">
        <v>0</v>
      </c>
      <c r="M143" s="14">
        <v>677</v>
      </c>
      <c r="N143" s="14">
        <v>0</v>
      </c>
      <c r="O143" s="14">
        <v>0</v>
      </c>
      <c r="P143" s="14">
        <v>15476</v>
      </c>
      <c r="Q143" s="14">
        <v>0</v>
      </c>
      <c r="R143" s="14">
        <v>0</v>
      </c>
      <c r="S143" s="14">
        <v>0</v>
      </c>
      <c r="T143" s="18">
        <v>0</v>
      </c>
      <c r="U143" s="14">
        <v>3.0394242999999999E-3</v>
      </c>
      <c r="V143" s="41"/>
      <c r="W143" s="39">
        <f t="shared" si="18"/>
        <v>221.85669792989998</v>
      </c>
    </row>
    <row r="144" spans="1:29" ht="13" thickBot="1" x14ac:dyDescent="0.3">
      <c r="A144" s="7" t="s">
        <v>8</v>
      </c>
      <c r="B144" s="19" t="s">
        <v>20</v>
      </c>
      <c r="C144" s="20" t="s">
        <v>18</v>
      </c>
      <c r="D144" s="21">
        <v>0</v>
      </c>
      <c r="E144" s="21">
        <v>0</v>
      </c>
      <c r="F144" s="21">
        <v>0</v>
      </c>
      <c r="G144" s="21">
        <v>1108</v>
      </c>
      <c r="H144" s="22">
        <v>1411</v>
      </c>
      <c r="I144" s="23">
        <v>303</v>
      </c>
      <c r="J144" s="21">
        <v>0</v>
      </c>
      <c r="K144" s="21">
        <v>0</v>
      </c>
      <c r="L144" s="21">
        <v>0</v>
      </c>
      <c r="M144" s="21">
        <v>0</v>
      </c>
      <c r="N144" s="21">
        <v>0</v>
      </c>
      <c r="O144" s="21">
        <v>0</v>
      </c>
      <c r="P144" s="21">
        <v>0</v>
      </c>
      <c r="Q144" s="21">
        <v>0</v>
      </c>
      <c r="R144" s="21">
        <v>0</v>
      </c>
      <c r="S144" s="21">
        <v>0</v>
      </c>
      <c r="T144" s="24">
        <v>0</v>
      </c>
      <c r="U144" s="14">
        <v>3.0394242999999999E-3</v>
      </c>
      <c r="V144" s="44"/>
      <c r="W144" s="39">
        <f t="shared" si="18"/>
        <v>0.92094556289999996</v>
      </c>
    </row>
    <row r="145" spans="1:29" ht="13" thickBot="1" x14ac:dyDescent="0.3">
      <c r="A145" s="7" t="s">
        <v>8</v>
      </c>
      <c r="B145" s="25" t="s">
        <v>12</v>
      </c>
      <c r="C145" s="26" t="s">
        <v>18</v>
      </c>
      <c r="D145" s="27">
        <v>42798</v>
      </c>
      <c r="E145" s="27">
        <v>94136</v>
      </c>
      <c r="F145" s="27">
        <v>376436</v>
      </c>
      <c r="G145" s="27">
        <v>1871051</v>
      </c>
      <c r="H145" s="28">
        <v>4203489</v>
      </c>
      <c r="I145" s="29">
        <v>1645591</v>
      </c>
      <c r="J145" s="27">
        <v>76755</v>
      </c>
      <c r="K145" s="27">
        <v>18124</v>
      </c>
      <c r="L145" s="27">
        <v>2037</v>
      </c>
      <c r="M145" s="27">
        <v>677</v>
      </c>
      <c r="N145" s="27">
        <v>50123</v>
      </c>
      <c r="O145" s="27">
        <v>2734</v>
      </c>
      <c r="P145" s="27">
        <v>15476</v>
      </c>
      <c r="Q145" s="27">
        <v>0</v>
      </c>
      <c r="R145" s="27">
        <v>0</v>
      </c>
      <c r="S145" s="27">
        <v>7548</v>
      </c>
      <c r="T145" s="29">
        <v>0</v>
      </c>
      <c r="U145" s="14">
        <v>3.0394242999999999E-3</v>
      </c>
      <c r="V145" s="43">
        <f>SUM(I140:T143)/SUM(H140:H143)</f>
        <v>0.43806877036835107</v>
      </c>
      <c r="W145" s="39">
        <f t="shared" si="18"/>
        <v>5528.9103642794998</v>
      </c>
      <c r="X145" s="35">
        <f>W143+W140</f>
        <v>1063.7225193924999</v>
      </c>
      <c r="Y145" s="35">
        <f>W138</f>
        <v>51.484808217699999</v>
      </c>
    </row>
    <row r="146" spans="1:29" x14ac:dyDescent="0.25">
      <c r="A146" s="7" t="s">
        <v>8</v>
      </c>
      <c r="B146" s="8" t="s">
        <v>17</v>
      </c>
      <c r="C146" s="9" t="s">
        <v>21</v>
      </c>
      <c r="D146" s="10">
        <v>0</v>
      </c>
      <c r="E146" s="10">
        <v>0</v>
      </c>
      <c r="F146" s="10">
        <v>0</v>
      </c>
      <c r="G146" s="10">
        <v>0</v>
      </c>
      <c r="H146" s="11">
        <v>0</v>
      </c>
      <c r="I146" s="12">
        <v>0</v>
      </c>
      <c r="J146" s="10">
        <v>0</v>
      </c>
      <c r="K146" s="10">
        <v>0</v>
      </c>
      <c r="L146" s="10">
        <v>0</v>
      </c>
      <c r="M146" s="10">
        <v>0</v>
      </c>
      <c r="N146" s="10">
        <v>0</v>
      </c>
      <c r="O146" s="10">
        <v>0</v>
      </c>
      <c r="P146" s="10">
        <v>0</v>
      </c>
      <c r="Q146" s="10">
        <v>0</v>
      </c>
      <c r="R146" s="10">
        <v>0</v>
      </c>
      <c r="S146" s="10">
        <v>0</v>
      </c>
      <c r="T146" s="13">
        <v>0</v>
      </c>
      <c r="U146" s="14">
        <v>3.0394242999999999E-3</v>
      </c>
      <c r="W146" s="39">
        <f t="shared" si="18"/>
        <v>0</v>
      </c>
      <c r="AB146" s="37" t="str">
        <f t="shared" ref="AB146:AB152" si="19">B146</f>
        <v>Parts-OTC</v>
      </c>
      <c r="AC146" s="36">
        <f t="shared" ref="AC146:AC152" si="20">I146*U146</f>
        <v>0</v>
      </c>
    </row>
    <row r="147" spans="1:29" x14ac:dyDescent="0.25">
      <c r="A147" s="7" t="s">
        <v>8</v>
      </c>
      <c r="B147" s="15" t="s">
        <v>66</v>
      </c>
      <c r="C147" s="7" t="s">
        <v>21</v>
      </c>
      <c r="D147" s="14">
        <v>0</v>
      </c>
      <c r="E147" s="14">
        <v>0</v>
      </c>
      <c r="F147" s="14">
        <v>0</v>
      </c>
      <c r="G147" s="14">
        <v>0</v>
      </c>
      <c r="H147" s="16">
        <v>29428</v>
      </c>
      <c r="I147" s="17">
        <v>25775</v>
      </c>
      <c r="J147" s="14">
        <v>332</v>
      </c>
      <c r="K147" s="14">
        <v>332</v>
      </c>
      <c r="L147" s="14">
        <v>332</v>
      </c>
      <c r="M147" s="14">
        <v>332</v>
      </c>
      <c r="N147" s="14">
        <v>332</v>
      </c>
      <c r="O147" s="14">
        <v>332</v>
      </c>
      <c r="P147" s="14">
        <v>332</v>
      </c>
      <c r="Q147" s="14">
        <v>332</v>
      </c>
      <c r="R147" s="14">
        <v>332</v>
      </c>
      <c r="S147" s="14">
        <v>332</v>
      </c>
      <c r="T147" s="18">
        <v>332</v>
      </c>
      <c r="U147" s="14">
        <v>3.0394242999999999E-3</v>
      </c>
      <c r="W147" s="39">
        <f t="shared" si="18"/>
        <v>89.441138876099998</v>
      </c>
      <c r="AB147" s="37" t="str">
        <f t="shared" si="19"/>
        <v>CTKS</v>
      </c>
      <c r="AC147" s="36">
        <f t="shared" si="20"/>
        <v>78.341161332499993</v>
      </c>
    </row>
    <row r="148" spans="1:29" x14ac:dyDescent="0.25">
      <c r="A148" s="7" t="s">
        <v>8</v>
      </c>
      <c r="B148" s="15" t="s">
        <v>13</v>
      </c>
      <c r="C148" s="7" t="s">
        <v>21</v>
      </c>
      <c r="D148" s="14">
        <v>0</v>
      </c>
      <c r="E148" s="14">
        <v>0</v>
      </c>
      <c r="F148" s="14">
        <v>0</v>
      </c>
      <c r="G148" s="14">
        <v>0</v>
      </c>
      <c r="H148" s="16">
        <v>58946</v>
      </c>
      <c r="I148" s="17">
        <v>55724</v>
      </c>
      <c r="J148" s="14">
        <v>1727</v>
      </c>
      <c r="K148" s="14">
        <v>0</v>
      </c>
      <c r="L148" s="14">
        <v>319</v>
      </c>
      <c r="M148" s="14">
        <v>1176</v>
      </c>
      <c r="N148" s="14">
        <v>0</v>
      </c>
      <c r="O148" s="14">
        <v>0</v>
      </c>
      <c r="P148" s="14">
        <v>0</v>
      </c>
      <c r="Q148" s="14">
        <v>0</v>
      </c>
      <c r="R148" s="14">
        <v>0</v>
      </c>
      <c r="S148" s="14">
        <v>0</v>
      </c>
      <c r="T148" s="18">
        <v>0</v>
      </c>
      <c r="U148" s="14">
        <v>3.0394242999999999E-3</v>
      </c>
      <c r="W148" s="39">
        <f t="shared" si="18"/>
        <v>179.16190478779998</v>
      </c>
      <c r="AB148" s="37" t="str">
        <f t="shared" si="19"/>
        <v>Repair</v>
      </c>
      <c r="AC148" s="36">
        <f t="shared" si="20"/>
        <v>169.3688796932</v>
      </c>
    </row>
    <row r="149" spans="1:29" x14ac:dyDescent="0.25">
      <c r="A149" s="7" t="s">
        <v>8</v>
      </c>
      <c r="B149" s="15" t="s">
        <v>67</v>
      </c>
      <c r="C149" s="7" t="s">
        <v>21</v>
      </c>
      <c r="D149" s="14">
        <v>0</v>
      </c>
      <c r="E149" s="14">
        <v>0</v>
      </c>
      <c r="F149" s="14">
        <v>0</v>
      </c>
      <c r="G149" s="14">
        <v>0</v>
      </c>
      <c r="H149" s="16">
        <v>187254</v>
      </c>
      <c r="I149" s="17">
        <v>41046</v>
      </c>
      <c r="J149" s="14">
        <v>26348</v>
      </c>
      <c r="K149" s="14">
        <v>20472</v>
      </c>
      <c r="L149" s="14">
        <v>20351</v>
      </c>
      <c r="M149" s="14">
        <v>15330</v>
      </c>
      <c r="N149" s="14">
        <v>11388</v>
      </c>
      <c r="O149" s="14">
        <v>10412</v>
      </c>
      <c r="P149" s="14">
        <v>10022</v>
      </c>
      <c r="Q149" s="14">
        <v>8715</v>
      </c>
      <c r="R149" s="14">
        <v>8715</v>
      </c>
      <c r="S149" s="14">
        <v>7962</v>
      </c>
      <c r="T149" s="18">
        <v>6492</v>
      </c>
      <c r="U149" s="14">
        <v>3.0394242999999999E-3</v>
      </c>
      <c r="W149" s="39">
        <f t="shared" si="18"/>
        <v>569.14131844789995</v>
      </c>
      <c r="AB149" s="37" t="str">
        <f t="shared" si="19"/>
        <v>Rental</v>
      </c>
      <c r="AC149" s="36">
        <f t="shared" si="20"/>
        <v>124.7562098178</v>
      </c>
    </row>
    <row r="150" spans="1:29" x14ac:dyDescent="0.25">
      <c r="A150" s="7" t="s">
        <v>8</v>
      </c>
      <c r="B150" s="15" t="s">
        <v>73</v>
      </c>
      <c r="C150" s="7" t="s">
        <v>21</v>
      </c>
      <c r="D150" s="14">
        <v>0</v>
      </c>
      <c r="E150" s="14">
        <v>0</v>
      </c>
      <c r="F150" s="14">
        <v>0</v>
      </c>
      <c r="G150" s="14">
        <v>0</v>
      </c>
      <c r="H150" s="16">
        <v>41114</v>
      </c>
      <c r="I150" s="17">
        <v>38625</v>
      </c>
      <c r="J150" s="14">
        <v>0</v>
      </c>
      <c r="K150" s="14">
        <v>0</v>
      </c>
      <c r="L150" s="14">
        <v>2489</v>
      </c>
      <c r="M150" s="14">
        <v>0</v>
      </c>
      <c r="N150" s="14">
        <v>0</v>
      </c>
      <c r="O150" s="14">
        <v>0</v>
      </c>
      <c r="P150" s="14">
        <v>0</v>
      </c>
      <c r="Q150" s="14">
        <v>0</v>
      </c>
      <c r="R150" s="14">
        <v>0</v>
      </c>
      <c r="S150" s="14">
        <v>0</v>
      </c>
      <c r="T150" s="18">
        <v>0</v>
      </c>
      <c r="U150" s="14">
        <v>3.0394242999999999E-3</v>
      </c>
      <c r="W150" s="39">
        <f t="shared" si="18"/>
        <v>124.9628906702</v>
      </c>
      <c r="AB150" s="37"/>
    </row>
    <row r="151" spans="1:29" x14ac:dyDescent="0.25">
      <c r="A151" s="7" t="s">
        <v>8</v>
      </c>
      <c r="B151" s="15" t="s">
        <v>19</v>
      </c>
      <c r="C151" s="7" t="s">
        <v>21</v>
      </c>
      <c r="D151" s="14">
        <v>0</v>
      </c>
      <c r="E151" s="14">
        <v>0</v>
      </c>
      <c r="F151" s="14">
        <v>0</v>
      </c>
      <c r="G151" s="14">
        <v>0</v>
      </c>
      <c r="H151" s="16">
        <v>340005</v>
      </c>
      <c r="I151" s="17">
        <v>77641</v>
      </c>
      <c r="J151" s="14">
        <v>33602</v>
      </c>
      <c r="K151" s="14">
        <v>31988</v>
      </c>
      <c r="L151" s="14">
        <v>31614</v>
      </c>
      <c r="M151" s="14">
        <v>40880</v>
      </c>
      <c r="N151" s="14">
        <v>45723</v>
      </c>
      <c r="O151" s="14">
        <v>25491</v>
      </c>
      <c r="P151" s="14">
        <v>22463</v>
      </c>
      <c r="Q151" s="14">
        <v>11833</v>
      </c>
      <c r="R151" s="14">
        <v>8184</v>
      </c>
      <c r="S151" s="14">
        <v>5542</v>
      </c>
      <c r="T151" s="18">
        <v>5043</v>
      </c>
      <c r="U151" s="14">
        <v>3.0394242999999999E-3</v>
      </c>
      <c r="W151" s="39">
        <f t="shared" si="18"/>
        <v>1033.4164196971999</v>
      </c>
      <c r="AB151" s="37" t="str">
        <f t="shared" si="19"/>
        <v>Maintenance</v>
      </c>
      <c r="AC151" s="36">
        <f t="shared" si="20"/>
        <v>235.9839420763</v>
      </c>
    </row>
    <row r="152" spans="1:29" ht="13" thickBot="1" x14ac:dyDescent="0.3">
      <c r="A152" s="7" t="s">
        <v>8</v>
      </c>
      <c r="B152" s="19" t="s">
        <v>20</v>
      </c>
      <c r="C152" s="20" t="s">
        <v>21</v>
      </c>
      <c r="D152" s="21">
        <v>0</v>
      </c>
      <c r="E152" s="21">
        <v>0</v>
      </c>
      <c r="F152" s="21">
        <v>0</v>
      </c>
      <c r="G152" s="21">
        <v>0</v>
      </c>
      <c r="H152" s="22">
        <v>12046</v>
      </c>
      <c r="I152" s="23">
        <v>10394</v>
      </c>
      <c r="J152" s="21">
        <v>1652</v>
      </c>
      <c r="K152" s="21">
        <v>0</v>
      </c>
      <c r="L152" s="21">
        <v>0</v>
      </c>
      <c r="M152" s="21">
        <v>0</v>
      </c>
      <c r="N152" s="21">
        <v>0</v>
      </c>
      <c r="O152" s="21">
        <v>0</v>
      </c>
      <c r="P152" s="21">
        <v>0</v>
      </c>
      <c r="Q152" s="21">
        <v>0</v>
      </c>
      <c r="R152" s="21">
        <v>0</v>
      </c>
      <c r="S152" s="21">
        <v>0</v>
      </c>
      <c r="T152" s="24">
        <v>0</v>
      </c>
      <c r="U152" s="14">
        <v>3.0394242999999999E-3</v>
      </c>
      <c r="W152" s="39">
        <f t="shared" si="18"/>
        <v>36.612905117799997</v>
      </c>
      <c r="AB152" s="37" t="str">
        <f t="shared" si="19"/>
        <v>Startup</v>
      </c>
      <c r="AC152" s="36">
        <f t="shared" si="20"/>
        <v>31.5917761742</v>
      </c>
    </row>
    <row r="153" spans="1:29" ht="13" thickBot="1" x14ac:dyDescent="0.3">
      <c r="A153" s="20" t="s">
        <v>8</v>
      </c>
      <c r="B153" s="25" t="s">
        <v>12</v>
      </c>
      <c r="C153" s="26" t="s">
        <v>21</v>
      </c>
      <c r="D153" s="27">
        <v>0</v>
      </c>
      <c r="E153" s="27">
        <v>0</v>
      </c>
      <c r="F153" s="27">
        <v>0</v>
      </c>
      <c r="G153" s="27">
        <v>0</v>
      </c>
      <c r="H153" s="28">
        <v>668793</v>
      </c>
      <c r="I153" s="29">
        <v>249205</v>
      </c>
      <c r="J153" s="27">
        <v>63661</v>
      </c>
      <c r="K153" s="27">
        <v>52792</v>
      </c>
      <c r="L153" s="27">
        <v>55105</v>
      </c>
      <c r="M153" s="27">
        <v>57718</v>
      </c>
      <c r="N153" s="27">
        <v>57443</v>
      </c>
      <c r="O153" s="27">
        <v>36235</v>
      </c>
      <c r="P153" s="27">
        <v>32817</v>
      </c>
      <c r="Q153" s="27">
        <v>20880</v>
      </c>
      <c r="R153" s="27">
        <v>17231</v>
      </c>
      <c r="S153" s="27">
        <v>13836</v>
      </c>
      <c r="T153" s="29">
        <v>11867</v>
      </c>
      <c r="U153" s="14">
        <v>3.0394242999999999E-3</v>
      </c>
      <c r="W153" s="39">
        <f t="shared" si="18"/>
        <v>2032.736577597</v>
      </c>
      <c r="X153" s="35">
        <f>W152+W151+W148</f>
        <v>1249.1912296027999</v>
      </c>
      <c r="Y153" s="35">
        <f>W146</f>
        <v>0</v>
      </c>
      <c r="Z153" s="40">
        <f>V144/X153</f>
        <v>0</v>
      </c>
      <c r="AA153" s="40">
        <f>IF((Y153=0),0,Y145/Y153)</f>
        <v>0</v>
      </c>
      <c r="AB153" s="48"/>
      <c r="AC153" s="48"/>
    </row>
    <row r="154" spans="1:29" ht="13" thickBot="1" x14ac:dyDescent="0.3">
      <c r="A154" s="7" t="s">
        <v>78</v>
      </c>
      <c r="B154" s="30" t="s">
        <v>15</v>
      </c>
      <c r="C154" s="31" t="s">
        <v>46</v>
      </c>
      <c r="D154" s="32" t="s">
        <v>47</v>
      </c>
      <c r="E154" s="53">
        <v>45689</v>
      </c>
      <c r="F154" s="53">
        <v>45717</v>
      </c>
      <c r="G154" s="53">
        <v>45748</v>
      </c>
      <c r="H154" s="28" t="s">
        <v>12</v>
      </c>
      <c r="I154" s="54">
        <v>45778</v>
      </c>
      <c r="J154" s="53">
        <v>45809</v>
      </c>
      <c r="K154" s="53">
        <v>45839</v>
      </c>
      <c r="L154" s="53">
        <v>45870</v>
      </c>
      <c r="M154" s="53">
        <v>45901</v>
      </c>
      <c r="N154" s="53">
        <v>45931</v>
      </c>
      <c r="O154" s="53">
        <v>45962</v>
      </c>
      <c r="P154" s="53">
        <v>45992</v>
      </c>
      <c r="Q154" s="53">
        <v>46023</v>
      </c>
      <c r="R154" s="53">
        <v>46054</v>
      </c>
      <c r="S154" s="53">
        <v>46082</v>
      </c>
      <c r="T154" s="55">
        <v>46113</v>
      </c>
      <c r="U154" s="14">
        <v>1.175</v>
      </c>
      <c r="V154" s="14" t="s">
        <v>183</v>
      </c>
      <c r="W154" s="39">
        <f t="shared" si="18"/>
        <v>647840.95000000007</v>
      </c>
      <c r="X154" s="35"/>
      <c r="Y154" s="35"/>
      <c r="Z154" s="40"/>
      <c r="AA154" s="40"/>
      <c r="AB154" s="48"/>
      <c r="AC154" s="48"/>
    </row>
    <row r="155" spans="1:29" x14ac:dyDescent="0.25">
      <c r="A155" s="7" t="s">
        <v>78</v>
      </c>
      <c r="B155" s="8" t="s">
        <v>17</v>
      </c>
      <c r="C155" s="9" t="s">
        <v>18</v>
      </c>
      <c r="D155" s="10">
        <v>51</v>
      </c>
      <c r="E155" s="10">
        <v>64</v>
      </c>
      <c r="F155" s="10">
        <v>0</v>
      </c>
      <c r="G155" s="10">
        <v>10</v>
      </c>
      <c r="H155" s="11">
        <v>125</v>
      </c>
      <c r="I155" s="12">
        <v>0</v>
      </c>
      <c r="J155" s="10">
        <v>0</v>
      </c>
      <c r="K155" s="10">
        <v>0</v>
      </c>
      <c r="L155" s="10">
        <v>0</v>
      </c>
      <c r="M155" s="10">
        <v>0</v>
      </c>
      <c r="N155" s="10">
        <v>0</v>
      </c>
      <c r="O155" s="10">
        <v>0</v>
      </c>
      <c r="P155" s="10">
        <v>0</v>
      </c>
      <c r="Q155" s="10">
        <v>0</v>
      </c>
      <c r="R155" s="10">
        <v>0</v>
      </c>
      <c r="S155" s="10">
        <v>0</v>
      </c>
      <c r="T155" s="13">
        <v>0</v>
      </c>
      <c r="U155" s="14">
        <v>1.175</v>
      </c>
      <c r="V155" s="42">
        <f>SUM(I155:T155)/H155</f>
        <v>0</v>
      </c>
      <c r="W155" s="39">
        <f t="shared" si="18"/>
        <v>0</v>
      </c>
      <c r="X155" s="35"/>
      <c r="Y155" s="35"/>
      <c r="Z155" s="40"/>
      <c r="AA155" s="40"/>
      <c r="AB155" s="48"/>
      <c r="AC155" s="48"/>
    </row>
    <row r="156" spans="1:29" x14ac:dyDescent="0.25">
      <c r="A156" s="7" t="s">
        <v>78</v>
      </c>
      <c r="B156" s="15" t="s">
        <v>66</v>
      </c>
      <c r="C156" s="7" t="s">
        <v>18</v>
      </c>
      <c r="D156" s="14">
        <v>0</v>
      </c>
      <c r="E156" s="14">
        <v>0</v>
      </c>
      <c r="F156" s="14">
        <v>0</v>
      </c>
      <c r="G156" s="14">
        <v>40</v>
      </c>
      <c r="H156" s="16">
        <v>40</v>
      </c>
      <c r="I156" s="17">
        <v>0</v>
      </c>
      <c r="J156" s="14">
        <v>0</v>
      </c>
      <c r="K156" s="14">
        <v>0</v>
      </c>
      <c r="L156" s="14">
        <v>0</v>
      </c>
      <c r="M156" s="14">
        <v>0</v>
      </c>
      <c r="N156" s="14">
        <v>0</v>
      </c>
      <c r="O156" s="14">
        <v>0</v>
      </c>
      <c r="P156" s="14">
        <v>0</v>
      </c>
      <c r="Q156" s="14">
        <v>0</v>
      </c>
      <c r="R156" s="14">
        <v>0</v>
      </c>
      <c r="S156" s="14">
        <v>0</v>
      </c>
      <c r="T156" s="18">
        <v>0</v>
      </c>
      <c r="U156" s="14">
        <v>1.175</v>
      </c>
      <c r="V156" s="44"/>
      <c r="W156" s="39">
        <f t="shared" si="18"/>
        <v>0</v>
      </c>
      <c r="X156" s="35"/>
      <c r="Y156" s="35"/>
      <c r="Z156" s="40"/>
      <c r="AA156" s="40"/>
      <c r="AB156" s="48"/>
      <c r="AC156" s="48"/>
    </row>
    <row r="157" spans="1:29" x14ac:dyDescent="0.25">
      <c r="A157" s="7" t="s">
        <v>78</v>
      </c>
      <c r="B157" s="15" t="s">
        <v>13</v>
      </c>
      <c r="C157" s="7" t="s">
        <v>18</v>
      </c>
      <c r="D157" s="14">
        <v>0</v>
      </c>
      <c r="E157" s="14">
        <v>0</v>
      </c>
      <c r="F157" s="14">
        <v>0</v>
      </c>
      <c r="G157" s="14">
        <v>155</v>
      </c>
      <c r="H157" s="16">
        <v>158</v>
      </c>
      <c r="I157" s="17">
        <v>3</v>
      </c>
      <c r="J157" s="14">
        <v>0</v>
      </c>
      <c r="K157" s="14">
        <v>0</v>
      </c>
      <c r="L157" s="14">
        <v>0</v>
      </c>
      <c r="M157" s="14">
        <v>0</v>
      </c>
      <c r="N157" s="14">
        <v>0</v>
      </c>
      <c r="O157" s="14">
        <v>0</v>
      </c>
      <c r="P157" s="14">
        <v>0</v>
      </c>
      <c r="Q157" s="14">
        <v>0</v>
      </c>
      <c r="R157" s="14">
        <v>0</v>
      </c>
      <c r="S157" s="14">
        <v>0</v>
      </c>
      <c r="T157" s="18">
        <v>0</v>
      </c>
      <c r="U157" s="14">
        <v>1.175</v>
      </c>
      <c r="V157" s="41"/>
      <c r="W157" s="39">
        <f t="shared" si="18"/>
        <v>3.5250000000000004</v>
      </c>
      <c r="X157" s="35"/>
      <c r="Y157" s="35"/>
      <c r="Z157" s="40"/>
      <c r="AA157" s="40"/>
      <c r="AB157" s="48"/>
      <c r="AC157" s="48"/>
    </row>
    <row r="158" spans="1:29" x14ac:dyDescent="0.25">
      <c r="A158" s="7" t="s">
        <v>78</v>
      </c>
      <c r="B158" s="15" t="s">
        <v>67</v>
      </c>
      <c r="C158" s="7" t="s">
        <v>18</v>
      </c>
      <c r="D158" s="14">
        <v>0</v>
      </c>
      <c r="E158" s="14">
        <v>0</v>
      </c>
      <c r="F158" s="14">
        <v>0</v>
      </c>
      <c r="G158" s="14">
        <v>9</v>
      </c>
      <c r="H158" s="16">
        <v>76</v>
      </c>
      <c r="I158" s="17">
        <v>59</v>
      </c>
      <c r="J158" s="14">
        <v>0</v>
      </c>
      <c r="K158" s="14">
        <v>0</v>
      </c>
      <c r="L158" s="14">
        <v>0</v>
      </c>
      <c r="M158" s="14">
        <v>0</v>
      </c>
      <c r="N158" s="14">
        <v>8</v>
      </c>
      <c r="O158" s="14">
        <v>0</v>
      </c>
      <c r="P158" s="14">
        <v>0</v>
      </c>
      <c r="Q158" s="14">
        <v>0</v>
      </c>
      <c r="R158" s="14">
        <v>0</v>
      </c>
      <c r="S158" s="14">
        <v>0</v>
      </c>
      <c r="T158" s="18">
        <v>0</v>
      </c>
      <c r="U158" s="14">
        <v>1.175</v>
      </c>
      <c r="V158" s="41"/>
      <c r="W158" s="39">
        <f t="shared" si="18"/>
        <v>78.725000000000009</v>
      </c>
      <c r="X158" s="35"/>
      <c r="Y158" s="35"/>
      <c r="Z158" s="40"/>
      <c r="AA158" s="40"/>
      <c r="AB158" s="48"/>
      <c r="AC158" s="48"/>
    </row>
    <row r="159" spans="1:29" x14ac:dyDescent="0.25">
      <c r="A159" s="7" t="s">
        <v>78</v>
      </c>
      <c r="B159" s="15" t="s">
        <v>73</v>
      </c>
      <c r="C159" s="7" t="s">
        <v>18</v>
      </c>
      <c r="D159" s="14">
        <v>0</v>
      </c>
      <c r="E159" s="14">
        <v>0</v>
      </c>
      <c r="F159" s="14">
        <v>0</v>
      </c>
      <c r="G159" s="14">
        <v>109</v>
      </c>
      <c r="H159" s="16">
        <v>179</v>
      </c>
      <c r="I159" s="17">
        <v>70</v>
      </c>
      <c r="J159" s="14">
        <v>0</v>
      </c>
      <c r="K159" s="14">
        <v>0</v>
      </c>
      <c r="L159" s="14">
        <v>0</v>
      </c>
      <c r="M159" s="14">
        <v>0</v>
      </c>
      <c r="N159" s="14">
        <v>0</v>
      </c>
      <c r="O159" s="14">
        <v>0</v>
      </c>
      <c r="P159" s="14">
        <v>0</v>
      </c>
      <c r="Q159" s="14">
        <v>0</v>
      </c>
      <c r="R159" s="14">
        <v>0</v>
      </c>
      <c r="S159" s="14">
        <v>0</v>
      </c>
      <c r="T159" s="18">
        <v>0</v>
      </c>
      <c r="U159" s="14">
        <v>1.175</v>
      </c>
      <c r="V159" s="41"/>
      <c r="W159" s="39">
        <f t="shared" si="18"/>
        <v>82.25</v>
      </c>
      <c r="X159" s="35"/>
      <c r="Y159" s="35"/>
      <c r="Z159" s="40"/>
      <c r="AA159" s="40"/>
      <c r="AB159" s="48"/>
      <c r="AC159" s="48"/>
    </row>
    <row r="160" spans="1:29" x14ac:dyDescent="0.25">
      <c r="A160" s="7" t="s">
        <v>78</v>
      </c>
      <c r="B160" s="15" t="s">
        <v>19</v>
      </c>
      <c r="C160" s="7" t="s">
        <v>18</v>
      </c>
      <c r="D160" s="14">
        <v>0</v>
      </c>
      <c r="E160" s="14">
        <v>0</v>
      </c>
      <c r="F160" s="14">
        <v>0</v>
      </c>
      <c r="G160" s="14">
        <v>25</v>
      </c>
      <c r="H160" s="16">
        <v>25</v>
      </c>
      <c r="I160" s="17">
        <v>0</v>
      </c>
      <c r="J160" s="14">
        <v>0</v>
      </c>
      <c r="K160" s="14">
        <v>0</v>
      </c>
      <c r="L160" s="14">
        <v>0</v>
      </c>
      <c r="M160" s="14">
        <v>0</v>
      </c>
      <c r="N160" s="14">
        <v>0</v>
      </c>
      <c r="O160" s="14">
        <v>0</v>
      </c>
      <c r="P160" s="14">
        <v>0</v>
      </c>
      <c r="Q160" s="14">
        <v>0</v>
      </c>
      <c r="R160" s="14">
        <v>0</v>
      </c>
      <c r="S160" s="14">
        <v>0</v>
      </c>
      <c r="T160" s="18">
        <v>0</v>
      </c>
      <c r="U160" s="14">
        <v>1.175</v>
      </c>
      <c r="V160" s="41"/>
      <c r="W160" s="39">
        <f t="shared" si="18"/>
        <v>0</v>
      </c>
      <c r="X160" s="35"/>
      <c r="Y160" s="35"/>
      <c r="Z160" s="40"/>
      <c r="AA160" s="40"/>
      <c r="AB160" s="48"/>
      <c r="AC160" s="48"/>
    </row>
    <row r="161" spans="1:29" ht="13" thickBot="1" x14ac:dyDescent="0.3">
      <c r="A161" s="7" t="s">
        <v>78</v>
      </c>
      <c r="B161" s="19" t="s">
        <v>20</v>
      </c>
      <c r="C161" s="20" t="s">
        <v>18</v>
      </c>
      <c r="D161" s="21">
        <v>0</v>
      </c>
      <c r="E161" s="21">
        <v>0</v>
      </c>
      <c r="F161" s="21">
        <v>0</v>
      </c>
      <c r="G161" s="21">
        <v>1</v>
      </c>
      <c r="H161" s="22">
        <v>1</v>
      </c>
      <c r="I161" s="23">
        <v>0</v>
      </c>
      <c r="J161" s="21">
        <v>0</v>
      </c>
      <c r="K161" s="21">
        <v>0</v>
      </c>
      <c r="L161" s="21">
        <v>0</v>
      </c>
      <c r="M161" s="21">
        <v>0</v>
      </c>
      <c r="N161" s="21">
        <v>0</v>
      </c>
      <c r="O161" s="21">
        <v>0</v>
      </c>
      <c r="P161" s="21">
        <v>0</v>
      </c>
      <c r="Q161" s="21">
        <v>0</v>
      </c>
      <c r="R161" s="21">
        <v>0</v>
      </c>
      <c r="S161" s="21">
        <v>0</v>
      </c>
      <c r="T161" s="24">
        <v>0</v>
      </c>
      <c r="U161" s="14">
        <v>1.175</v>
      </c>
      <c r="V161" s="44"/>
      <c r="W161" s="39">
        <f t="shared" si="18"/>
        <v>0</v>
      </c>
      <c r="X161" s="35"/>
      <c r="Y161" s="35"/>
      <c r="Z161" s="40"/>
      <c r="AA161" s="40"/>
      <c r="AB161" s="48"/>
      <c r="AC161" s="48"/>
    </row>
    <row r="162" spans="1:29" ht="13" thickBot="1" x14ac:dyDescent="0.3">
      <c r="A162" s="7" t="s">
        <v>78</v>
      </c>
      <c r="B162" s="25" t="s">
        <v>12</v>
      </c>
      <c r="C162" s="26" t="s">
        <v>18</v>
      </c>
      <c r="D162" s="27">
        <v>51</v>
      </c>
      <c r="E162" s="27">
        <v>64</v>
      </c>
      <c r="F162" s="27">
        <v>0</v>
      </c>
      <c r="G162" s="27">
        <v>349</v>
      </c>
      <c r="H162" s="28">
        <v>604</v>
      </c>
      <c r="I162" s="29">
        <v>132</v>
      </c>
      <c r="J162" s="27">
        <v>0</v>
      </c>
      <c r="K162" s="27">
        <v>0</v>
      </c>
      <c r="L162" s="27">
        <v>0</v>
      </c>
      <c r="M162" s="27">
        <v>0</v>
      </c>
      <c r="N162" s="27">
        <v>8</v>
      </c>
      <c r="O162" s="27">
        <v>0</v>
      </c>
      <c r="P162" s="27">
        <v>0</v>
      </c>
      <c r="Q162" s="27">
        <v>0</v>
      </c>
      <c r="R162" s="27">
        <v>0</v>
      </c>
      <c r="S162" s="27">
        <v>0</v>
      </c>
      <c r="T162" s="29">
        <v>0</v>
      </c>
      <c r="U162" s="14">
        <v>1.175</v>
      </c>
      <c r="V162" s="43">
        <f>SUM(I157:T160)/SUM(H157:H160)</f>
        <v>0.31963470319634701</v>
      </c>
      <c r="W162" s="39">
        <f t="shared" si="18"/>
        <v>164.5</v>
      </c>
      <c r="X162" s="35"/>
      <c r="Y162" s="35"/>
      <c r="Z162" s="40"/>
      <c r="AA162" s="40"/>
      <c r="AB162" s="48"/>
      <c r="AC162" s="48"/>
    </row>
    <row r="163" spans="1:29" x14ac:dyDescent="0.25">
      <c r="A163" s="7" t="s">
        <v>78</v>
      </c>
      <c r="B163" s="8" t="s">
        <v>17</v>
      </c>
      <c r="C163" s="9" t="s">
        <v>21</v>
      </c>
      <c r="D163" s="10">
        <v>0</v>
      </c>
      <c r="E163" s="10">
        <v>0</v>
      </c>
      <c r="F163" s="10">
        <v>0</v>
      </c>
      <c r="G163" s="10">
        <v>0</v>
      </c>
      <c r="H163" s="11">
        <v>0</v>
      </c>
      <c r="I163" s="12">
        <v>0</v>
      </c>
      <c r="J163" s="10">
        <v>0</v>
      </c>
      <c r="K163" s="10">
        <v>0</v>
      </c>
      <c r="L163" s="10">
        <v>0</v>
      </c>
      <c r="M163" s="10">
        <v>0</v>
      </c>
      <c r="N163" s="10">
        <v>0</v>
      </c>
      <c r="O163" s="10">
        <v>0</v>
      </c>
      <c r="P163" s="10">
        <v>0</v>
      </c>
      <c r="Q163" s="10">
        <v>0</v>
      </c>
      <c r="R163" s="10">
        <v>0</v>
      </c>
      <c r="S163" s="10">
        <v>0</v>
      </c>
      <c r="T163" s="13">
        <v>0</v>
      </c>
      <c r="U163" s="14">
        <v>1.175</v>
      </c>
      <c r="W163" s="39">
        <f t="shared" si="18"/>
        <v>0</v>
      </c>
      <c r="X163" s="35"/>
      <c r="Y163" s="35"/>
      <c r="Z163" s="40"/>
      <c r="AA163" s="40"/>
      <c r="AB163" s="48"/>
      <c r="AC163" s="48"/>
    </row>
    <row r="164" spans="1:29" x14ac:dyDescent="0.25">
      <c r="A164" s="7" t="s">
        <v>78</v>
      </c>
      <c r="B164" s="15" t="s">
        <v>66</v>
      </c>
      <c r="C164" s="7" t="s">
        <v>21</v>
      </c>
      <c r="D164" s="14">
        <v>0</v>
      </c>
      <c r="E164" s="14">
        <v>0</v>
      </c>
      <c r="F164" s="14">
        <v>0</v>
      </c>
      <c r="G164" s="14">
        <v>0</v>
      </c>
      <c r="H164" s="16">
        <v>5</v>
      </c>
      <c r="I164" s="17">
        <v>5</v>
      </c>
      <c r="J164" s="14">
        <v>0</v>
      </c>
      <c r="K164" s="14">
        <v>0</v>
      </c>
      <c r="L164" s="14">
        <v>0</v>
      </c>
      <c r="M164" s="14">
        <v>0</v>
      </c>
      <c r="N164" s="14">
        <v>0</v>
      </c>
      <c r="O164" s="14">
        <v>0</v>
      </c>
      <c r="P164" s="14">
        <v>0</v>
      </c>
      <c r="Q164" s="14">
        <v>0</v>
      </c>
      <c r="R164" s="14">
        <v>0</v>
      </c>
      <c r="S164" s="14">
        <v>0</v>
      </c>
      <c r="T164" s="18">
        <v>0</v>
      </c>
      <c r="U164" s="14">
        <v>1.175</v>
      </c>
      <c r="W164" s="39">
        <f t="shared" si="18"/>
        <v>5.875</v>
      </c>
      <c r="X164" s="35"/>
      <c r="Y164" s="35"/>
      <c r="Z164" s="40"/>
      <c r="AA164" s="40"/>
      <c r="AB164" s="48"/>
      <c r="AC164" s="48"/>
    </row>
    <row r="165" spans="1:29" x14ac:dyDescent="0.25">
      <c r="A165" s="7" t="s">
        <v>78</v>
      </c>
      <c r="B165" s="15" t="s">
        <v>13</v>
      </c>
      <c r="C165" s="7" t="s">
        <v>21</v>
      </c>
      <c r="D165" s="14">
        <v>0</v>
      </c>
      <c r="E165" s="14">
        <v>0</v>
      </c>
      <c r="F165" s="14">
        <v>0</v>
      </c>
      <c r="G165" s="14">
        <v>0</v>
      </c>
      <c r="H165" s="16">
        <v>49</v>
      </c>
      <c r="I165" s="17">
        <v>49</v>
      </c>
      <c r="J165" s="14">
        <v>0</v>
      </c>
      <c r="K165" s="14">
        <v>0</v>
      </c>
      <c r="L165" s="14">
        <v>0</v>
      </c>
      <c r="M165" s="14">
        <v>0</v>
      </c>
      <c r="N165" s="14">
        <v>0</v>
      </c>
      <c r="O165" s="14">
        <v>0</v>
      </c>
      <c r="P165" s="14">
        <v>0</v>
      </c>
      <c r="Q165" s="14">
        <v>0</v>
      </c>
      <c r="R165" s="14">
        <v>0</v>
      </c>
      <c r="S165" s="14">
        <v>0</v>
      </c>
      <c r="T165" s="18">
        <v>0</v>
      </c>
      <c r="U165" s="14">
        <v>1.175</v>
      </c>
      <c r="W165" s="39">
        <f t="shared" si="18"/>
        <v>57.575000000000003</v>
      </c>
      <c r="X165" s="35"/>
      <c r="Y165" s="35"/>
      <c r="Z165" s="40"/>
      <c r="AA165" s="40"/>
      <c r="AB165" s="48"/>
      <c r="AC165" s="48"/>
    </row>
    <row r="166" spans="1:29" x14ac:dyDescent="0.25">
      <c r="A166" s="7" t="s">
        <v>78</v>
      </c>
      <c r="B166" s="15" t="s">
        <v>67</v>
      </c>
      <c r="C166" s="7" t="s">
        <v>21</v>
      </c>
      <c r="D166" s="14">
        <v>0</v>
      </c>
      <c r="E166" s="14">
        <v>0</v>
      </c>
      <c r="F166" s="14">
        <v>0</v>
      </c>
      <c r="G166" s="14">
        <v>0</v>
      </c>
      <c r="H166" s="16">
        <v>0</v>
      </c>
      <c r="I166" s="17">
        <v>0</v>
      </c>
      <c r="J166" s="14">
        <v>0</v>
      </c>
      <c r="K166" s="14">
        <v>0</v>
      </c>
      <c r="L166" s="14">
        <v>0</v>
      </c>
      <c r="M166" s="14">
        <v>0</v>
      </c>
      <c r="N166" s="14">
        <v>0</v>
      </c>
      <c r="O166" s="14">
        <v>0</v>
      </c>
      <c r="P166" s="14">
        <v>0</v>
      </c>
      <c r="Q166" s="14">
        <v>0</v>
      </c>
      <c r="R166" s="14">
        <v>0</v>
      </c>
      <c r="S166" s="14">
        <v>0</v>
      </c>
      <c r="T166" s="18">
        <v>0</v>
      </c>
      <c r="U166" s="14">
        <v>1.175</v>
      </c>
      <c r="W166" s="39">
        <f t="shared" si="18"/>
        <v>0</v>
      </c>
      <c r="X166" s="35"/>
      <c r="Y166" s="35"/>
      <c r="Z166" s="40"/>
      <c r="AA166" s="40"/>
      <c r="AB166" s="48"/>
      <c r="AC166" s="48"/>
    </row>
    <row r="167" spans="1:29" x14ac:dyDescent="0.25">
      <c r="A167" s="7" t="s">
        <v>78</v>
      </c>
      <c r="B167" s="15" t="s">
        <v>73</v>
      </c>
      <c r="C167" s="7" t="s">
        <v>21</v>
      </c>
      <c r="D167" s="14">
        <v>0</v>
      </c>
      <c r="E167" s="14">
        <v>0</v>
      </c>
      <c r="F167" s="14">
        <v>0</v>
      </c>
      <c r="G167" s="14">
        <v>0</v>
      </c>
      <c r="H167" s="16">
        <v>13</v>
      </c>
      <c r="I167" s="17">
        <v>13</v>
      </c>
      <c r="J167" s="14">
        <v>0</v>
      </c>
      <c r="K167" s="14">
        <v>0</v>
      </c>
      <c r="L167" s="14">
        <v>0</v>
      </c>
      <c r="M167" s="14">
        <v>0</v>
      </c>
      <c r="N167" s="14">
        <v>0</v>
      </c>
      <c r="O167" s="14">
        <v>0</v>
      </c>
      <c r="P167" s="14">
        <v>0</v>
      </c>
      <c r="Q167" s="14">
        <v>0</v>
      </c>
      <c r="R167" s="14">
        <v>0</v>
      </c>
      <c r="S167" s="14">
        <v>0</v>
      </c>
      <c r="T167" s="18">
        <v>0</v>
      </c>
      <c r="U167" s="14">
        <v>1.175</v>
      </c>
      <c r="W167" s="39">
        <f t="shared" si="18"/>
        <v>15.275</v>
      </c>
      <c r="X167" s="35"/>
      <c r="Y167" s="35"/>
      <c r="Z167" s="40"/>
      <c r="AA167" s="40"/>
      <c r="AB167" s="48"/>
      <c r="AC167" s="48"/>
    </row>
    <row r="168" spans="1:29" x14ac:dyDescent="0.25">
      <c r="A168" s="7" t="s">
        <v>78</v>
      </c>
      <c r="B168" s="15" t="s">
        <v>19</v>
      </c>
      <c r="C168" s="7" t="s">
        <v>21</v>
      </c>
      <c r="D168" s="14">
        <v>0</v>
      </c>
      <c r="E168" s="14">
        <v>0</v>
      </c>
      <c r="F168" s="14">
        <v>0</v>
      </c>
      <c r="G168" s="14">
        <v>0</v>
      </c>
      <c r="H168" s="16">
        <v>48</v>
      </c>
      <c r="I168" s="17">
        <v>13</v>
      </c>
      <c r="J168" s="14">
        <v>2</v>
      </c>
      <c r="K168" s="14">
        <v>2</v>
      </c>
      <c r="L168" s="14">
        <v>2</v>
      </c>
      <c r="M168" s="14">
        <v>5</v>
      </c>
      <c r="N168" s="14">
        <v>9</v>
      </c>
      <c r="O168" s="14">
        <v>2</v>
      </c>
      <c r="P168" s="14">
        <v>2</v>
      </c>
      <c r="Q168" s="14">
        <v>2</v>
      </c>
      <c r="R168" s="14">
        <v>2</v>
      </c>
      <c r="S168" s="14">
        <v>3</v>
      </c>
      <c r="T168" s="18">
        <v>4</v>
      </c>
      <c r="U168" s="14">
        <v>1.175</v>
      </c>
      <c r="W168" s="39">
        <f t="shared" si="18"/>
        <v>56.400000000000006</v>
      </c>
      <c r="X168" s="35"/>
      <c r="Y168" s="35"/>
      <c r="Z168" s="40"/>
      <c r="AA168" s="40"/>
      <c r="AB168" s="48"/>
      <c r="AC168" s="48"/>
    </row>
    <row r="169" spans="1:29" ht="13" thickBot="1" x14ac:dyDescent="0.3">
      <c r="A169" s="7" t="s">
        <v>78</v>
      </c>
      <c r="B169" s="19" t="s">
        <v>20</v>
      </c>
      <c r="C169" s="20" t="s">
        <v>21</v>
      </c>
      <c r="D169" s="21">
        <v>0</v>
      </c>
      <c r="E169" s="21">
        <v>0</v>
      </c>
      <c r="F169" s="21">
        <v>0</v>
      </c>
      <c r="G169" s="21">
        <v>0</v>
      </c>
      <c r="H169" s="22">
        <v>1</v>
      </c>
      <c r="I169" s="23">
        <v>1</v>
      </c>
      <c r="J169" s="21">
        <v>0</v>
      </c>
      <c r="K169" s="21">
        <v>0</v>
      </c>
      <c r="L169" s="21">
        <v>0</v>
      </c>
      <c r="M169" s="21">
        <v>0</v>
      </c>
      <c r="N169" s="21">
        <v>0</v>
      </c>
      <c r="O169" s="21">
        <v>0</v>
      </c>
      <c r="P169" s="21">
        <v>0</v>
      </c>
      <c r="Q169" s="21">
        <v>0</v>
      </c>
      <c r="R169" s="21">
        <v>0</v>
      </c>
      <c r="S169" s="21">
        <v>0</v>
      </c>
      <c r="T169" s="24">
        <v>0</v>
      </c>
      <c r="U169" s="14">
        <v>1.175</v>
      </c>
      <c r="W169" s="39">
        <f t="shared" si="18"/>
        <v>1.175</v>
      </c>
      <c r="X169" s="35"/>
      <c r="Y169" s="35"/>
      <c r="Z169" s="40"/>
      <c r="AA169" s="40"/>
      <c r="AB169" s="48"/>
      <c r="AC169" s="48"/>
    </row>
    <row r="170" spans="1:29" ht="13" thickBot="1" x14ac:dyDescent="0.3">
      <c r="A170" s="7" t="s">
        <v>78</v>
      </c>
      <c r="B170" s="25" t="s">
        <v>12</v>
      </c>
      <c r="C170" s="26" t="s">
        <v>21</v>
      </c>
      <c r="D170" s="27">
        <v>0</v>
      </c>
      <c r="E170" s="27">
        <v>0</v>
      </c>
      <c r="F170" s="27">
        <v>0</v>
      </c>
      <c r="G170" s="27">
        <v>0</v>
      </c>
      <c r="H170" s="28">
        <v>115</v>
      </c>
      <c r="I170" s="29">
        <v>80</v>
      </c>
      <c r="J170" s="27">
        <v>2</v>
      </c>
      <c r="K170" s="27">
        <v>2</v>
      </c>
      <c r="L170" s="27">
        <v>2</v>
      </c>
      <c r="M170" s="27">
        <v>5</v>
      </c>
      <c r="N170" s="27">
        <v>9</v>
      </c>
      <c r="O170" s="27">
        <v>2</v>
      </c>
      <c r="P170" s="27">
        <v>2</v>
      </c>
      <c r="Q170" s="27">
        <v>2</v>
      </c>
      <c r="R170" s="27">
        <v>2</v>
      </c>
      <c r="S170" s="27">
        <v>3</v>
      </c>
      <c r="T170" s="29">
        <v>4</v>
      </c>
      <c r="U170" s="14">
        <v>1.175</v>
      </c>
      <c r="W170" s="39">
        <f t="shared" si="18"/>
        <v>135.125</v>
      </c>
      <c r="X170" s="35"/>
      <c r="Y170" s="35"/>
      <c r="Z170" s="40"/>
      <c r="AA170" s="40"/>
      <c r="AB170" s="48"/>
      <c r="AC170" s="48"/>
    </row>
    <row r="171" spans="1:29" ht="13" thickBot="1" x14ac:dyDescent="0.3">
      <c r="A171" s="9" t="s">
        <v>14</v>
      </c>
      <c r="B171" s="30" t="s">
        <v>15</v>
      </c>
      <c r="C171" s="31" t="s">
        <v>94</v>
      </c>
      <c r="D171" s="32" t="s">
        <v>47</v>
      </c>
      <c r="E171" s="53" t="s">
        <v>116</v>
      </c>
      <c r="F171" s="53" t="s">
        <v>117</v>
      </c>
      <c r="G171" s="53" t="s">
        <v>118</v>
      </c>
      <c r="H171" s="28" t="s">
        <v>12</v>
      </c>
      <c r="I171" s="54" t="s">
        <v>119</v>
      </c>
      <c r="J171" s="53" t="s">
        <v>174</v>
      </c>
      <c r="K171" s="53" t="s">
        <v>175</v>
      </c>
      <c r="L171" s="53" t="s">
        <v>99</v>
      </c>
      <c r="M171" s="53" t="s">
        <v>100</v>
      </c>
      <c r="N171" s="53" t="s">
        <v>101</v>
      </c>
      <c r="O171" s="53" t="s">
        <v>102</v>
      </c>
      <c r="P171" s="53" t="s">
        <v>103</v>
      </c>
      <c r="Q171" s="53" t="s">
        <v>104</v>
      </c>
      <c r="R171" s="53" t="s">
        <v>105</v>
      </c>
      <c r="S171" s="53" t="s">
        <v>106</v>
      </c>
      <c r="T171" s="55" t="s">
        <v>107</v>
      </c>
      <c r="U171" s="14">
        <v>4.8000000000000001E-2</v>
      </c>
      <c r="V171" s="14" t="s">
        <v>183</v>
      </c>
      <c r="W171" s="39">
        <f t="shared" si="18"/>
        <v>0</v>
      </c>
      <c r="X171" s="14" t="s">
        <v>37</v>
      </c>
      <c r="Y171" s="14" t="s">
        <v>38</v>
      </c>
      <c r="AB171" s="48"/>
      <c r="AC171" s="48"/>
    </row>
    <row r="172" spans="1:29" x14ac:dyDescent="0.25">
      <c r="A172" s="7" t="s">
        <v>14</v>
      </c>
      <c r="B172" s="8" t="s">
        <v>17</v>
      </c>
      <c r="C172" s="9" t="s">
        <v>18</v>
      </c>
      <c r="D172" s="10">
        <v>0</v>
      </c>
      <c r="E172" s="10">
        <v>0</v>
      </c>
      <c r="F172" s="10">
        <v>0</v>
      </c>
      <c r="G172" s="10">
        <v>0</v>
      </c>
      <c r="H172" s="11">
        <v>0</v>
      </c>
      <c r="I172" s="12">
        <v>0</v>
      </c>
      <c r="J172" s="10">
        <v>0</v>
      </c>
      <c r="K172" s="10">
        <v>0</v>
      </c>
      <c r="L172" s="10">
        <v>0</v>
      </c>
      <c r="M172" s="10">
        <v>0</v>
      </c>
      <c r="N172" s="10">
        <v>0</v>
      </c>
      <c r="O172" s="10">
        <v>0</v>
      </c>
      <c r="P172" s="10">
        <v>0</v>
      </c>
      <c r="Q172" s="10">
        <v>0</v>
      </c>
      <c r="R172" s="10">
        <v>0</v>
      </c>
      <c r="S172" s="10">
        <v>0</v>
      </c>
      <c r="T172" s="13">
        <v>0</v>
      </c>
      <c r="U172" s="14">
        <v>4.8000000000000001E-2</v>
      </c>
      <c r="V172" s="42" t="e">
        <f>SUM(I172:T172)/H172</f>
        <v>#DIV/0!</v>
      </c>
      <c r="W172" s="39">
        <f t="shared" si="18"/>
        <v>0</v>
      </c>
    </row>
    <row r="173" spans="1:29" x14ac:dyDescent="0.25">
      <c r="A173" s="7" t="s">
        <v>14</v>
      </c>
      <c r="B173" s="15" t="s">
        <v>66</v>
      </c>
      <c r="C173" s="7" t="s">
        <v>18</v>
      </c>
      <c r="D173" s="14">
        <v>0</v>
      </c>
      <c r="E173" s="14">
        <v>0</v>
      </c>
      <c r="F173" s="14">
        <v>0</v>
      </c>
      <c r="G173" s="14">
        <v>0</v>
      </c>
      <c r="H173" s="16">
        <v>0</v>
      </c>
      <c r="I173" s="17">
        <v>0</v>
      </c>
      <c r="J173" s="14">
        <v>0</v>
      </c>
      <c r="K173" s="14">
        <v>0</v>
      </c>
      <c r="L173" s="14">
        <v>0</v>
      </c>
      <c r="M173" s="14">
        <v>0</v>
      </c>
      <c r="N173" s="14">
        <v>0</v>
      </c>
      <c r="O173" s="14">
        <v>0</v>
      </c>
      <c r="P173" s="14">
        <v>0</v>
      </c>
      <c r="Q173" s="14">
        <v>0</v>
      </c>
      <c r="R173" s="14">
        <v>0</v>
      </c>
      <c r="S173" s="14">
        <v>0</v>
      </c>
      <c r="T173" s="18">
        <v>0</v>
      </c>
      <c r="U173" s="14">
        <v>4.8000000000000001E-2</v>
      </c>
      <c r="V173" s="44"/>
      <c r="W173" s="39">
        <f t="shared" si="18"/>
        <v>0</v>
      </c>
    </row>
    <row r="174" spans="1:29" x14ac:dyDescent="0.25">
      <c r="A174" s="7" t="s">
        <v>14</v>
      </c>
      <c r="B174" s="15" t="s">
        <v>13</v>
      </c>
      <c r="C174" s="7" t="s">
        <v>18</v>
      </c>
      <c r="D174" s="14">
        <v>0</v>
      </c>
      <c r="E174" s="14">
        <v>108</v>
      </c>
      <c r="F174" s="14">
        <v>0</v>
      </c>
      <c r="G174" s="14">
        <v>10</v>
      </c>
      <c r="H174" s="16">
        <v>12320</v>
      </c>
      <c r="I174" s="17">
        <v>6581</v>
      </c>
      <c r="J174" s="14">
        <v>5622</v>
      </c>
      <c r="K174" s="14">
        <v>0</v>
      </c>
      <c r="L174" s="14">
        <v>0</v>
      </c>
      <c r="M174" s="14">
        <v>0</v>
      </c>
      <c r="N174" s="14">
        <v>0</v>
      </c>
      <c r="O174" s="14">
        <v>0</v>
      </c>
      <c r="P174" s="14">
        <v>0</v>
      </c>
      <c r="Q174" s="14">
        <v>0</v>
      </c>
      <c r="R174" s="14">
        <v>0</v>
      </c>
      <c r="S174" s="14">
        <v>0</v>
      </c>
      <c r="T174" s="18">
        <v>0</v>
      </c>
      <c r="U174" s="14">
        <v>4.8000000000000001E-2</v>
      </c>
      <c r="V174" s="41"/>
      <c r="W174" s="39">
        <f t="shared" si="18"/>
        <v>585.74400000000003</v>
      </c>
    </row>
    <row r="175" spans="1:29" x14ac:dyDescent="0.25">
      <c r="A175" s="7" t="s">
        <v>14</v>
      </c>
      <c r="B175" s="15" t="s">
        <v>67</v>
      </c>
      <c r="C175" s="7" t="s">
        <v>18</v>
      </c>
      <c r="D175" s="14">
        <v>0</v>
      </c>
      <c r="E175" s="14">
        <v>0</v>
      </c>
      <c r="F175" s="14">
        <v>0</v>
      </c>
      <c r="G175" s="14">
        <v>240</v>
      </c>
      <c r="H175" s="16">
        <v>13372</v>
      </c>
      <c r="I175" s="17">
        <v>5441</v>
      </c>
      <c r="J175" s="14">
        <v>3200</v>
      </c>
      <c r="K175" s="14">
        <v>488</v>
      </c>
      <c r="L175" s="14">
        <v>0</v>
      </c>
      <c r="M175" s="14">
        <v>0</v>
      </c>
      <c r="N175" s="14">
        <v>0</v>
      </c>
      <c r="O175" s="14">
        <v>485</v>
      </c>
      <c r="P175" s="14">
        <v>3518</v>
      </c>
      <c r="Q175" s="14">
        <v>0</v>
      </c>
      <c r="R175" s="14">
        <v>0</v>
      </c>
      <c r="S175" s="14">
        <v>0</v>
      </c>
      <c r="T175" s="18">
        <v>0</v>
      </c>
      <c r="U175" s="14">
        <v>4.8000000000000001E-2</v>
      </c>
      <c r="V175" s="41"/>
      <c r="W175" s="39">
        <f t="shared" si="18"/>
        <v>630.33600000000001</v>
      </c>
    </row>
    <row r="176" spans="1:29" x14ac:dyDescent="0.25">
      <c r="A176" s="7" t="s">
        <v>14</v>
      </c>
      <c r="B176" s="15" t="s">
        <v>73</v>
      </c>
      <c r="C176" s="7" t="s">
        <v>18</v>
      </c>
      <c r="D176" s="14">
        <v>0</v>
      </c>
      <c r="E176" s="14">
        <v>0</v>
      </c>
      <c r="F176" s="14">
        <v>0</v>
      </c>
      <c r="G176" s="14">
        <v>365</v>
      </c>
      <c r="H176" s="16">
        <v>72523</v>
      </c>
      <c r="I176" s="17">
        <v>45722</v>
      </c>
      <c r="J176" s="14">
        <v>25942</v>
      </c>
      <c r="K176" s="14">
        <v>193</v>
      </c>
      <c r="L176" s="14">
        <v>223</v>
      </c>
      <c r="M176" s="14">
        <v>0</v>
      </c>
      <c r="N176" s="14">
        <v>77</v>
      </c>
      <c r="O176" s="14">
        <v>0</v>
      </c>
      <c r="P176" s="14">
        <v>0</v>
      </c>
      <c r="Q176" s="14">
        <v>0</v>
      </c>
      <c r="R176" s="14">
        <v>0</v>
      </c>
      <c r="S176" s="14">
        <v>0</v>
      </c>
      <c r="T176" s="18">
        <v>0</v>
      </c>
      <c r="U176" s="14">
        <v>4.8000000000000001E-2</v>
      </c>
      <c r="V176" s="41"/>
      <c r="W176" s="39">
        <f t="shared" si="18"/>
        <v>3463.5360000000001</v>
      </c>
    </row>
    <row r="177" spans="1:29" x14ac:dyDescent="0.25">
      <c r="A177" s="7" t="s">
        <v>14</v>
      </c>
      <c r="B177" s="15" t="s">
        <v>19</v>
      </c>
      <c r="C177" s="7" t="s">
        <v>18</v>
      </c>
      <c r="D177" s="14">
        <v>0</v>
      </c>
      <c r="E177" s="14">
        <v>0</v>
      </c>
      <c r="F177" s="14">
        <v>0</v>
      </c>
      <c r="G177" s="14">
        <v>172</v>
      </c>
      <c r="H177" s="16">
        <v>10780</v>
      </c>
      <c r="I177" s="17">
        <v>8349</v>
      </c>
      <c r="J177" s="14">
        <v>2139</v>
      </c>
      <c r="K177" s="14">
        <v>0</v>
      </c>
      <c r="L177" s="14">
        <v>0</v>
      </c>
      <c r="M177" s="14">
        <v>0</v>
      </c>
      <c r="N177" s="14">
        <v>0</v>
      </c>
      <c r="O177" s="14">
        <v>121</v>
      </c>
      <c r="P177" s="14">
        <v>0</v>
      </c>
      <c r="Q177" s="14">
        <v>0</v>
      </c>
      <c r="R177" s="14">
        <v>0</v>
      </c>
      <c r="S177" s="14">
        <v>0</v>
      </c>
      <c r="T177" s="18">
        <v>0</v>
      </c>
      <c r="U177" s="14">
        <v>4.8000000000000001E-2</v>
      </c>
      <c r="V177" s="41"/>
      <c r="W177" s="39">
        <f t="shared" si="18"/>
        <v>509.23200000000003</v>
      </c>
    </row>
    <row r="178" spans="1:29" ht="13" thickBot="1" x14ac:dyDescent="0.3">
      <c r="A178" s="7" t="s">
        <v>14</v>
      </c>
      <c r="B178" s="19" t="s">
        <v>20</v>
      </c>
      <c r="C178" s="20" t="s">
        <v>18</v>
      </c>
      <c r="D178" s="21">
        <v>0</v>
      </c>
      <c r="E178" s="21">
        <v>0</v>
      </c>
      <c r="F178" s="21">
        <v>0</v>
      </c>
      <c r="G178" s="21">
        <v>0</v>
      </c>
      <c r="H178" s="22">
        <v>38</v>
      </c>
      <c r="I178" s="23">
        <v>38</v>
      </c>
      <c r="J178" s="21">
        <v>0</v>
      </c>
      <c r="K178" s="21">
        <v>0</v>
      </c>
      <c r="L178" s="21">
        <v>0</v>
      </c>
      <c r="M178" s="21">
        <v>0</v>
      </c>
      <c r="N178" s="21">
        <v>0</v>
      </c>
      <c r="O178" s="21">
        <v>0</v>
      </c>
      <c r="P178" s="21">
        <v>0</v>
      </c>
      <c r="Q178" s="21">
        <v>0</v>
      </c>
      <c r="R178" s="21">
        <v>0</v>
      </c>
      <c r="S178" s="21">
        <v>0</v>
      </c>
      <c r="T178" s="24">
        <v>0</v>
      </c>
      <c r="U178" s="14">
        <v>4.8000000000000001E-2</v>
      </c>
      <c r="V178" s="44"/>
      <c r="W178" s="39">
        <f t="shared" si="18"/>
        <v>1.8240000000000001</v>
      </c>
    </row>
    <row r="179" spans="1:29" ht="13" thickBot="1" x14ac:dyDescent="0.3">
      <c r="A179" s="7" t="s">
        <v>14</v>
      </c>
      <c r="B179" s="25" t="s">
        <v>12</v>
      </c>
      <c r="C179" s="26" t="s">
        <v>18</v>
      </c>
      <c r="D179" s="27">
        <v>0</v>
      </c>
      <c r="E179" s="27">
        <v>108</v>
      </c>
      <c r="F179" s="27">
        <v>0</v>
      </c>
      <c r="G179" s="27">
        <v>787</v>
      </c>
      <c r="H179" s="28">
        <v>109033</v>
      </c>
      <c r="I179" s="29">
        <v>66131</v>
      </c>
      <c r="J179" s="27">
        <v>36903</v>
      </c>
      <c r="K179" s="27">
        <v>681</v>
      </c>
      <c r="L179" s="27">
        <v>223</v>
      </c>
      <c r="M179" s="27">
        <v>0</v>
      </c>
      <c r="N179" s="27">
        <v>77</v>
      </c>
      <c r="O179" s="27">
        <v>606</v>
      </c>
      <c r="P179" s="27">
        <v>3518</v>
      </c>
      <c r="Q179" s="27">
        <v>0</v>
      </c>
      <c r="R179" s="27">
        <v>0</v>
      </c>
      <c r="S179" s="27">
        <v>0</v>
      </c>
      <c r="T179" s="29">
        <v>0</v>
      </c>
      <c r="U179" s="14">
        <v>4.8000000000000001E-2</v>
      </c>
      <c r="V179" s="43">
        <f>SUM(I174:T177)/SUM(H174:H177)</f>
        <v>0.99179778888939862</v>
      </c>
      <c r="W179" s="39">
        <f t="shared" si="18"/>
        <v>5190.6720000000005</v>
      </c>
      <c r="X179" s="35">
        <f>W177+W174</f>
        <v>1094.9760000000001</v>
      </c>
      <c r="Y179" s="35">
        <f>W172</f>
        <v>0</v>
      </c>
    </row>
    <row r="180" spans="1:29" x14ac:dyDescent="0.25">
      <c r="A180" s="7" t="s">
        <v>14</v>
      </c>
      <c r="B180" s="8" t="s">
        <v>17</v>
      </c>
      <c r="C180" s="9" t="s">
        <v>21</v>
      </c>
      <c r="D180" s="10">
        <v>0</v>
      </c>
      <c r="E180" s="10">
        <v>0</v>
      </c>
      <c r="F180" s="10">
        <v>0</v>
      </c>
      <c r="G180" s="10">
        <v>0</v>
      </c>
      <c r="H180" s="11">
        <v>0</v>
      </c>
      <c r="I180" s="12">
        <v>0</v>
      </c>
      <c r="J180" s="10">
        <v>0</v>
      </c>
      <c r="K180" s="10">
        <v>0</v>
      </c>
      <c r="L180" s="10">
        <v>0</v>
      </c>
      <c r="M180" s="10">
        <v>0</v>
      </c>
      <c r="N180" s="10">
        <v>0</v>
      </c>
      <c r="O180" s="10">
        <v>0</v>
      </c>
      <c r="P180" s="10">
        <v>0</v>
      </c>
      <c r="Q180" s="10">
        <v>0</v>
      </c>
      <c r="R180" s="10">
        <v>0</v>
      </c>
      <c r="S180" s="10">
        <v>0</v>
      </c>
      <c r="T180" s="13">
        <v>0</v>
      </c>
      <c r="U180" s="14">
        <v>4.8000000000000001E-2</v>
      </c>
      <c r="W180" s="39">
        <f t="shared" si="18"/>
        <v>0</v>
      </c>
      <c r="AB180" s="37" t="str">
        <f t="shared" ref="AB180:AB186" si="21">B180</f>
        <v>Parts-OTC</v>
      </c>
      <c r="AC180" s="36">
        <f t="shared" ref="AC180:AC186" si="22">I180*U180</f>
        <v>0</v>
      </c>
    </row>
    <row r="181" spans="1:29" x14ac:dyDescent="0.25">
      <c r="A181" s="7" t="s">
        <v>14</v>
      </c>
      <c r="B181" s="15" t="s">
        <v>66</v>
      </c>
      <c r="C181" s="7" t="s">
        <v>21</v>
      </c>
      <c r="D181" s="14">
        <v>0</v>
      </c>
      <c r="E181" s="14">
        <v>0</v>
      </c>
      <c r="F181" s="14">
        <v>0</v>
      </c>
      <c r="G181" s="14">
        <v>0</v>
      </c>
      <c r="H181" s="16">
        <v>0</v>
      </c>
      <c r="I181" s="17">
        <v>0</v>
      </c>
      <c r="J181" s="14">
        <v>0</v>
      </c>
      <c r="K181" s="14">
        <v>0</v>
      </c>
      <c r="L181" s="14">
        <v>0</v>
      </c>
      <c r="M181" s="14">
        <v>0</v>
      </c>
      <c r="N181" s="14">
        <v>0</v>
      </c>
      <c r="O181" s="14">
        <v>0</v>
      </c>
      <c r="P181" s="14">
        <v>0</v>
      </c>
      <c r="Q181" s="14">
        <v>0</v>
      </c>
      <c r="R181" s="14">
        <v>0</v>
      </c>
      <c r="S181" s="14">
        <v>0</v>
      </c>
      <c r="T181" s="18">
        <v>0</v>
      </c>
      <c r="U181" s="14">
        <v>4.8000000000000001E-2</v>
      </c>
      <c r="W181" s="39">
        <f t="shared" si="18"/>
        <v>0</v>
      </c>
      <c r="AB181" s="37" t="str">
        <f t="shared" si="21"/>
        <v>CTKS</v>
      </c>
      <c r="AC181" s="36">
        <f t="shared" si="22"/>
        <v>0</v>
      </c>
    </row>
    <row r="182" spans="1:29" x14ac:dyDescent="0.25">
      <c r="A182" s="7" t="s">
        <v>14</v>
      </c>
      <c r="B182" s="15" t="s">
        <v>13</v>
      </c>
      <c r="C182" s="7" t="s">
        <v>21</v>
      </c>
      <c r="D182" s="14">
        <v>0</v>
      </c>
      <c r="E182" s="14">
        <v>0</v>
      </c>
      <c r="F182" s="14">
        <v>0</v>
      </c>
      <c r="G182" s="14">
        <v>0</v>
      </c>
      <c r="H182" s="16">
        <v>3396</v>
      </c>
      <c r="I182" s="17">
        <v>2868</v>
      </c>
      <c r="J182" s="14">
        <v>446</v>
      </c>
      <c r="K182" s="14">
        <v>8</v>
      </c>
      <c r="L182" s="14">
        <v>74</v>
      </c>
      <c r="M182" s="14">
        <v>0</v>
      </c>
      <c r="N182" s="14">
        <v>0</v>
      </c>
      <c r="O182" s="14">
        <v>0</v>
      </c>
      <c r="P182" s="14">
        <v>0</v>
      </c>
      <c r="Q182" s="14">
        <v>0</v>
      </c>
      <c r="R182" s="14">
        <v>0</v>
      </c>
      <c r="S182" s="14">
        <v>0</v>
      </c>
      <c r="T182" s="18">
        <v>0</v>
      </c>
      <c r="U182" s="14">
        <v>4.8000000000000001E-2</v>
      </c>
      <c r="W182" s="39">
        <f t="shared" si="18"/>
        <v>163.00800000000001</v>
      </c>
      <c r="AB182" s="37" t="str">
        <f t="shared" si="21"/>
        <v>Repair</v>
      </c>
      <c r="AC182" s="36">
        <f t="shared" si="22"/>
        <v>137.66400000000002</v>
      </c>
    </row>
    <row r="183" spans="1:29" x14ac:dyDescent="0.25">
      <c r="A183" s="7" t="s">
        <v>14</v>
      </c>
      <c r="B183" s="15" t="s">
        <v>67</v>
      </c>
      <c r="C183" s="7" t="s">
        <v>21</v>
      </c>
      <c r="D183" s="14">
        <v>0</v>
      </c>
      <c r="E183" s="14">
        <v>0</v>
      </c>
      <c r="F183" s="14">
        <v>0</v>
      </c>
      <c r="G183" s="14">
        <v>0</v>
      </c>
      <c r="H183" s="16">
        <v>15951</v>
      </c>
      <c r="I183" s="17">
        <v>3634</v>
      </c>
      <c r="J183" s="14">
        <v>1907</v>
      </c>
      <c r="K183" s="14">
        <v>2151</v>
      </c>
      <c r="L183" s="14">
        <v>1907</v>
      </c>
      <c r="M183" s="14">
        <v>1907</v>
      </c>
      <c r="N183" s="14">
        <v>1267</v>
      </c>
      <c r="O183" s="14">
        <v>1267</v>
      </c>
      <c r="P183" s="14">
        <v>1267</v>
      </c>
      <c r="Q183" s="14">
        <v>643</v>
      </c>
      <c r="R183" s="14">
        <v>0</v>
      </c>
      <c r="S183" s="14">
        <v>0</v>
      </c>
      <c r="T183" s="18">
        <v>0</v>
      </c>
      <c r="U183" s="14">
        <v>4.8000000000000001E-2</v>
      </c>
      <c r="W183" s="39">
        <f t="shared" si="18"/>
        <v>765.6</v>
      </c>
      <c r="AB183" s="37" t="str">
        <f t="shared" si="21"/>
        <v>Rental</v>
      </c>
      <c r="AC183" s="36">
        <f t="shared" si="22"/>
        <v>174.43200000000002</v>
      </c>
    </row>
    <row r="184" spans="1:29" x14ac:dyDescent="0.25">
      <c r="A184" s="7" t="s">
        <v>14</v>
      </c>
      <c r="B184" s="15" t="s">
        <v>73</v>
      </c>
      <c r="C184" s="7" t="s">
        <v>21</v>
      </c>
      <c r="D184" s="14">
        <v>0</v>
      </c>
      <c r="E184" s="14">
        <v>0</v>
      </c>
      <c r="F184" s="14">
        <v>0</v>
      </c>
      <c r="G184" s="14">
        <v>0</v>
      </c>
      <c r="H184" s="16">
        <v>5917</v>
      </c>
      <c r="I184" s="17">
        <v>3269</v>
      </c>
      <c r="J184" s="14">
        <v>684</v>
      </c>
      <c r="K184" s="14">
        <v>355</v>
      </c>
      <c r="L184" s="14">
        <v>340</v>
      </c>
      <c r="M184" s="14">
        <v>0</v>
      </c>
      <c r="N184" s="14">
        <v>975</v>
      </c>
      <c r="O184" s="14">
        <v>0</v>
      </c>
      <c r="P184" s="14">
        <v>293</v>
      </c>
      <c r="Q184" s="14">
        <v>0</v>
      </c>
      <c r="R184" s="14">
        <v>0</v>
      </c>
      <c r="S184" s="14">
        <v>0</v>
      </c>
      <c r="T184" s="18">
        <v>0</v>
      </c>
      <c r="U184" s="14">
        <v>4.8000000000000001E-2</v>
      </c>
      <c r="W184" s="39">
        <f t="shared" si="18"/>
        <v>283.96800000000002</v>
      </c>
      <c r="AB184" s="37"/>
    </row>
    <row r="185" spans="1:29" x14ac:dyDescent="0.25">
      <c r="A185" s="7" t="s">
        <v>14</v>
      </c>
      <c r="B185" s="15" t="s">
        <v>19</v>
      </c>
      <c r="C185" s="7" t="s">
        <v>21</v>
      </c>
      <c r="D185" s="14">
        <v>0</v>
      </c>
      <c r="E185" s="14">
        <v>0</v>
      </c>
      <c r="F185" s="14">
        <v>0</v>
      </c>
      <c r="G185" s="14">
        <v>0</v>
      </c>
      <c r="H185" s="16">
        <v>27446</v>
      </c>
      <c r="I185" s="17">
        <v>4479</v>
      </c>
      <c r="J185" s="14">
        <v>3156</v>
      </c>
      <c r="K185" s="14">
        <v>2979</v>
      </c>
      <c r="L185" s="14">
        <v>3130</v>
      </c>
      <c r="M185" s="14">
        <v>2726</v>
      </c>
      <c r="N185" s="14">
        <v>3738</v>
      </c>
      <c r="O185" s="14">
        <v>2630</v>
      </c>
      <c r="P185" s="14">
        <v>2082</v>
      </c>
      <c r="Q185" s="14">
        <v>1032</v>
      </c>
      <c r="R185" s="14">
        <v>725</v>
      </c>
      <c r="S185" s="14">
        <v>543</v>
      </c>
      <c r="T185" s="18">
        <v>226</v>
      </c>
      <c r="U185" s="14">
        <v>4.8000000000000001E-2</v>
      </c>
      <c r="W185" s="39">
        <f t="shared" si="18"/>
        <v>1317.4080000000001</v>
      </c>
      <c r="AB185" s="37" t="str">
        <f t="shared" si="21"/>
        <v>Maintenance</v>
      </c>
      <c r="AC185" s="36">
        <f t="shared" si="22"/>
        <v>214.99200000000002</v>
      </c>
    </row>
    <row r="186" spans="1:29" ht="13" thickBot="1" x14ac:dyDescent="0.3">
      <c r="A186" s="7" t="s">
        <v>14</v>
      </c>
      <c r="B186" s="19" t="s">
        <v>20</v>
      </c>
      <c r="C186" s="20" t="s">
        <v>21</v>
      </c>
      <c r="D186" s="21">
        <v>0</v>
      </c>
      <c r="E186" s="21">
        <v>0</v>
      </c>
      <c r="F186" s="21">
        <v>0</v>
      </c>
      <c r="G186" s="21">
        <v>0</v>
      </c>
      <c r="H186" s="22">
        <v>605</v>
      </c>
      <c r="I186" s="23">
        <v>435</v>
      </c>
      <c r="J186" s="21">
        <v>136</v>
      </c>
      <c r="K186" s="21">
        <v>10</v>
      </c>
      <c r="L186" s="21">
        <v>0</v>
      </c>
      <c r="M186" s="21">
        <v>0</v>
      </c>
      <c r="N186" s="21">
        <v>0</v>
      </c>
      <c r="O186" s="21">
        <v>0</v>
      </c>
      <c r="P186" s="21">
        <v>24</v>
      </c>
      <c r="Q186" s="21">
        <v>0</v>
      </c>
      <c r="R186" s="21">
        <v>0</v>
      </c>
      <c r="S186" s="21">
        <v>0</v>
      </c>
      <c r="T186" s="24">
        <v>0</v>
      </c>
      <c r="U186" s="14">
        <v>4.8000000000000001E-2</v>
      </c>
      <c r="W186" s="39">
        <f t="shared" si="18"/>
        <v>29.04</v>
      </c>
      <c r="AB186" s="37" t="str">
        <f t="shared" si="21"/>
        <v>Startup</v>
      </c>
      <c r="AC186" s="36">
        <f t="shared" si="22"/>
        <v>20.88</v>
      </c>
    </row>
    <row r="187" spans="1:29" ht="13" thickBot="1" x14ac:dyDescent="0.3">
      <c r="A187" s="20" t="s">
        <v>14</v>
      </c>
      <c r="B187" s="25" t="s">
        <v>12</v>
      </c>
      <c r="C187" s="26" t="s">
        <v>21</v>
      </c>
      <c r="D187" s="27">
        <v>0</v>
      </c>
      <c r="E187" s="27">
        <v>0</v>
      </c>
      <c r="F187" s="27">
        <v>0</v>
      </c>
      <c r="G187" s="27">
        <v>0</v>
      </c>
      <c r="H187" s="28">
        <v>53315</v>
      </c>
      <c r="I187" s="29">
        <v>14685</v>
      </c>
      <c r="J187" s="27">
        <v>6329</v>
      </c>
      <c r="K187" s="27">
        <v>5503</v>
      </c>
      <c r="L187" s="27">
        <v>5451</v>
      </c>
      <c r="M187" s="27">
        <v>4633</v>
      </c>
      <c r="N187" s="27">
        <v>5980</v>
      </c>
      <c r="O187" s="27">
        <v>3897</v>
      </c>
      <c r="P187" s="27">
        <v>3666</v>
      </c>
      <c r="Q187" s="27">
        <v>1675</v>
      </c>
      <c r="R187" s="27">
        <v>725</v>
      </c>
      <c r="S187" s="27">
        <v>543</v>
      </c>
      <c r="T187" s="29">
        <v>226</v>
      </c>
      <c r="U187" s="14">
        <v>4.8000000000000001E-2</v>
      </c>
      <c r="W187" s="39">
        <f t="shared" si="18"/>
        <v>2559.0239999999999</v>
      </c>
      <c r="X187" s="35">
        <f>W186+W185+W182</f>
        <v>1509.4560000000001</v>
      </c>
      <c r="Y187" s="35">
        <f>W180</f>
        <v>0</v>
      </c>
      <c r="Z187" s="40">
        <f>V178/X187</f>
        <v>0</v>
      </c>
      <c r="AA187" s="40">
        <f>IF((Y187=0),0,Y179/Y187)</f>
        <v>0</v>
      </c>
      <c r="AB187" s="48"/>
      <c r="AC187" s="48"/>
    </row>
    <row r="188" spans="1:29" ht="13" thickBot="1" x14ac:dyDescent="0.3">
      <c r="A188" s="9" t="s">
        <v>31</v>
      </c>
      <c r="B188" s="30" t="s">
        <v>15</v>
      </c>
      <c r="C188" s="31" t="s">
        <v>94</v>
      </c>
      <c r="D188" s="32" t="s">
        <v>47</v>
      </c>
      <c r="E188" s="53" t="s">
        <v>116</v>
      </c>
      <c r="F188" s="53" t="s">
        <v>117</v>
      </c>
      <c r="G188" s="53" t="s">
        <v>118</v>
      </c>
      <c r="H188" s="28" t="s">
        <v>12</v>
      </c>
      <c r="I188" s="54" t="s">
        <v>119</v>
      </c>
      <c r="J188" s="53" t="s">
        <v>174</v>
      </c>
      <c r="K188" s="53" t="s">
        <v>175</v>
      </c>
      <c r="L188" s="53" t="s">
        <v>99</v>
      </c>
      <c r="M188" s="53" t="s">
        <v>100</v>
      </c>
      <c r="N188" s="53" t="s">
        <v>101</v>
      </c>
      <c r="O188" s="53" t="s">
        <v>102</v>
      </c>
      <c r="P188" s="53" t="s">
        <v>103</v>
      </c>
      <c r="Q188" s="53" t="s">
        <v>104</v>
      </c>
      <c r="R188" s="53" t="s">
        <v>105</v>
      </c>
      <c r="S188" s="53" t="s">
        <v>106</v>
      </c>
      <c r="T188" s="55" t="s">
        <v>107</v>
      </c>
      <c r="U188" s="14">
        <v>0.31081308699999999</v>
      </c>
      <c r="V188" s="14" t="s">
        <v>183</v>
      </c>
      <c r="W188" s="39">
        <f t="shared" si="18"/>
        <v>0</v>
      </c>
      <c r="X188" s="14" t="s">
        <v>37</v>
      </c>
      <c r="Y188" s="14" t="s">
        <v>38</v>
      </c>
      <c r="AB188" s="48"/>
      <c r="AC188" s="48"/>
    </row>
    <row r="189" spans="1:29" x14ac:dyDescent="0.25">
      <c r="A189" s="7" t="s">
        <v>31</v>
      </c>
      <c r="B189" s="8" t="s">
        <v>17</v>
      </c>
      <c r="C189" s="9" t="s">
        <v>18</v>
      </c>
      <c r="D189" s="10">
        <v>1611</v>
      </c>
      <c r="E189" s="10">
        <v>1003</v>
      </c>
      <c r="F189" s="10">
        <v>1226</v>
      </c>
      <c r="G189" s="10">
        <v>679</v>
      </c>
      <c r="H189" s="11">
        <v>4571</v>
      </c>
      <c r="I189" s="12">
        <v>52</v>
      </c>
      <c r="J189" s="10">
        <v>0</v>
      </c>
      <c r="K189" s="10">
        <v>0</v>
      </c>
      <c r="L189" s="10">
        <v>0</v>
      </c>
      <c r="M189" s="10">
        <v>0</v>
      </c>
      <c r="N189" s="10">
        <v>0</v>
      </c>
      <c r="O189" s="10">
        <v>0</v>
      </c>
      <c r="P189" s="10">
        <v>0</v>
      </c>
      <c r="Q189" s="10">
        <v>0</v>
      </c>
      <c r="R189" s="10">
        <v>0</v>
      </c>
      <c r="S189" s="10">
        <v>0</v>
      </c>
      <c r="T189" s="13">
        <v>0</v>
      </c>
      <c r="U189" s="14">
        <v>0.31081308699999999</v>
      </c>
      <c r="V189" s="42">
        <f>SUM(I189:T189)/H189</f>
        <v>1.1376066506234959E-2</v>
      </c>
      <c r="W189" s="39">
        <f t="shared" si="18"/>
        <v>16.162280524</v>
      </c>
    </row>
    <row r="190" spans="1:29" x14ac:dyDescent="0.25">
      <c r="A190" s="7" t="s">
        <v>31</v>
      </c>
      <c r="B190" s="15" t="s">
        <v>66</v>
      </c>
      <c r="C190" s="7" t="s">
        <v>18</v>
      </c>
      <c r="D190" s="14">
        <v>20</v>
      </c>
      <c r="E190" s="14">
        <v>36</v>
      </c>
      <c r="F190" s="14">
        <v>47</v>
      </c>
      <c r="G190" s="14">
        <v>725</v>
      </c>
      <c r="H190" s="16">
        <v>1183</v>
      </c>
      <c r="I190" s="17">
        <v>0</v>
      </c>
      <c r="J190" s="14">
        <v>0</v>
      </c>
      <c r="K190" s="14">
        <v>355</v>
      </c>
      <c r="L190" s="14">
        <v>0</v>
      </c>
      <c r="M190" s="14">
        <v>0</v>
      </c>
      <c r="N190" s="14">
        <v>0</v>
      </c>
      <c r="O190" s="14">
        <v>0</v>
      </c>
      <c r="P190" s="14">
        <v>0</v>
      </c>
      <c r="Q190" s="14">
        <v>0</v>
      </c>
      <c r="R190" s="14">
        <v>0</v>
      </c>
      <c r="S190" s="14">
        <v>0</v>
      </c>
      <c r="T190" s="18">
        <v>0</v>
      </c>
      <c r="U190" s="14">
        <v>0.31081308699999999</v>
      </c>
      <c r="V190" s="44"/>
      <c r="W190" s="39">
        <f t="shared" si="18"/>
        <v>110.33864588499999</v>
      </c>
    </row>
    <row r="191" spans="1:29" x14ac:dyDescent="0.25">
      <c r="A191" s="7" t="s">
        <v>31</v>
      </c>
      <c r="B191" s="15" t="s">
        <v>13</v>
      </c>
      <c r="C191" s="7" t="s">
        <v>18</v>
      </c>
      <c r="D191" s="14">
        <v>2321</v>
      </c>
      <c r="E191" s="14">
        <v>658</v>
      </c>
      <c r="F191" s="14">
        <v>435</v>
      </c>
      <c r="G191" s="14">
        <v>2293</v>
      </c>
      <c r="H191" s="16">
        <v>6148</v>
      </c>
      <c r="I191" s="17">
        <v>327</v>
      </c>
      <c r="J191" s="14">
        <v>99</v>
      </c>
      <c r="K191" s="14">
        <v>17</v>
      </c>
      <c r="L191" s="14">
        <v>0</v>
      </c>
      <c r="M191" s="14">
        <v>0</v>
      </c>
      <c r="N191" s="14">
        <v>0</v>
      </c>
      <c r="O191" s="14">
        <v>0</v>
      </c>
      <c r="P191" s="14">
        <v>0</v>
      </c>
      <c r="Q191" s="14">
        <v>0</v>
      </c>
      <c r="R191" s="14">
        <v>0</v>
      </c>
      <c r="S191" s="14">
        <v>0</v>
      </c>
      <c r="T191" s="18">
        <v>0</v>
      </c>
      <c r="U191" s="14">
        <v>0.31081308699999999</v>
      </c>
      <c r="V191" s="41"/>
      <c r="W191" s="39">
        <f t="shared" si="18"/>
        <v>137.690197541</v>
      </c>
    </row>
    <row r="192" spans="1:29" x14ac:dyDescent="0.25">
      <c r="A192" s="7" t="s">
        <v>31</v>
      </c>
      <c r="B192" s="15" t="s">
        <v>67</v>
      </c>
      <c r="C192" s="7" t="s">
        <v>18</v>
      </c>
      <c r="D192" s="14">
        <v>0</v>
      </c>
      <c r="E192" s="14">
        <v>0</v>
      </c>
      <c r="F192" s="14">
        <v>0</v>
      </c>
      <c r="G192" s="14">
        <v>0</v>
      </c>
      <c r="H192" s="16">
        <v>0</v>
      </c>
      <c r="I192" s="17">
        <v>0</v>
      </c>
      <c r="J192" s="14">
        <v>0</v>
      </c>
      <c r="K192" s="14">
        <v>0</v>
      </c>
      <c r="L192" s="14">
        <v>0</v>
      </c>
      <c r="M192" s="14">
        <v>0</v>
      </c>
      <c r="N192" s="14">
        <v>0</v>
      </c>
      <c r="O192" s="14">
        <v>0</v>
      </c>
      <c r="P192" s="14">
        <v>0</v>
      </c>
      <c r="Q192" s="14">
        <v>0</v>
      </c>
      <c r="R192" s="14">
        <v>0</v>
      </c>
      <c r="S192" s="14">
        <v>0</v>
      </c>
      <c r="T192" s="18">
        <v>0</v>
      </c>
      <c r="U192" s="14">
        <v>0.31081308699999999</v>
      </c>
      <c r="V192" s="41"/>
      <c r="W192" s="39">
        <f t="shared" si="18"/>
        <v>0</v>
      </c>
    </row>
    <row r="193" spans="1:29" x14ac:dyDescent="0.25">
      <c r="A193" s="7" t="s">
        <v>31</v>
      </c>
      <c r="B193" s="15" t="s">
        <v>73</v>
      </c>
      <c r="C193" s="7" t="s">
        <v>18</v>
      </c>
      <c r="D193" s="14">
        <v>7</v>
      </c>
      <c r="E193" s="14">
        <v>0</v>
      </c>
      <c r="F193" s="14">
        <v>0</v>
      </c>
      <c r="G193" s="14">
        <v>146</v>
      </c>
      <c r="H193" s="16">
        <v>153</v>
      </c>
      <c r="I193" s="17">
        <v>0</v>
      </c>
      <c r="J193" s="14">
        <v>0</v>
      </c>
      <c r="K193" s="14">
        <v>0</v>
      </c>
      <c r="L193" s="14">
        <v>0</v>
      </c>
      <c r="M193" s="14">
        <v>0</v>
      </c>
      <c r="N193" s="14">
        <v>0</v>
      </c>
      <c r="O193" s="14">
        <v>0</v>
      </c>
      <c r="P193" s="14">
        <v>0</v>
      </c>
      <c r="Q193" s="14">
        <v>0</v>
      </c>
      <c r="R193" s="14">
        <v>0</v>
      </c>
      <c r="S193" s="14">
        <v>0</v>
      </c>
      <c r="T193" s="18">
        <v>0</v>
      </c>
      <c r="U193" s="14">
        <v>0.31081308699999999</v>
      </c>
      <c r="V193" s="41"/>
      <c r="W193" s="39">
        <f t="shared" si="18"/>
        <v>0</v>
      </c>
    </row>
    <row r="194" spans="1:29" x14ac:dyDescent="0.25">
      <c r="A194" s="7" t="s">
        <v>31</v>
      </c>
      <c r="B194" s="15" t="s">
        <v>19</v>
      </c>
      <c r="C194" s="7" t="s">
        <v>18</v>
      </c>
      <c r="D194" s="14">
        <v>429</v>
      </c>
      <c r="E194" s="14">
        <v>266</v>
      </c>
      <c r="F194" s="14">
        <v>390</v>
      </c>
      <c r="G194" s="14">
        <v>400</v>
      </c>
      <c r="H194" s="16">
        <v>1555</v>
      </c>
      <c r="I194" s="17">
        <v>20</v>
      </c>
      <c r="J194" s="14">
        <v>50</v>
      </c>
      <c r="K194" s="14">
        <v>0</v>
      </c>
      <c r="L194" s="14">
        <v>0</v>
      </c>
      <c r="M194" s="14">
        <v>0</v>
      </c>
      <c r="N194" s="14">
        <v>0</v>
      </c>
      <c r="O194" s="14">
        <v>0</v>
      </c>
      <c r="P194" s="14">
        <v>0</v>
      </c>
      <c r="Q194" s="14">
        <v>0</v>
      </c>
      <c r="R194" s="14">
        <v>0</v>
      </c>
      <c r="S194" s="14">
        <v>0</v>
      </c>
      <c r="T194" s="18">
        <v>0</v>
      </c>
      <c r="U194" s="14">
        <v>0.31081308699999999</v>
      </c>
      <c r="V194" s="41"/>
      <c r="W194" s="39">
        <f t="shared" si="18"/>
        <v>21.756916090000001</v>
      </c>
    </row>
    <row r="195" spans="1:29" ht="13" thickBot="1" x14ac:dyDescent="0.3">
      <c r="A195" s="7" t="s">
        <v>31</v>
      </c>
      <c r="B195" s="19" t="s">
        <v>20</v>
      </c>
      <c r="C195" s="20" t="s">
        <v>18</v>
      </c>
      <c r="D195" s="21">
        <v>0</v>
      </c>
      <c r="E195" s="21">
        <v>1</v>
      </c>
      <c r="F195" s="21">
        <v>20</v>
      </c>
      <c r="G195" s="21">
        <v>0</v>
      </c>
      <c r="H195" s="22">
        <v>21</v>
      </c>
      <c r="I195" s="23">
        <v>0</v>
      </c>
      <c r="J195" s="21">
        <v>0</v>
      </c>
      <c r="K195" s="21">
        <v>0</v>
      </c>
      <c r="L195" s="21">
        <v>0</v>
      </c>
      <c r="M195" s="21">
        <v>0</v>
      </c>
      <c r="N195" s="21">
        <v>0</v>
      </c>
      <c r="O195" s="21">
        <v>0</v>
      </c>
      <c r="P195" s="21">
        <v>0</v>
      </c>
      <c r="Q195" s="21">
        <v>0</v>
      </c>
      <c r="R195" s="21">
        <v>0</v>
      </c>
      <c r="S195" s="21">
        <v>0</v>
      </c>
      <c r="T195" s="24">
        <v>0</v>
      </c>
      <c r="U195" s="14">
        <v>0.31081308699999999</v>
      </c>
      <c r="V195" s="44"/>
      <c r="W195" s="39">
        <f t="shared" si="18"/>
        <v>0</v>
      </c>
    </row>
    <row r="196" spans="1:29" ht="13" thickBot="1" x14ac:dyDescent="0.3">
      <c r="A196" s="7" t="s">
        <v>31</v>
      </c>
      <c r="B196" s="25" t="s">
        <v>12</v>
      </c>
      <c r="C196" s="26" t="s">
        <v>18</v>
      </c>
      <c r="D196" s="27">
        <v>4388</v>
      </c>
      <c r="E196" s="27">
        <v>1964</v>
      </c>
      <c r="F196" s="27">
        <v>2118</v>
      </c>
      <c r="G196" s="27">
        <v>4243</v>
      </c>
      <c r="H196" s="28">
        <v>13631</v>
      </c>
      <c r="I196" s="29">
        <v>399</v>
      </c>
      <c r="J196" s="27">
        <v>149</v>
      </c>
      <c r="K196" s="27">
        <v>372</v>
      </c>
      <c r="L196" s="27">
        <v>0</v>
      </c>
      <c r="M196" s="27">
        <v>0</v>
      </c>
      <c r="N196" s="27">
        <v>0</v>
      </c>
      <c r="O196" s="27">
        <v>0</v>
      </c>
      <c r="P196" s="27">
        <v>0</v>
      </c>
      <c r="Q196" s="27">
        <v>0</v>
      </c>
      <c r="R196" s="27">
        <v>0</v>
      </c>
      <c r="S196" s="27">
        <v>0</v>
      </c>
      <c r="T196" s="29">
        <v>0</v>
      </c>
      <c r="U196" s="14">
        <v>0.31081308699999999</v>
      </c>
      <c r="V196" s="43">
        <f>SUM(I191:T194)/SUM(H191:H194)</f>
        <v>6.5300407331975563E-2</v>
      </c>
      <c r="W196" s="39">
        <f t="shared" si="18"/>
        <v>285.94804003999997</v>
      </c>
      <c r="X196" s="35">
        <f>W194+W191</f>
        <v>159.44711363100001</v>
      </c>
      <c r="Y196" s="35">
        <f>W189</f>
        <v>16.162280524</v>
      </c>
    </row>
    <row r="197" spans="1:29" x14ac:dyDescent="0.25">
      <c r="A197" s="7" t="s">
        <v>31</v>
      </c>
      <c r="B197" s="8" t="s">
        <v>17</v>
      </c>
      <c r="C197" s="9" t="s">
        <v>21</v>
      </c>
      <c r="D197" s="10">
        <v>0</v>
      </c>
      <c r="E197" s="10">
        <v>0</v>
      </c>
      <c r="F197" s="10">
        <v>0</v>
      </c>
      <c r="G197" s="10">
        <v>0</v>
      </c>
      <c r="H197" s="11">
        <v>36</v>
      </c>
      <c r="I197" s="12">
        <v>36</v>
      </c>
      <c r="J197" s="10">
        <v>0</v>
      </c>
      <c r="K197" s="10">
        <v>0</v>
      </c>
      <c r="L197" s="10">
        <v>0</v>
      </c>
      <c r="M197" s="10">
        <v>0</v>
      </c>
      <c r="N197" s="10">
        <v>0</v>
      </c>
      <c r="O197" s="10">
        <v>0</v>
      </c>
      <c r="P197" s="10">
        <v>0</v>
      </c>
      <c r="Q197" s="10">
        <v>0</v>
      </c>
      <c r="R197" s="10">
        <v>0</v>
      </c>
      <c r="S197" s="10">
        <v>0</v>
      </c>
      <c r="T197" s="13">
        <v>0</v>
      </c>
      <c r="U197" s="14">
        <v>0.31081308699999999</v>
      </c>
      <c r="W197" s="39">
        <f t="shared" si="18"/>
        <v>11.189271132</v>
      </c>
      <c r="AB197" s="37" t="str">
        <f t="shared" ref="AB197:AB203" si="23">B197</f>
        <v>Parts-OTC</v>
      </c>
      <c r="AC197" s="36">
        <f t="shared" ref="AC197:AC203" si="24">I197*U197</f>
        <v>11.189271132</v>
      </c>
    </row>
    <row r="198" spans="1:29" x14ac:dyDescent="0.25">
      <c r="A198" s="7" t="s">
        <v>31</v>
      </c>
      <c r="B198" s="15" t="s">
        <v>66</v>
      </c>
      <c r="C198" s="7" t="s">
        <v>21</v>
      </c>
      <c r="D198" s="14">
        <v>0</v>
      </c>
      <c r="E198" s="14">
        <v>0</v>
      </c>
      <c r="F198" s="14">
        <v>0</v>
      </c>
      <c r="G198" s="14">
        <v>0</v>
      </c>
      <c r="H198" s="16">
        <v>3375</v>
      </c>
      <c r="I198" s="17">
        <v>2745</v>
      </c>
      <c r="J198" s="14">
        <v>0</v>
      </c>
      <c r="K198" s="14">
        <v>0</v>
      </c>
      <c r="L198" s="14">
        <v>0</v>
      </c>
      <c r="M198" s="14">
        <v>0</v>
      </c>
      <c r="N198" s="14">
        <v>0</v>
      </c>
      <c r="O198" s="14">
        <v>0</v>
      </c>
      <c r="P198" s="14">
        <v>630</v>
      </c>
      <c r="Q198" s="14">
        <v>0</v>
      </c>
      <c r="R198" s="14">
        <v>0</v>
      </c>
      <c r="S198" s="14">
        <v>0</v>
      </c>
      <c r="T198" s="18">
        <v>0</v>
      </c>
      <c r="U198" s="14">
        <v>0.31081308699999999</v>
      </c>
      <c r="W198" s="39">
        <f t="shared" si="18"/>
        <v>1048.9941686249999</v>
      </c>
      <c r="AB198" s="37" t="str">
        <f t="shared" si="23"/>
        <v>CTKS</v>
      </c>
      <c r="AC198" s="36">
        <f t="shared" si="24"/>
        <v>853.181923815</v>
      </c>
    </row>
    <row r="199" spans="1:29" x14ac:dyDescent="0.25">
      <c r="A199" s="7" t="s">
        <v>31</v>
      </c>
      <c r="B199" s="15" t="s">
        <v>13</v>
      </c>
      <c r="C199" s="7" t="s">
        <v>21</v>
      </c>
      <c r="D199" s="14">
        <v>0</v>
      </c>
      <c r="E199" s="14">
        <v>0</v>
      </c>
      <c r="F199" s="14">
        <v>0</v>
      </c>
      <c r="G199" s="14">
        <v>0</v>
      </c>
      <c r="H199" s="16">
        <v>2962</v>
      </c>
      <c r="I199" s="33">
        <v>2412</v>
      </c>
      <c r="J199" s="34">
        <v>53</v>
      </c>
      <c r="K199" s="34">
        <v>0</v>
      </c>
      <c r="L199" s="14">
        <v>0</v>
      </c>
      <c r="M199" s="14">
        <v>0</v>
      </c>
      <c r="N199" s="14">
        <v>0</v>
      </c>
      <c r="O199" s="14">
        <v>0</v>
      </c>
      <c r="P199" s="14">
        <v>497</v>
      </c>
      <c r="Q199" s="14">
        <v>0</v>
      </c>
      <c r="R199" s="14">
        <v>0</v>
      </c>
      <c r="S199" s="14">
        <v>0</v>
      </c>
      <c r="T199" s="18">
        <v>0</v>
      </c>
      <c r="U199" s="14">
        <v>0.31081308699999999</v>
      </c>
      <c r="W199" s="39">
        <f t="shared" si="18"/>
        <v>920.62836369399997</v>
      </c>
      <c r="AB199" s="37" t="str">
        <f t="shared" si="23"/>
        <v>Repair</v>
      </c>
      <c r="AC199" s="36">
        <f t="shared" si="24"/>
        <v>749.68116584400002</v>
      </c>
    </row>
    <row r="200" spans="1:29" x14ac:dyDescent="0.25">
      <c r="A200" s="7" t="s">
        <v>31</v>
      </c>
      <c r="B200" s="15" t="s">
        <v>67</v>
      </c>
      <c r="C200" s="7" t="s">
        <v>21</v>
      </c>
      <c r="D200" s="14">
        <v>0</v>
      </c>
      <c r="E200" s="14">
        <v>0</v>
      </c>
      <c r="F200" s="14">
        <v>0</v>
      </c>
      <c r="G200" s="14">
        <v>0</v>
      </c>
      <c r="H200" s="16">
        <v>2426</v>
      </c>
      <c r="I200" s="17">
        <v>2315</v>
      </c>
      <c r="J200" s="14">
        <v>71</v>
      </c>
      <c r="K200" s="14">
        <v>18</v>
      </c>
      <c r="L200" s="14">
        <v>4</v>
      </c>
      <c r="M200" s="14">
        <v>4</v>
      </c>
      <c r="N200" s="14">
        <v>4</v>
      </c>
      <c r="O200" s="14">
        <v>4</v>
      </c>
      <c r="P200" s="14">
        <v>4</v>
      </c>
      <c r="Q200" s="14">
        <v>0</v>
      </c>
      <c r="R200" s="14">
        <v>0</v>
      </c>
      <c r="S200" s="14">
        <v>0</v>
      </c>
      <c r="T200" s="18">
        <v>0</v>
      </c>
      <c r="U200" s="14">
        <v>0.31081308699999999</v>
      </c>
      <c r="W200" s="39">
        <f t="shared" si="18"/>
        <v>753.41092288799996</v>
      </c>
      <c r="AB200" s="37" t="str">
        <f t="shared" si="23"/>
        <v>Rental</v>
      </c>
      <c r="AC200" s="36">
        <f t="shared" si="24"/>
        <v>719.53229640500001</v>
      </c>
    </row>
    <row r="201" spans="1:29" x14ac:dyDescent="0.25">
      <c r="A201" s="7" t="s">
        <v>31</v>
      </c>
      <c r="B201" s="15" t="s">
        <v>73</v>
      </c>
      <c r="C201" s="7" t="s">
        <v>21</v>
      </c>
      <c r="D201" s="14">
        <v>0</v>
      </c>
      <c r="E201" s="14">
        <v>0</v>
      </c>
      <c r="F201" s="14">
        <v>0</v>
      </c>
      <c r="G201" s="14">
        <v>0</v>
      </c>
      <c r="H201" s="16">
        <v>7</v>
      </c>
      <c r="I201" s="17">
        <v>7</v>
      </c>
      <c r="J201" s="14">
        <v>0</v>
      </c>
      <c r="K201" s="14">
        <v>0</v>
      </c>
      <c r="L201" s="14">
        <v>0</v>
      </c>
      <c r="M201" s="14">
        <v>0</v>
      </c>
      <c r="N201" s="14">
        <v>0</v>
      </c>
      <c r="O201" s="14">
        <v>0</v>
      </c>
      <c r="P201" s="14">
        <v>0</v>
      </c>
      <c r="Q201" s="14">
        <v>0</v>
      </c>
      <c r="R201" s="14">
        <v>0</v>
      </c>
      <c r="S201" s="14">
        <v>0</v>
      </c>
      <c r="T201" s="18">
        <v>0</v>
      </c>
      <c r="U201" s="14">
        <v>0.31081308699999999</v>
      </c>
      <c r="W201" s="39">
        <f t="shared" si="18"/>
        <v>2.1756916089999998</v>
      </c>
      <c r="AB201" s="37"/>
    </row>
    <row r="202" spans="1:29" x14ac:dyDescent="0.25">
      <c r="A202" s="7" t="s">
        <v>31</v>
      </c>
      <c r="B202" s="15" t="s">
        <v>19</v>
      </c>
      <c r="C202" s="7" t="s">
        <v>21</v>
      </c>
      <c r="D202" s="14">
        <v>0</v>
      </c>
      <c r="E202" s="14">
        <v>0</v>
      </c>
      <c r="F202" s="14">
        <v>0</v>
      </c>
      <c r="G202" s="14">
        <v>0</v>
      </c>
      <c r="H202" s="16">
        <v>2512</v>
      </c>
      <c r="I202" s="17">
        <v>498</v>
      </c>
      <c r="J202" s="14">
        <v>290</v>
      </c>
      <c r="K202" s="14">
        <v>372</v>
      </c>
      <c r="L202" s="14">
        <v>159</v>
      </c>
      <c r="M202" s="14">
        <v>259</v>
      </c>
      <c r="N202" s="14">
        <v>273</v>
      </c>
      <c r="O202" s="14">
        <v>454</v>
      </c>
      <c r="P202" s="14">
        <v>152</v>
      </c>
      <c r="Q202" s="14">
        <v>12</v>
      </c>
      <c r="R202" s="14">
        <v>43</v>
      </c>
      <c r="S202" s="14">
        <v>0</v>
      </c>
      <c r="T202" s="18">
        <v>0</v>
      </c>
      <c r="U202" s="14">
        <v>0.31081308699999999</v>
      </c>
      <c r="W202" s="39">
        <f t="shared" si="18"/>
        <v>780.76247454399993</v>
      </c>
      <c r="AB202" s="37" t="str">
        <f t="shared" si="23"/>
        <v>Maintenance</v>
      </c>
      <c r="AC202" s="36">
        <f t="shared" si="24"/>
        <v>154.784917326</v>
      </c>
    </row>
    <row r="203" spans="1:29" ht="13" thickBot="1" x14ac:dyDescent="0.3">
      <c r="A203" s="7" t="s">
        <v>31</v>
      </c>
      <c r="B203" s="19" t="s">
        <v>20</v>
      </c>
      <c r="C203" s="20" t="s">
        <v>21</v>
      </c>
      <c r="D203" s="21">
        <v>0</v>
      </c>
      <c r="E203" s="21">
        <v>0</v>
      </c>
      <c r="F203" s="21">
        <v>0</v>
      </c>
      <c r="G203" s="21">
        <v>0</v>
      </c>
      <c r="H203" s="22">
        <v>3353</v>
      </c>
      <c r="I203" s="23">
        <v>1050</v>
      </c>
      <c r="J203" s="21">
        <v>183</v>
      </c>
      <c r="K203" s="21">
        <v>0</v>
      </c>
      <c r="L203" s="21">
        <v>1956</v>
      </c>
      <c r="M203" s="21">
        <v>0</v>
      </c>
      <c r="N203" s="21">
        <v>0</v>
      </c>
      <c r="O203" s="21">
        <v>0</v>
      </c>
      <c r="P203" s="21">
        <v>141</v>
      </c>
      <c r="Q203" s="21">
        <v>17</v>
      </c>
      <c r="R203" s="21">
        <v>0</v>
      </c>
      <c r="S203" s="21">
        <v>6</v>
      </c>
      <c r="T203" s="24">
        <v>0</v>
      </c>
      <c r="U203" s="14">
        <v>0.31081308699999999</v>
      </c>
      <c r="W203" s="39">
        <f t="shared" si="18"/>
        <v>1042.1562807109999</v>
      </c>
      <c r="AB203" s="37" t="str">
        <f t="shared" si="23"/>
        <v>Startup</v>
      </c>
      <c r="AC203" s="36">
        <f t="shared" si="24"/>
        <v>326.35374135000001</v>
      </c>
    </row>
    <row r="204" spans="1:29" ht="13" thickBot="1" x14ac:dyDescent="0.3">
      <c r="A204" s="20" t="s">
        <v>31</v>
      </c>
      <c r="B204" s="25" t="s">
        <v>12</v>
      </c>
      <c r="C204" s="26" t="s">
        <v>21</v>
      </c>
      <c r="D204" s="27">
        <v>0</v>
      </c>
      <c r="E204" s="27">
        <v>0</v>
      </c>
      <c r="F204" s="27">
        <v>0</v>
      </c>
      <c r="G204" s="27">
        <v>0</v>
      </c>
      <c r="H204" s="28">
        <v>14671</v>
      </c>
      <c r="I204" s="29">
        <v>9063</v>
      </c>
      <c r="J204" s="27">
        <v>597</v>
      </c>
      <c r="K204" s="27">
        <v>390</v>
      </c>
      <c r="L204" s="27">
        <v>2119</v>
      </c>
      <c r="M204" s="27">
        <v>263</v>
      </c>
      <c r="N204" s="27">
        <v>277</v>
      </c>
      <c r="O204" s="27">
        <v>458</v>
      </c>
      <c r="P204" s="27">
        <v>1424</v>
      </c>
      <c r="Q204" s="27">
        <v>29</v>
      </c>
      <c r="R204" s="27">
        <v>43</v>
      </c>
      <c r="S204" s="27">
        <v>6</v>
      </c>
      <c r="T204" s="29">
        <v>0</v>
      </c>
      <c r="U204" s="14">
        <v>0.31081308699999999</v>
      </c>
      <c r="W204" s="39">
        <f t="shared" si="18"/>
        <v>4559.3171732029996</v>
      </c>
      <c r="X204" s="35">
        <f>W203+W202+W199</f>
        <v>2743.5471189489999</v>
      </c>
      <c r="Y204" s="35">
        <f>W197</f>
        <v>11.189271132</v>
      </c>
      <c r="Z204" s="40">
        <f>V195/X204</f>
        <v>0</v>
      </c>
      <c r="AA204" s="40">
        <f>IF((Y204=0),0,Y196/Y204)</f>
        <v>1.4444444444444444</v>
      </c>
      <c r="AB204" s="48"/>
      <c r="AC204" s="48"/>
    </row>
    <row r="205" spans="1:29" ht="13" thickBot="1" x14ac:dyDescent="0.3">
      <c r="A205" s="9" t="s">
        <v>10</v>
      </c>
      <c r="B205" s="30" t="s">
        <v>15</v>
      </c>
      <c r="C205" s="31" t="s">
        <v>94</v>
      </c>
      <c r="D205" s="32" t="s">
        <v>47</v>
      </c>
      <c r="E205" s="53" t="s">
        <v>116</v>
      </c>
      <c r="F205" s="53" t="s">
        <v>117</v>
      </c>
      <c r="G205" s="53" t="s">
        <v>118</v>
      </c>
      <c r="H205" s="28" t="s">
        <v>12</v>
      </c>
      <c r="I205" s="54" t="s">
        <v>119</v>
      </c>
      <c r="J205" s="53" t="s">
        <v>174</v>
      </c>
      <c r="K205" s="53" t="s">
        <v>175</v>
      </c>
      <c r="L205" s="53" t="s">
        <v>99</v>
      </c>
      <c r="M205" s="53" t="s">
        <v>100</v>
      </c>
      <c r="N205" s="53" t="s">
        <v>101</v>
      </c>
      <c r="O205" s="53" t="s">
        <v>102</v>
      </c>
      <c r="P205" s="53" t="s">
        <v>103</v>
      </c>
      <c r="Q205" s="53" t="s">
        <v>104</v>
      </c>
      <c r="R205" s="53" t="s">
        <v>105</v>
      </c>
      <c r="S205" s="53" t="s">
        <v>106</v>
      </c>
      <c r="T205" s="55" t="s">
        <v>107</v>
      </c>
      <c r="U205" s="14">
        <v>0.22994439799999999</v>
      </c>
      <c r="V205" s="14" t="s">
        <v>183</v>
      </c>
      <c r="W205" s="39">
        <f t="shared" si="18"/>
        <v>0</v>
      </c>
      <c r="X205" s="14" t="s">
        <v>37</v>
      </c>
      <c r="Y205" s="14" t="s">
        <v>38</v>
      </c>
      <c r="AB205" s="48"/>
      <c r="AC205" s="48"/>
    </row>
    <row r="206" spans="1:29" x14ac:dyDescent="0.25">
      <c r="A206" s="7" t="s">
        <v>10</v>
      </c>
      <c r="B206" s="8" t="s">
        <v>17</v>
      </c>
      <c r="C206" s="9" t="s">
        <v>18</v>
      </c>
      <c r="D206" s="10">
        <v>0</v>
      </c>
      <c r="E206" s="10">
        <v>0</v>
      </c>
      <c r="F206" s="10">
        <v>265</v>
      </c>
      <c r="G206" s="10">
        <v>1378</v>
      </c>
      <c r="H206" s="11">
        <v>1646</v>
      </c>
      <c r="I206" s="12">
        <v>3</v>
      </c>
      <c r="J206" s="10">
        <v>0</v>
      </c>
      <c r="K206" s="10">
        <v>0</v>
      </c>
      <c r="L206" s="10">
        <v>0</v>
      </c>
      <c r="M206" s="10">
        <v>0</v>
      </c>
      <c r="N206" s="10">
        <v>0</v>
      </c>
      <c r="O206" s="10">
        <v>0</v>
      </c>
      <c r="P206" s="10">
        <v>0</v>
      </c>
      <c r="Q206" s="10">
        <v>0</v>
      </c>
      <c r="R206" s="10">
        <v>0</v>
      </c>
      <c r="S206" s="10">
        <v>0</v>
      </c>
      <c r="T206" s="13">
        <v>0</v>
      </c>
      <c r="U206" s="14">
        <v>0.22994439799999999</v>
      </c>
      <c r="V206" s="42">
        <f>SUM(I206:T206)/H206</f>
        <v>1.8226002430133657E-3</v>
      </c>
      <c r="W206" s="39">
        <f t="shared" si="18"/>
        <v>0.68983319399999998</v>
      </c>
    </row>
    <row r="207" spans="1:29" x14ac:dyDescent="0.25">
      <c r="A207" s="7" t="s">
        <v>10</v>
      </c>
      <c r="B207" s="15" t="s">
        <v>66</v>
      </c>
      <c r="C207" s="7" t="s">
        <v>18</v>
      </c>
      <c r="D207" s="14">
        <v>0</v>
      </c>
      <c r="E207" s="14">
        <v>0</v>
      </c>
      <c r="F207" s="14">
        <v>0</v>
      </c>
      <c r="G207" s="14">
        <v>0</v>
      </c>
      <c r="H207" s="16">
        <v>155</v>
      </c>
      <c r="I207" s="17">
        <v>155</v>
      </c>
      <c r="J207" s="14">
        <v>0</v>
      </c>
      <c r="K207" s="14">
        <v>0</v>
      </c>
      <c r="L207" s="14">
        <v>0</v>
      </c>
      <c r="M207" s="14">
        <v>0</v>
      </c>
      <c r="N207" s="14">
        <v>0</v>
      </c>
      <c r="O207" s="14">
        <v>0</v>
      </c>
      <c r="P207" s="14">
        <v>0</v>
      </c>
      <c r="Q207" s="14">
        <v>0</v>
      </c>
      <c r="R207" s="14">
        <v>0</v>
      </c>
      <c r="S207" s="14">
        <v>0</v>
      </c>
      <c r="T207" s="18">
        <v>0</v>
      </c>
      <c r="U207" s="14">
        <v>0.22994439799999999</v>
      </c>
      <c r="V207" s="44"/>
      <c r="W207" s="39">
        <f t="shared" si="18"/>
        <v>35.641381689999996</v>
      </c>
    </row>
    <row r="208" spans="1:29" x14ac:dyDescent="0.25">
      <c r="A208" s="7" t="s">
        <v>10</v>
      </c>
      <c r="B208" s="15" t="s">
        <v>13</v>
      </c>
      <c r="C208" s="7" t="s">
        <v>18</v>
      </c>
      <c r="D208" s="14">
        <v>327</v>
      </c>
      <c r="E208" s="14">
        <v>21</v>
      </c>
      <c r="F208" s="14">
        <v>443</v>
      </c>
      <c r="G208" s="14">
        <v>1030</v>
      </c>
      <c r="H208" s="16">
        <v>10027</v>
      </c>
      <c r="I208" s="17">
        <v>8015</v>
      </c>
      <c r="J208" s="14">
        <v>161</v>
      </c>
      <c r="K208" s="14">
        <v>25</v>
      </c>
      <c r="L208" s="14">
        <v>0</v>
      </c>
      <c r="M208" s="14">
        <v>0</v>
      </c>
      <c r="N208" s="14">
        <v>4</v>
      </c>
      <c r="O208" s="14">
        <v>0</v>
      </c>
      <c r="P208" s="14">
        <v>0</v>
      </c>
      <c r="Q208" s="14">
        <v>0</v>
      </c>
      <c r="R208" s="14">
        <v>0</v>
      </c>
      <c r="S208" s="14">
        <v>0</v>
      </c>
      <c r="T208" s="18">
        <v>0</v>
      </c>
      <c r="U208" s="14">
        <v>0.22994439799999999</v>
      </c>
      <c r="V208" s="41"/>
      <c r="W208" s="39">
        <f t="shared" si="18"/>
        <v>1886.6937855900001</v>
      </c>
    </row>
    <row r="209" spans="1:29" x14ac:dyDescent="0.25">
      <c r="A209" s="7" t="s">
        <v>10</v>
      </c>
      <c r="B209" s="15" t="s">
        <v>67</v>
      </c>
      <c r="C209" s="7" t="s">
        <v>18</v>
      </c>
      <c r="D209" s="14">
        <v>0</v>
      </c>
      <c r="E209" s="14">
        <v>0</v>
      </c>
      <c r="F209" s="14">
        <v>0</v>
      </c>
      <c r="G209" s="14">
        <v>167</v>
      </c>
      <c r="H209" s="16">
        <v>12217</v>
      </c>
      <c r="I209" s="17">
        <v>3473</v>
      </c>
      <c r="J209" s="14">
        <v>1929</v>
      </c>
      <c r="K209" s="14">
        <v>180</v>
      </c>
      <c r="L209" s="14">
        <v>191</v>
      </c>
      <c r="M209" s="14">
        <v>0</v>
      </c>
      <c r="N209" s="14">
        <v>1318</v>
      </c>
      <c r="O209" s="14">
        <v>507</v>
      </c>
      <c r="P209" s="14">
        <v>4452</v>
      </c>
      <c r="Q209" s="14">
        <v>0</v>
      </c>
      <c r="R209" s="14">
        <v>0</v>
      </c>
      <c r="S209" s="14">
        <v>0</v>
      </c>
      <c r="T209" s="18">
        <v>0</v>
      </c>
      <c r="U209" s="14">
        <v>0.22994439799999999</v>
      </c>
      <c r="V209" s="41"/>
      <c r="W209" s="39">
        <f t="shared" si="18"/>
        <v>2770.8299959000001</v>
      </c>
    </row>
    <row r="210" spans="1:29" x14ac:dyDescent="0.25">
      <c r="A210" s="7" t="s">
        <v>10</v>
      </c>
      <c r="B210" s="15" t="s">
        <v>73</v>
      </c>
      <c r="C210" s="7" t="s">
        <v>18</v>
      </c>
      <c r="D210" s="14">
        <v>663</v>
      </c>
      <c r="E210" s="14">
        <v>0</v>
      </c>
      <c r="F210" s="14">
        <v>372</v>
      </c>
      <c r="G210" s="14">
        <v>1478</v>
      </c>
      <c r="H210" s="16">
        <v>22100</v>
      </c>
      <c r="I210" s="17">
        <v>19366</v>
      </c>
      <c r="J210" s="14">
        <v>134</v>
      </c>
      <c r="K210" s="14">
        <v>63</v>
      </c>
      <c r="L210" s="14">
        <v>8</v>
      </c>
      <c r="M210" s="14">
        <v>8</v>
      </c>
      <c r="N210" s="14">
        <v>0</v>
      </c>
      <c r="O210" s="14">
        <v>0</v>
      </c>
      <c r="P210" s="14">
        <v>0</v>
      </c>
      <c r="Q210" s="14">
        <v>0</v>
      </c>
      <c r="R210" s="14">
        <v>0</v>
      </c>
      <c r="S210" s="14">
        <v>0</v>
      </c>
      <c r="T210" s="18">
        <v>8</v>
      </c>
      <c r="U210" s="14">
        <v>0.22994439799999999</v>
      </c>
      <c r="V210" s="41"/>
      <c r="W210" s="39">
        <f t="shared" si="18"/>
        <v>4503.9209236260003</v>
      </c>
    </row>
    <row r="211" spans="1:29" x14ac:dyDescent="0.25">
      <c r="A211" s="7" t="s">
        <v>10</v>
      </c>
      <c r="B211" s="15" t="s">
        <v>19</v>
      </c>
      <c r="C211" s="7" t="s">
        <v>18</v>
      </c>
      <c r="D211" s="14">
        <v>258</v>
      </c>
      <c r="E211" s="14">
        <v>0</v>
      </c>
      <c r="F211" s="14">
        <v>37</v>
      </c>
      <c r="G211" s="14">
        <v>636</v>
      </c>
      <c r="H211" s="16">
        <v>1462</v>
      </c>
      <c r="I211" s="17">
        <v>489</v>
      </c>
      <c r="J211" s="14">
        <v>29</v>
      </c>
      <c r="K211" s="14">
        <v>13</v>
      </c>
      <c r="L211" s="14">
        <v>0</v>
      </c>
      <c r="M211" s="14">
        <v>0</v>
      </c>
      <c r="N211" s="14">
        <v>0</v>
      </c>
      <c r="O211" s="14">
        <v>0</v>
      </c>
      <c r="P211" s="14">
        <v>0</v>
      </c>
      <c r="Q211" s="14">
        <v>0</v>
      </c>
      <c r="R211" s="14">
        <v>0</v>
      </c>
      <c r="S211" s="14">
        <v>0</v>
      </c>
      <c r="T211" s="18">
        <v>0</v>
      </c>
      <c r="U211" s="14">
        <v>0.22994439799999999</v>
      </c>
      <c r="V211" s="41"/>
      <c r="W211" s="39">
        <f t="shared" ref="W211:W291" si="25">SUM(I211:T211)*U211</f>
        <v>122.100475338</v>
      </c>
    </row>
    <row r="212" spans="1:29" ht="13" thickBot="1" x14ac:dyDescent="0.3">
      <c r="A212" s="7" t="s">
        <v>10</v>
      </c>
      <c r="B212" s="19" t="s">
        <v>20</v>
      </c>
      <c r="C212" s="20" t="s">
        <v>18</v>
      </c>
      <c r="D212" s="21">
        <v>0</v>
      </c>
      <c r="E212" s="21">
        <v>0</v>
      </c>
      <c r="F212" s="21">
        <v>0</v>
      </c>
      <c r="G212" s="21">
        <v>0</v>
      </c>
      <c r="H212" s="22">
        <v>0</v>
      </c>
      <c r="I212" s="23">
        <v>0</v>
      </c>
      <c r="J212" s="21">
        <v>0</v>
      </c>
      <c r="K212" s="21">
        <v>0</v>
      </c>
      <c r="L212" s="21">
        <v>0</v>
      </c>
      <c r="M212" s="21">
        <v>0</v>
      </c>
      <c r="N212" s="21">
        <v>0</v>
      </c>
      <c r="O212" s="21">
        <v>0</v>
      </c>
      <c r="P212" s="21">
        <v>0</v>
      </c>
      <c r="Q212" s="21">
        <v>0</v>
      </c>
      <c r="R212" s="21">
        <v>0</v>
      </c>
      <c r="S212" s="21">
        <v>0</v>
      </c>
      <c r="T212" s="24">
        <v>0</v>
      </c>
      <c r="U212" s="14">
        <v>0.22994439799999999</v>
      </c>
      <c r="V212" s="44"/>
      <c r="W212" s="39">
        <f t="shared" si="25"/>
        <v>0</v>
      </c>
    </row>
    <row r="213" spans="1:29" ht="13" thickBot="1" x14ac:dyDescent="0.3">
      <c r="A213" s="7" t="s">
        <v>10</v>
      </c>
      <c r="B213" s="25" t="s">
        <v>12</v>
      </c>
      <c r="C213" s="26" t="s">
        <v>18</v>
      </c>
      <c r="D213" s="27">
        <v>1248</v>
      </c>
      <c r="E213" s="27">
        <v>21</v>
      </c>
      <c r="F213" s="27">
        <v>1117</v>
      </c>
      <c r="G213" s="27">
        <v>4689</v>
      </c>
      <c r="H213" s="28">
        <v>47607</v>
      </c>
      <c r="I213" s="29">
        <v>31501</v>
      </c>
      <c r="J213" s="27">
        <v>2253</v>
      </c>
      <c r="K213" s="27">
        <v>281</v>
      </c>
      <c r="L213" s="27">
        <v>199</v>
      </c>
      <c r="M213" s="27">
        <v>8</v>
      </c>
      <c r="N213" s="27">
        <v>1322</v>
      </c>
      <c r="O213" s="27">
        <v>507</v>
      </c>
      <c r="P213" s="27">
        <v>4452</v>
      </c>
      <c r="Q213" s="27">
        <v>0</v>
      </c>
      <c r="R213" s="27">
        <v>0</v>
      </c>
      <c r="S213" s="27">
        <v>0</v>
      </c>
      <c r="T213" s="29">
        <v>8</v>
      </c>
      <c r="U213" s="14">
        <v>0.22994439799999999</v>
      </c>
      <c r="V213" s="43">
        <f>SUM(I208:T211)/SUM(H208:H211)</f>
        <v>0.88139108413744927</v>
      </c>
      <c r="W213" s="39">
        <f t="shared" si="25"/>
        <v>9319.8763953380003</v>
      </c>
      <c r="X213" s="35">
        <f>W211+W208</f>
        <v>2008.7942609280001</v>
      </c>
      <c r="Y213" s="35">
        <f>W206</f>
        <v>0.68983319399999998</v>
      </c>
    </row>
    <row r="214" spans="1:29" x14ac:dyDescent="0.25">
      <c r="A214" s="7" t="s">
        <v>10</v>
      </c>
      <c r="B214" s="8" t="s">
        <v>17</v>
      </c>
      <c r="C214" s="9" t="s">
        <v>21</v>
      </c>
      <c r="D214" s="10">
        <v>0</v>
      </c>
      <c r="E214" s="10">
        <v>0</v>
      </c>
      <c r="F214" s="10">
        <v>0</v>
      </c>
      <c r="G214" s="10">
        <v>0</v>
      </c>
      <c r="H214" s="11">
        <v>174</v>
      </c>
      <c r="I214" s="12">
        <v>174</v>
      </c>
      <c r="J214" s="10">
        <v>0</v>
      </c>
      <c r="K214" s="10">
        <v>0</v>
      </c>
      <c r="L214" s="10">
        <v>0</v>
      </c>
      <c r="M214" s="10">
        <v>0</v>
      </c>
      <c r="N214" s="10">
        <v>0</v>
      </c>
      <c r="O214" s="10">
        <v>0</v>
      </c>
      <c r="P214" s="10">
        <v>0</v>
      </c>
      <c r="Q214" s="10">
        <v>0</v>
      </c>
      <c r="R214" s="10">
        <v>0</v>
      </c>
      <c r="S214" s="10">
        <v>0</v>
      </c>
      <c r="T214" s="13">
        <v>0</v>
      </c>
      <c r="U214" s="14">
        <v>0.22994439799999999</v>
      </c>
      <c r="W214" s="39">
        <f t="shared" si="25"/>
        <v>40.010325252000001</v>
      </c>
      <c r="AB214" s="37" t="str">
        <f t="shared" ref="AB214:AB220" si="26">B214</f>
        <v>Parts-OTC</v>
      </c>
      <c r="AC214" s="36">
        <f t="shared" ref="AC214:AC220" si="27">I214*U214</f>
        <v>40.010325252000001</v>
      </c>
    </row>
    <row r="215" spans="1:29" x14ac:dyDescent="0.25">
      <c r="A215" s="7" t="s">
        <v>10</v>
      </c>
      <c r="B215" s="15" t="s">
        <v>66</v>
      </c>
      <c r="C215" s="7" t="s">
        <v>21</v>
      </c>
      <c r="D215" s="14">
        <v>0</v>
      </c>
      <c r="E215" s="14">
        <v>0</v>
      </c>
      <c r="F215" s="14">
        <v>0</v>
      </c>
      <c r="G215" s="14">
        <v>0</v>
      </c>
      <c r="H215" s="16">
        <v>0</v>
      </c>
      <c r="I215" s="17">
        <v>0</v>
      </c>
      <c r="J215" s="14">
        <v>0</v>
      </c>
      <c r="K215" s="14">
        <v>0</v>
      </c>
      <c r="L215" s="14">
        <v>0</v>
      </c>
      <c r="M215" s="14">
        <v>0</v>
      </c>
      <c r="N215" s="14">
        <v>0</v>
      </c>
      <c r="O215" s="14">
        <v>0</v>
      </c>
      <c r="P215" s="14">
        <v>0</v>
      </c>
      <c r="Q215" s="14">
        <v>0</v>
      </c>
      <c r="R215" s="14">
        <v>0</v>
      </c>
      <c r="S215" s="14">
        <v>0</v>
      </c>
      <c r="T215" s="18">
        <v>0</v>
      </c>
      <c r="U215" s="14">
        <v>0.22994439799999999</v>
      </c>
      <c r="W215" s="39">
        <f t="shared" si="25"/>
        <v>0</v>
      </c>
      <c r="AB215" s="37" t="str">
        <f t="shared" si="26"/>
        <v>CTKS</v>
      </c>
      <c r="AC215" s="36">
        <f t="shared" si="27"/>
        <v>0</v>
      </c>
    </row>
    <row r="216" spans="1:29" x14ac:dyDescent="0.25">
      <c r="A216" s="7" t="s">
        <v>10</v>
      </c>
      <c r="B216" s="15" t="s">
        <v>13</v>
      </c>
      <c r="C216" s="7" t="s">
        <v>21</v>
      </c>
      <c r="D216" s="14">
        <v>0</v>
      </c>
      <c r="E216" s="14">
        <v>0</v>
      </c>
      <c r="F216" s="14">
        <v>0</v>
      </c>
      <c r="G216" s="14">
        <v>0</v>
      </c>
      <c r="H216" s="16">
        <v>1483</v>
      </c>
      <c r="I216" s="17">
        <v>1332</v>
      </c>
      <c r="J216" s="14">
        <v>149</v>
      </c>
      <c r="K216" s="14">
        <v>0</v>
      </c>
      <c r="L216" s="14">
        <v>0</v>
      </c>
      <c r="M216" s="14">
        <v>2</v>
      </c>
      <c r="N216" s="14">
        <v>0</v>
      </c>
      <c r="O216" s="14">
        <v>0</v>
      </c>
      <c r="P216" s="14">
        <v>0</v>
      </c>
      <c r="Q216" s="14">
        <v>0</v>
      </c>
      <c r="R216" s="14">
        <v>0</v>
      </c>
      <c r="S216" s="14">
        <v>0</v>
      </c>
      <c r="T216" s="18">
        <v>0</v>
      </c>
      <c r="U216" s="14">
        <v>0.22994439799999999</v>
      </c>
      <c r="W216" s="39">
        <f t="shared" si="25"/>
        <v>341.00754223399997</v>
      </c>
      <c r="AB216" s="37" t="str">
        <f t="shared" si="26"/>
        <v>Repair</v>
      </c>
      <c r="AC216" s="36">
        <f t="shared" si="27"/>
        <v>306.28593813599997</v>
      </c>
    </row>
    <row r="217" spans="1:29" x14ac:dyDescent="0.25">
      <c r="A217" s="7" t="s">
        <v>10</v>
      </c>
      <c r="B217" s="15" t="s">
        <v>67</v>
      </c>
      <c r="C217" s="7" t="s">
        <v>21</v>
      </c>
      <c r="D217" s="14">
        <v>0</v>
      </c>
      <c r="E217" s="14">
        <v>0</v>
      </c>
      <c r="F217" s="14">
        <v>0</v>
      </c>
      <c r="G217" s="14">
        <v>0</v>
      </c>
      <c r="H217" s="16">
        <v>612</v>
      </c>
      <c r="I217" s="17">
        <v>69</v>
      </c>
      <c r="J217" s="14">
        <v>100</v>
      </c>
      <c r="K217" s="14">
        <v>82</v>
      </c>
      <c r="L217" s="14">
        <v>105</v>
      </c>
      <c r="M217" s="14">
        <v>66</v>
      </c>
      <c r="N217" s="14">
        <v>26</v>
      </c>
      <c r="O217" s="14">
        <v>26</v>
      </c>
      <c r="P217" s="14">
        <v>34</v>
      </c>
      <c r="Q217" s="14">
        <v>28</v>
      </c>
      <c r="R217" s="14">
        <v>26</v>
      </c>
      <c r="S217" s="14">
        <v>26</v>
      </c>
      <c r="T217" s="18">
        <v>26</v>
      </c>
      <c r="U217" s="14">
        <v>0.22994439799999999</v>
      </c>
      <c r="W217" s="39">
        <f t="shared" si="25"/>
        <v>141.18586037200001</v>
      </c>
      <c r="AB217" s="37" t="str">
        <f t="shared" si="26"/>
        <v>Rental</v>
      </c>
      <c r="AC217" s="36">
        <f t="shared" si="27"/>
        <v>15.866163461999999</v>
      </c>
    </row>
    <row r="218" spans="1:29" x14ac:dyDescent="0.25">
      <c r="A218" s="7" t="s">
        <v>10</v>
      </c>
      <c r="B218" s="15" t="s">
        <v>73</v>
      </c>
      <c r="C218" s="7" t="s">
        <v>21</v>
      </c>
      <c r="D218" s="14">
        <v>0</v>
      </c>
      <c r="E218" s="14">
        <v>0</v>
      </c>
      <c r="F218" s="14">
        <v>0</v>
      </c>
      <c r="G218" s="14">
        <v>0</v>
      </c>
      <c r="H218" s="16">
        <v>2268</v>
      </c>
      <c r="I218" s="17">
        <v>2002</v>
      </c>
      <c r="J218" s="14">
        <v>4</v>
      </c>
      <c r="K218" s="14">
        <v>45</v>
      </c>
      <c r="L218" s="14">
        <v>30</v>
      </c>
      <c r="M218" s="14">
        <v>13</v>
      </c>
      <c r="N218" s="14">
        <v>127</v>
      </c>
      <c r="O218" s="14">
        <v>49</v>
      </c>
      <c r="P218" s="14">
        <v>0</v>
      </c>
      <c r="Q218" s="14">
        <v>0</v>
      </c>
      <c r="R218" s="14">
        <v>0</v>
      </c>
      <c r="S218" s="14">
        <v>0</v>
      </c>
      <c r="T218" s="18">
        <v>0</v>
      </c>
      <c r="U218" s="14">
        <v>0.22994439799999999</v>
      </c>
      <c r="W218" s="39">
        <f t="shared" si="25"/>
        <v>521.97378345999994</v>
      </c>
      <c r="AB218" s="37"/>
    </row>
    <row r="219" spans="1:29" x14ac:dyDescent="0.25">
      <c r="A219" s="7" t="s">
        <v>10</v>
      </c>
      <c r="B219" s="15" t="s">
        <v>19</v>
      </c>
      <c r="C219" s="7" t="s">
        <v>21</v>
      </c>
      <c r="D219" s="14">
        <v>0</v>
      </c>
      <c r="E219" s="14">
        <v>0</v>
      </c>
      <c r="F219" s="14">
        <v>0</v>
      </c>
      <c r="G219" s="14">
        <v>0</v>
      </c>
      <c r="H219" s="16">
        <v>2337</v>
      </c>
      <c r="I219" s="17">
        <v>791</v>
      </c>
      <c r="J219" s="14">
        <v>162</v>
      </c>
      <c r="K219" s="14">
        <v>115</v>
      </c>
      <c r="L219" s="14">
        <v>220</v>
      </c>
      <c r="M219" s="14">
        <v>337</v>
      </c>
      <c r="N219" s="14">
        <v>529</v>
      </c>
      <c r="O219" s="14">
        <v>106</v>
      </c>
      <c r="P219" s="14">
        <v>44</v>
      </c>
      <c r="Q219" s="14">
        <v>13</v>
      </c>
      <c r="R219" s="14">
        <v>10</v>
      </c>
      <c r="S219" s="14">
        <v>0</v>
      </c>
      <c r="T219" s="18">
        <v>11</v>
      </c>
      <c r="U219" s="14">
        <v>0.22994439799999999</v>
      </c>
      <c r="W219" s="39">
        <f t="shared" si="25"/>
        <v>537.61000252400004</v>
      </c>
      <c r="AB219" s="37" t="str">
        <f t="shared" si="26"/>
        <v>Maintenance</v>
      </c>
      <c r="AC219" s="36">
        <f t="shared" si="27"/>
        <v>181.886018818</v>
      </c>
    </row>
    <row r="220" spans="1:29" ht="13" thickBot="1" x14ac:dyDescent="0.3">
      <c r="A220" s="7" t="s">
        <v>10</v>
      </c>
      <c r="B220" s="19" t="s">
        <v>20</v>
      </c>
      <c r="C220" s="20" t="s">
        <v>21</v>
      </c>
      <c r="D220" s="21">
        <v>0</v>
      </c>
      <c r="E220" s="21">
        <v>0</v>
      </c>
      <c r="F220" s="21">
        <v>0</v>
      </c>
      <c r="G220" s="21">
        <v>0</v>
      </c>
      <c r="H220" s="22">
        <v>109</v>
      </c>
      <c r="I220" s="23">
        <v>95</v>
      </c>
      <c r="J220" s="21">
        <v>14</v>
      </c>
      <c r="K220" s="21">
        <v>0</v>
      </c>
      <c r="L220" s="21">
        <v>0</v>
      </c>
      <c r="M220" s="21">
        <v>0</v>
      </c>
      <c r="N220" s="21">
        <v>0</v>
      </c>
      <c r="O220" s="21">
        <v>0</v>
      </c>
      <c r="P220" s="21">
        <v>0</v>
      </c>
      <c r="Q220" s="21">
        <v>0</v>
      </c>
      <c r="R220" s="21">
        <v>0</v>
      </c>
      <c r="S220" s="21">
        <v>0</v>
      </c>
      <c r="T220" s="24">
        <v>0</v>
      </c>
      <c r="U220" s="14">
        <v>0.22994439799999999</v>
      </c>
      <c r="W220" s="39">
        <f t="shared" si="25"/>
        <v>25.063939382000001</v>
      </c>
      <c r="AB220" s="37" t="str">
        <f t="shared" si="26"/>
        <v>Startup</v>
      </c>
      <c r="AC220" s="36">
        <f t="shared" si="27"/>
        <v>21.844717809999999</v>
      </c>
    </row>
    <row r="221" spans="1:29" ht="13" thickBot="1" x14ac:dyDescent="0.3">
      <c r="A221" s="20" t="s">
        <v>10</v>
      </c>
      <c r="B221" s="25" t="s">
        <v>12</v>
      </c>
      <c r="C221" s="26" t="s">
        <v>21</v>
      </c>
      <c r="D221" s="27">
        <v>0</v>
      </c>
      <c r="E221" s="27">
        <v>0</v>
      </c>
      <c r="F221" s="27">
        <v>0</v>
      </c>
      <c r="G221" s="27">
        <v>0</v>
      </c>
      <c r="H221" s="28">
        <v>6983</v>
      </c>
      <c r="I221" s="29">
        <v>4463</v>
      </c>
      <c r="J221" s="27">
        <v>429</v>
      </c>
      <c r="K221" s="27">
        <v>242</v>
      </c>
      <c r="L221" s="27">
        <v>355</v>
      </c>
      <c r="M221" s="27">
        <v>418</v>
      </c>
      <c r="N221" s="27">
        <v>682</v>
      </c>
      <c r="O221" s="27">
        <v>181</v>
      </c>
      <c r="P221" s="27">
        <v>78</v>
      </c>
      <c r="Q221" s="27">
        <v>41</v>
      </c>
      <c r="R221" s="27">
        <v>36</v>
      </c>
      <c r="S221" s="27">
        <v>26</v>
      </c>
      <c r="T221" s="29">
        <v>37</v>
      </c>
      <c r="U221" s="14">
        <v>0.22994439799999999</v>
      </c>
      <c r="W221" s="39">
        <f t="shared" si="25"/>
        <v>1606.8514532239999</v>
      </c>
      <c r="X221" s="35">
        <f>W220+W219+W216</f>
        <v>903.68148413999995</v>
      </c>
      <c r="Y221" s="35">
        <f>W214</f>
        <v>40.010325252000001</v>
      </c>
      <c r="Z221" s="40">
        <f>V212/X221</f>
        <v>0</v>
      </c>
      <c r="AA221" s="40">
        <f>IF((Y221=0),0,Y213/Y221)</f>
        <v>1.7241379310344827E-2</v>
      </c>
      <c r="AB221" s="48"/>
      <c r="AC221" s="48"/>
    </row>
    <row r="222" spans="1:29" ht="13" thickBot="1" x14ac:dyDescent="0.3">
      <c r="A222" s="9" t="s">
        <v>9</v>
      </c>
      <c r="B222" s="30" t="s">
        <v>15</v>
      </c>
      <c r="C222" s="31" t="s">
        <v>46</v>
      </c>
      <c r="D222" s="32"/>
      <c r="E222" s="53"/>
      <c r="F222" s="53"/>
      <c r="G222" s="53"/>
      <c r="H222" s="28"/>
      <c r="I222" s="54"/>
      <c r="J222" s="53"/>
      <c r="K222" s="53"/>
      <c r="L222" s="53"/>
      <c r="M222" s="53"/>
      <c r="N222" s="53"/>
      <c r="O222" s="53"/>
      <c r="P222" s="53"/>
      <c r="Q222" s="53"/>
      <c r="R222" s="53"/>
      <c r="S222" s="53"/>
      <c r="T222" s="55"/>
      <c r="U222" s="14">
        <v>1.175</v>
      </c>
      <c r="V222" s="14" t="s">
        <v>183</v>
      </c>
      <c r="W222" s="39">
        <f t="shared" si="25"/>
        <v>0</v>
      </c>
      <c r="X222" s="14" t="s">
        <v>37</v>
      </c>
      <c r="Y222" s="14" t="s">
        <v>38</v>
      </c>
      <c r="AB222" s="48"/>
      <c r="AC222" s="48"/>
    </row>
    <row r="223" spans="1:29" x14ac:dyDescent="0.25">
      <c r="A223" s="7" t="s">
        <v>9</v>
      </c>
      <c r="B223" s="8" t="s">
        <v>17</v>
      </c>
      <c r="C223" s="9" t="s">
        <v>18</v>
      </c>
      <c r="D223" s="10"/>
      <c r="E223" s="10"/>
      <c r="F223" s="10"/>
      <c r="G223" s="10"/>
      <c r="H223" s="11"/>
      <c r="I223" s="12"/>
      <c r="J223" s="10"/>
      <c r="K223" s="10"/>
      <c r="L223" s="10"/>
      <c r="M223" s="10"/>
      <c r="N223" s="10"/>
      <c r="O223" s="10"/>
      <c r="P223" s="10"/>
      <c r="Q223" s="10"/>
      <c r="R223" s="10"/>
      <c r="S223" s="10"/>
      <c r="T223" s="13"/>
      <c r="U223" s="14">
        <v>1.175</v>
      </c>
      <c r="V223" s="42" t="e">
        <f>SUM(I223:T223)/H223</f>
        <v>#DIV/0!</v>
      </c>
      <c r="W223" s="39">
        <f t="shared" si="25"/>
        <v>0</v>
      </c>
    </row>
    <row r="224" spans="1:29" x14ac:dyDescent="0.25">
      <c r="A224" s="7" t="s">
        <v>9</v>
      </c>
      <c r="B224" s="15" t="s">
        <v>66</v>
      </c>
      <c r="C224" s="7" t="s">
        <v>18</v>
      </c>
      <c r="D224" s="14"/>
      <c r="E224" s="14"/>
      <c r="F224" s="14"/>
      <c r="G224" s="14"/>
      <c r="H224" s="16"/>
      <c r="I224" s="17"/>
      <c r="J224" s="14"/>
      <c r="K224" s="14"/>
      <c r="L224" s="14"/>
      <c r="M224" s="14"/>
      <c r="N224" s="14"/>
      <c r="O224" s="14"/>
      <c r="P224" s="14"/>
      <c r="Q224" s="14"/>
      <c r="R224" s="14"/>
      <c r="S224" s="14"/>
      <c r="T224" s="18"/>
      <c r="U224" s="14">
        <v>1.175</v>
      </c>
      <c r="V224" s="44"/>
      <c r="W224" s="39">
        <f t="shared" si="25"/>
        <v>0</v>
      </c>
    </row>
    <row r="225" spans="1:29" x14ac:dyDescent="0.25">
      <c r="A225" s="7" t="s">
        <v>9</v>
      </c>
      <c r="B225" s="15" t="s">
        <v>13</v>
      </c>
      <c r="C225" s="7" t="s">
        <v>18</v>
      </c>
      <c r="D225" s="14"/>
      <c r="E225" s="14"/>
      <c r="F225" s="14"/>
      <c r="G225" s="14"/>
      <c r="H225" s="16"/>
      <c r="I225" s="17"/>
      <c r="J225" s="14"/>
      <c r="K225" s="14"/>
      <c r="L225" s="14"/>
      <c r="M225" s="14"/>
      <c r="N225" s="14"/>
      <c r="O225" s="14"/>
      <c r="P225" s="14"/>
      <c r="Q225" s="14"/>
      <c r="R225" s="14"/>
      <c r="S225" s="14"/>
      <c r="T225" s="18"/>
      <c r="U225" s="14">
        <v>1.175</v>
      </c>
      <c r="V225" s="41"/>
      <c r="W225" s="39">
        <f t="shared" si="25"/>
        <v>0</v>
      </c>
    </row>
    <row r="226" spans="1:29" x14ac:dyDescent="0.25">
      <c r="A226" s="7" t="s">
        <v>9</v>
      </c>
      <c r="B226" s="15" t="s">
        <v>67</v>
      </c>
      <c r="C226" s="7" t="s">
        <v>18</v>
      </c>
      <c r="D226" s="14"/>
      <c r="E226" s="14"/>
      <c r="F226" s="14"/>
      <c r="G226" s="14"/>
      <c r="H226" s="16"/>
      <c r="I226" s="17"/>
      <c r="J226" s="14"/>
      <c r="K226" s="14"/>
      <c r="L226" s="14"/>
      <c r="M226" s="14"/>
      <c r="N226" s="14"/>
      <c r="O226" s="14"/>
      <c r="P226" s="14"/>
      <c r="Q226" s="14"/>
      <c r="R226" s="14"/>
      <c r="S226" s="14"/>
      <c r="T226" s="18"/>
      <c r="U226" s="14">
        <v>1.175</v>
      </c>
      <c r="V226" s="41"/>
      <c r="W226" s="39">
        <f t="shared" si="25"/>
        <v>0</v>
      </c>
    </row>
    <row r="227" spans="1:29" x14ac:dyDescent="0.25">
      <c r="A227" s="7" t="s">
        <v>9</v>
      </c>
      <c r="B227" s="15" t="s">
        <v>73</v>
      </c>
      <c r="C227" s="7" t="s">
        <v>18</v>
      </c>
      <c r="D227" s="14"/>
      <c r="E227" s="14"/>
      <c r="F227" s="14"/>
      <c r="G227" s="14"/>
      <c r="H227" s="16"/>
      <c r="I227" s="17"/>
      <c r="J227" s="14"/>
      <c r="K227" s="14"/>
      <c r="L227" s="14"/>
      <c r="M227" s="14"/>
      <c r="N227" s="14"/>
      <c r="O227" s="14"/>
      <c r="P227" s="14"/>
      <c r="Q227" s="14"/>
      <c r="R227" s="14"/>
      <c r="S227" s="14"/>
      <c r="T227" s="18"/>
      <c r="U227" s="14">
        <v>1.175</v>
      </c>
      <c r="V227" s="41"/>
      <c r="W227" s="39">
        <f t="shared" si="25"/>
        <v>0</v>
      </c>
    </row>
    <row r="228" spans="1:29" x14ac:dyDescent="0.25">
      <c r="A228" s="7" t="s">
        <v>9</v>
      </c>
      <c r="B228" s="15" t="s">
        <v>19</v>
      </c>
      <c r="C228" s="7" t="s">
        <v>18</v>
      </c>
      <c r="D228" s="14"/>
      <c r="E228" s="14"/>
      <c r="F228" s="14"/>
      <c r="G228" s="14"/>
      <c r="H228" s="16"/>
      <c r="I228" s="17"/>
      <c r="J228" s="14"/>
      <c r="K228" s="14"/>
      <c r="L228" s="14"/>
      <c r="M228" s="14"/>
      <c r="N228" s="14"/>
      <c r="O228" s="14"/>
      <c r="P228" s="14"/>
      <c r="Q228" s="14"/>
      <c r="R228" s="14"/>
      <c r="S228" s="14"/>
      <c r="T228" s="18"/>
      <c r="U228" s="14">
        <v>1.175</v>
      </c>
      <c r="V228" s="41"/>
      <c r="W228" s="39">
        <f t="shared" si="25"/>
        <v>0</v>
      </c>
    </row>
    <row r="229" spans="1:29" ht="13" thickBot="1" x14ac:dyDescent="0.3">
      <c r="A229" s="7" t="s">
        <v>9</v>
      </c>
      <c r="B229" s="19" t="s">
        <v>20</v>
      </c>
      <c r="C229" s="20" t="s">
        <v>18</v>
      </c>
      <c r="D229" s="21"/>
      <c r="E229" s="21"/>
      <c r="F229" s="21"/>
      <c r="G229" s="21"/>
      <c r="H229" s="22"/>
      <c r="I229" s="23"/>
      <c r="J229" s="21"/>
      <c r="K229" s="21"/>
      <c r="L229" s="21"/>
      <c r="M229" s="21"/>
      <c r="N229" s="21"/>
      <c r="O229" s="21"/>
      <c r="P229" s="21"/>
      <c r="Q229" s="21"/>
      <c r="R229" s="21"/>
      <c r="S229" s="21"/>
      <c r="T229" s="24"/>
      <c r="U229" s="14">
        <v>1.175</v>
      </c>
      <c r="V229" s="44"/>
      <c r="W229" s="39">
        <f t="shared" si="25"/>
        <v>0</v>
      </c>
    </row>
    <row r="230" spans="1:29" ht="13" thickBot="1" x14ac:dyDescent="0.3">
      <c r="A230" s="7" t="s">
        <v>9</v>
      </c>
      <c r="B230" s="25" t="s">
        <v>12</v>
      </c>
      <c r="C230" s="26" t="s">
        <v>18</v>
      </c>
      <c r="D230" s="27"/>
      <c r="E230" s="27"/>
      <c r="F230" s="27"/>
      <c r="G230" s="27"/>
      <c r="H230" s="28"/>
      <c r="I230" s="29"/>
      <c r="J230" s="27"/>
      <c r="K230" s="27"/>
      <c r="L230" s="27"/>
      <c r="M230" s="27"/>
      <c r="N230" s="27"/>
      <c r="O230" s="27"/>
      <c r="P230" s="27"/>
      <c r="Q230" s="27"/>
      <c r="R230" s="27"/>
      <c r="S230" s="27"/>
      <c r="T230" s="29"/>
      <c r="U230" s="14">
        <v>1.175</v>
      </c>
      <c r="V230" s="43" t="e">
        <f>SUM(I225:T228)/SUM(H225:H228)</f>
        <v>#DIV/0!</v>
      </c>
      <c r="W230" s="39">
        <f t="shared" si="25"/>
        <v>0</v>
      </c>
      <c r="X230" s="35">
        <f>W228+W225</f>
        <v>0</v>
      </c>
      <c r="Y230" s="35">
        <f>W223</f>
        <v>0</v>
      </c>
    </row>
    <row r="231" spans="1:29" x14ac:dyDescent="0.25">
      <c r="A231" s="7" t="s">
        <v>9</v>
      </c>
      <c r="B231" s="8" t="s">
        <v>17</v>
      </c>
      <c r="C231" s="9" t="s">
        <v>21</v>
      </c>
      <c r="D231" s="10"/>
      <c r="E231" s="10"/>
      <c r="F231" s="10"/>
      <c r="G231" s="10"/>
      <c r="H231" s="11"/>
      <c r="I231" s="12"/>
      <c r="J231" s="10"/>
      <c r="K231" s="10"/>
      <c r="L231" s="10"/>
      <c r="M231" s="10"/>
      <c r="N231" s="10"/>
      <c r="O231" s="10"/>
      <c r="P231" s="10"/>
      <c r="Q231" s="10"/>
      <c r="R231" s="10"/>
      <c r="S231" s="10"/>
      <c r="T231" s="13"/>
      <c r="U231" s="14">
        <v>1.175</v>
      </c>
      <c r="W231" s="39">
        <f t="shared" si="25"/>
        <v>0</v>
      </c>
      <c r="AB231" s="37" t="str">
        <f t="shared" ref="AB231:AB237" si="28">B231</f>
        <v>Parts-OTC</v>
      </c>
      <c r="AC231" s="36">
        <f t="shared" ref="AC231:AC237" si="29">I231*U231</f>
        <v>0</v>
      </c>
    </row>
    <row r="232" spans="1:29" x14ac:dyDescent="0.25">
      <c r="A232" s="7" t="s">
        <v>9</v>
      </c>
      <c r="B232" s="15" t="s">
        <v>66</v>
      </c>
      <c r="C232" s="7" t="s">
        <v>21</v>
      </c>
      <c r="D232" s="14"/>
      <c r="E232" s="14"/>
      <c r="F232" s="14"/>
      <c r="G232" s="14"/>
      <c r="H232" s="16"/>
      <c r="I232" s="17"/>
      <c r="J232" s="14"/>
      <c r="K232" s="14"/>
      <c r="L232" s="14"/>
      <c r="M232" s="14"/>
      <c r="N232" s="14"/>
      <c r="O232" s="14"/>
      <c r="P232" s="14"/>
      <c r="Q232" s="14"/>
      <c r="R232" s="14"/>
      <c r="S232" s="14"/>
      <c r="T232" s="18"/>
      <c r="U232" s="14">
        <v>1.175</v>
      </c>
      <c r="W232" s="39">
        <f t="shared" si="25"/>
        <v>0</v>
      </c>
      <c r="AB232" s="37" t="str">
        <f t="shared" si="28"/>
        <v>CTKS</v>
      </c>
      <c r="AC232" s="36">
        <f t="shared" si="29"/>
        <v>0</v>
      </c>
    </row>
    <row r="233" spans="1:29" x14ac:dyDescent="0.25">
      <c r="A233" s="7" t="s">
        <v>9</v>
      </c>
      <c r="B233" s="15" t="s">
        <v>13</v>
      </c>
      <c r="C233" s="7" t="s">
        <v>21</v>
      </c>
      <c r="D233" s="14"/>
      <c r="E233" s="14"/>
      <c r="F233" s="14"/>
      <c r="G233" s="14"/>
      <c r="H233" s="16"/>
      <c r="I233" s="17"/>
      <c r="J233" s="14"/>
      <c r="K233" s="14"/>
      <c r="L233" s="14"/>
      <c r="M233" s="14"/>
      <c r="N233" s="14"/>
      <c r="O233" s="14"/>
      <c r="P233" s="14"/>
      <c r="Q233" s="14"/>
      <c r="R233" s="14"/>
      <c r="S233" s="14"/>
      <c r="T233" s="18"/>
      <c r="U233" s="14">
        <v>1.175</v>
      </c>
      <c r="W233" s="39">
        <f t="shared" si="25"/>
        <v>0</v>
      </c>
      <c r="AB233" s="37" t="str">
        <f t="shared" si="28"/>
        <v>Repair</v>
      </c>
      <c r="AC233" s="36">
        <f t="shared" si="29"/>
        <v>0</v>
      </c>
    </row>
    <row r="234" spans="1:29" x14ac:dyDescent="0.25">
      <c r="A234" s="7" t="s">
        <v>9</v>
      </c>
      <c r="B234" s="15" t="s">
        <v>67</v>
      </c>
      <c r="C234" s="7" t="s">
        <v>21</v>
      </c>
      <c r="D234" s="14"/>
      <c r="E234" s="14"/>
      <c r="F234" s="14"/>
      <c r="G234" s="14"/>
      <c r="H234" s="16"/>
      <c r="I234" s="17"/>
      <c r="J234" s="14"/>
      <c r="K234" s="14"/>
      <c r="L234" s="14"/>
      <c r="M234" s="14"/>
      <c r="N234" s="14"/>
      <c r="O234" s="14"/>
      <c r="P234" s="14"/>
      <c r="Q234" s="14"/>
      <c r="R234" s="14"/>
      <c r="S234" s="14"/>
      <c r="T234" s="18"/>
      <c r="U234" s="14">
        <v>1.175</v>
      </c>
      <c r="W234" s="39">
        <f t="shared" si="25"/>
        <v>0</v>
      </c>
      <c r="AB234" s="37" t="str">
        <f t="shared" si="28"/>
        <v>Rental</v>
      </c>
      <c r="AC234" s="36">
        <f t="shared" si="29"/>
        <v>0</v>
      </c>
    </row>
    <row r="235" spans="1:29" x14ac:dyDescent="0.25">
      <c r="A235" s="7" t="s">
        <v>9</v>
      </c>
      <c r="B235" s="15" t="s">
        <v>73</v>
      </c>
      <c r="C235" s="7" t="s">
        <v>21</v>
      </c>
      <c r="D235" s="14"/>
      <c r="E235" s="14"/>
      <c r="F235" s="14"/>
      <c r="G235" s="14"/>
      <c r="H235" s="16"/>
      <c r="I235" s="17"/>
      <c r="J235" s="14"/>
      <c r="K235" s="14"/>
      <c r="L235" s="14"/>
      <c r="M235" s="14"/>
      <c r="N235" s="14"/>
      <c r="O235" s="14"/>
      <c r="P235" s="14"/>
      <c r="Q235" s="14"/>
      <c r="R235" s="14"/>
      <c r="S235" s="14"/>
      <c r="T235" s="18"/>
      <c r="U235" s="14">
        <v>1.175</v>
      </c>
      <c r="W235" s="39">
        <f t="shared" si="25"/>
        <v>0</v>
      </c>
      <c r="AB235" s="37"/>
    </row>
    <row r="236" spans="1:29" x14ac:dyDescent="0.25">
      <c r="A236" s="7" t="s">
        <v>9</v>
      </c>
      <c r="B236" s="15" t="s">
        <v>19</v>
      </c>
      <c r="C236" s="7" t="s">
        <v>21</v>
      </c>
      <c r="D236" s="14"/>
      <c r="E236" s="14"/>
      <c r="F236" s="14"/>
      <c r="G236" s="14"/>
      <c r="H236" s="16"/>
      <c r="I236" s="17"/>
      <c r="J236" s="14"/>
      <c r="K236" s="14"/>
      <c r="L236" s="14"/>
      <c r="M236" s="14"/>
      <c r="N236" s="14"/>
      <c r="O236" s="14"/>
      <c r="P236" s="14"/>
      <c r="Q236" s="14"/>
      <c r="R236" s="14"/>
      <c r="S236" s="14"/>
      <c r="T236" s="18"/>
      <c r="U236" s="14">
        <v>1.175</v>
      </c>
      <c r="W236" s="39">
        <f t="shared" si="25"/>
        <v>0</v>
      </c>
      <c r="AB236" s="37" t="str">
        <f t="shared" si="28"/>
        <v>Maintenance</v>
      </c>
      <c r="AC236" s="36">
        <f t="shared" si="29"/>
        <v>0</v>
      </c>
    </row>
    <row r="237" spans="1:29" ht="13" thickBot="1" x14ac:dyDescent="0.3">
      <c r="A237" s="7" t="s">
        <v>9</v>
      </c>
      <c r="B237" s="19" t="s">
        <v>20</v>
      </c>
      <c r="C237" s="20" t="s">
        <v>21</v>
      </c>
      <c r="D237" s="21"/>
      <c r="E237" s="21"/>
      <c r="F237" s="21"/>
      <c r="G237" s="21"/>
      <c r="H237" s="22"/>
      <c r="I237" s="23"/>
      <c r="J237" s="21"/>
      <c r="K237" s="21"/>
      <c r="L237" s="21"/>
      <c r="M237" s="21"/>
      <c r="N237" s="21"/>
      <c r="O237" s="21"/>
      <c r="P237" s="21"/>
      <c r="Q237" s="21"/>
      <c r="R237" s="21"/>
      <c r="S237" s="21"/>
      <c r="T237" s="24"/>
      <c r="U237" s="14">
        <v>1.175</v>
      </c>
      <c r="W237" s="39">
        <f t="shared" si="25"/>
        <v>0</v>
      </c>
      <c r="AB237" s="37" t="str">
        <f t="shared" si="28"/>
        <v>Startup</v>
      </c>
      <c r="AC237" s="36">
        <f t="shared" si="29"/>
        <v>0</v>
      </c>
    </row>
    <row r="238" spans="1:29" ht="13" thickBot="1" x14ac:dyDescent="0.3">
      <c r="A238" s="20" t="s">
        <v>9</v>
      </c>
      <c r="B238" s="25" t="s">
        <v>12</v>
      </c>
      <c r="C238" s="26" t="s">
        <v>21</v>
      </c>
      <c r="D238" s="27"/>
      <c r="E238" s="27"/>
      <c r="F238" s="27"/>
      <c r="G238" s="27"/>
      <c r="H238" s="28"/>
      <c r="I238" s="29"/>
      <c r="J238" s="27"/>
      <c r="K238" s="27"/>
      <c r="L238" s="27"/>
      <c r="M238" s="27"/>
      <c r="N238" s="27"/>
      <c r="O238" s="27"/>
      <c r="P238" s="27"/>
      <c r="Q238" s="27"/>
      <c r="R238" s="27"/>
      <c r="S238" s="27"/>
      <c r="T238" s="29"/>
      <c r="U238" s="14">
        <v>1.175</v>
      </c>
      <c r="W238" s="39">
        <f t="shared" si="25"/>
        <v>0</v>
      </c>
      <c r="X238" s="35">
        <f>W237+W236+W233</f>
        <v>0</v>
      </c>
      <c r="Y238" s="35">
        <f>W231</f>
        <v>0</v>
      </c>
      <c r="Z238" s="40" t="e">
        <f>V229/X238</f>
        <v>#DIV/0!</v>
      </c>
      <c r="AA238" s="40">
        <f>IF((Y238=0),0,Y230/Y238)</f>
        <v>0</v>
      </c>
      <c r="AB238" s="48"/>
      <c r="AC238" s="48"/>
    </row>
    <row r="239" spans="1:29" ht="13" thickBot="1" x14ac:dyDescent="0.3">
      <c r="A239" s="9" t="s">
        <v>79</v>
      </c>
      <c r="B239" s="30" t="s">
        <v>15</v>
      </c>
      <c r="C239" s="31" t="s">
        <v>94</v>
      </c>
      <c r="D239" s="32" t="s">
        <v>47</v>
      </c>
      <c r="E239" s="53" t="s">
        <v>116</v>
      </c>
      <c r="F239" s="53" t="s">
        <v>117</v>
      </c>
      <c r="G239" s="53" t="s">
        <v>118</v>
      </c>
      <c r="H239" s="28" t="s">
        <v>12</v>
      </c>
      <c r="I239" s="54" t="s">
        <v>119</v>
      </c>
      <c r="J239" s="53" t="s">
        <v>174</v>
      </c>
      <c r="K239" s="53" t="s">
        <v>175</v>
      </c>
      <c r="L239" s="53" t="s">
        <v>99</v>
      </c>
      <c r="M239" s="53" t="s">
        <v>100</v>
      </c>
      <c r="N239" s="53" t="s">
        <v>101</v>
      </c>
      <c r="O239" s="53" t="s">
        <v>102</v>
      </c>
      <c r="P239" s="53" t="s">
        <v>103</v>
      </c>
      <c r="Q239" s="53" t="s">
        <v>104</v>
      </c>
      <c r="R239" s="53" t="s">
        <v>105</v>
      </c>
      <c r="S239" s="53" t="s">
        <v>106</v>
      </c>
      <c r="T239" s="55" t="s">
        <v>107</v>
      </c>
      <c r="U239" s="14">
        <v>1.175</v>
      </c>
      <c r="V239" s="14" t="s">
        <v>183</v>
      </c>
      <c r="W239" s="39">
        <f t="shared" si="25"/>
        <v>0</v>
      </c>
      <c r="X239" s="14" t="s">
        <v>37</v>
      </c>
      <c r="Y239" s="14" t="s">
        <v>38</v>
      </c>
      <c r="AB239" s="48"/>
      <c r="AC239" s="48"/>
    </row>
    <row r="240" spans="1:29" x14ac:dyDescent="0.25">
      <c r="A240" s="7" t="s">
        <v>79</v>
      </c>
      <c r="B240" s="8" t="s">
        <v>17</v>
      </c>
      <c r="C240" s="9" t="s">
        <v>18</v>
      </c>
      <c r="D240" s="10">
        <v>16</v>
      </c>
      <c r="E240" s="10">
        <v>0</v>
      </c>
      <c r="F240" s="10">
        <v>0</v>
      </c>
      <c r="G240" s="10">
        <v>0</v>
      </c>
      <c r="H240" s="11">
        <v>16</v>
      </c>
      <c r="I240" s="12">
        <v>0</v>
      </c>
      <c r="J240" s="10">
        <v>0</v>
      </c>
      <c r="K240" s="10">
        <v>0</v>
      </c>
      <c r="L240" s="10">
        <v>0</v>
      </c>
      <c r="M240" s="10">
        <v>0</v>
      </c>
      <c r="N240" s="10">
        <v>0</v>
      </c>
      <c r="O240" s="10">
        <v>0</v>
      </c>
      <c r="P240" s="10">
        <v>0</v>
      </c>
      <c r="Q240" s="10">
        <v>0</v>
      </c>
      <c r="R240" s="10">
        <v>0</v>
      </c>
      <c r="S240" s="10">
        <v>0</v>
      </c>
      <c r="T240" s="13">
        <v>0</v>
      </c>
      <c r="U240" s="14">
        <v>1.175</v>
      </c>
      <c r="V240" s="42">
        <f>SUM(I240:T240)/H240</f>
        <v>0</v>
      </c>
      <c r="W240" s="39">
        <f t="shared" si="25"/>
        <v>0</v>
      </c>
    </row>
    <row r="241" spans="1:29" x14ac:dyDescent="0.25">
      <c r="A241" s="7" t="s">
        <v>79</v>
      </c>
      <c r="B241" s="15" t="s">
        <v>66</v>
      </c>
      <c r="C241" s="7" t="s">
        <v>18</v>
      </c>
      <c r="D241" s="14">
        <v>0</v>
      </c>
      <c r="E241" s="14">
        <v>0</v>
      </c>
      <c r="F241" s="14">
        <v>0</v>
      </c>
      <c r="G241" s="14">
        <v>0</v>
      </c>
      <c r="H241" s="16">
        <v>0</v>
      </c>
      <c r="I241" s="17">
        <v>0</v>
      </c>
      <c r="J241" s="14">
        <v>0</v>
      </c>
      <c r="K241" s="14">
        <v>0</v>
      </c>
      <c r="L241" s="14">
        <v>0</v>
      </c>
      <c r="M241" s="14">
        <v>0</v>
      </c>
      <c r="N241" s="14">
        <v>0</v>
      </c>
      <c r="O241" s="14">
        <v>0</v>
      </c>
      <c r="P241" s="14">
        <v>0</v>
      </c>
      <c r="Q241" s="14">
        <v>0</v>
      </c>
      <c r="R241" s="14">
        <v>0</v>
      </c>
      <c r="S241" s="14">
        <v>0</v>
      </c>
      <c r="T241" s="18">
        <v>0</v>
      </c>
      <c r="U241" s="14">
        <v>1.175</v>
      </c>
      <c r="V241" s="44"/>
      <c r="W241" s="39">
        <f t="shared" si="25"/>
        <v>0</v>
      </c>
    </row>
    <row r="242" spans="1:29" x14ac:dyDescent="0.25">
      <c r="A242" s="7" t="s">
        <v>79</v>
      </c>
      <c r="B242" s="15" t="s">
        <v>13</v>
      </c>
      <c r="C242" s="7" t="s">
        <v>18</v>
      </c>
      <c r="D242" s="14">
        <v>1</v>
      </c>
      <c r="E242" s="14">
        <v>1</v>
      </c>
      <c r="F242" s="14">
        <v>0</v>
      </c>
      <c r="G242" s="14">
        <v>156</v>
      </c>
      <c r="H242" s="16">
        <v>162</v>
      </c>
      <c r="I242" s="17">
        <v>5</v>
      </c>
      <c r="J242" s="14">
        <v>0</v>
      </c>
      <c r="K242" s="14">
        <v>0</v>
      </c>
      <c r="L242" s="14">
        <v>0</v>
      </c>
      <c r="M242" s="14">
        <v>0</v>
      </c>
      <c r="N242" s="14">
        <v>0</v>
      </c>
      <c r="O242" s="14">
        <v>0</v>
      </c>
      <c r="P242" s="14">
        <v>0</v>
      </c>
      <c r="Q242" s="14">
        <v>0</v>
      </c>
      <c r="R242" s="14">
        <v>0</v>
      </c>
      <c r="S242" s="14">
        <v>0</v>
      </c>
      <c r="T242" s="18">
        <v>0</v>
      </c>
      <c r="U242" s="14">
        <v>1.175</v>
      </c>
      <c r="V242" s="41"/>
      <c r="W242" s="39">
        <f t="shared" si="25"/>
        <v>5.875</v>
      </c>
    </row>
    <row r="243" spans="1:29" x14ac:dyDescent="0.25">
      <c r="A243" s="7" t="s">
        <v>79</v>
      </c>
      <c r="B243" s="15" t="s">
        <v>67</v>
      </c>
      <c r="C243" s="7" t="s">
        <v>18</v>
      </c>
      <c r="D243" s="14">
        <v>73</v>
      </c>
      <c r="E243" s="14">
        <v>0</v>
      </c>
      <c r="F243" s="14">
        <v>0</v>
      </c>
      <c r="G243" s="14">
        <v>26</v>
      </c>
      <c r="H243" s="16">
        <v>804</v>
      </c>
      <c r="I243" s="17">
        <v>80</v>
      </c>
      <c r="J243" s="14">
        <v>77</v>
      </c>
      <c r="K243" s="14">
        <v>35</v>
      </c>
      <c r="L243" s="14">
        <v>0</v>
      </c>
      <c r="M243" s="14">
        <v>0</v>
      </c>
      <c r="N243" s="14">
        <v>0</v>
      </c>
      <c r="O243" s="14">
        <v>0</v>
      </c>
      <c r="P243" s="14">
        <v>0</v>
      </c>
      <c r="Q243" s="14">
        <v>513</v>
      </c>
      <c r="R243" s="14">
        <v>0</v>
      </c>
      <c r="S243" s="14">
        <v>0</v>
      </c>
      <c r="T243" s="18">
        <v>0</v>
      </c>
      <c r="U243" s="14">
        <v>1.175</v>
      </c>
      <c r="V243" s="41"/>
      <c r="W243" s="39">
        <f t="shared" si="25"/>
        <v>828.375</v>
      </c>
    </row>
    <row r="244" spans="1:29" x14ac:dyDescent="0.25">
      <c r="A244" s="7" t="s">
        <v>79</v>
      </c>
      <c r="B244" s="15" t="s">
        <v>73</v>
      </c>
      <c r="C244" s="7" t="s">
        <v>18</v>
      </c>
      <c r="D244" s="14">
        <v>13</v>
      </c>
      <c r="E244" s="14">
        <v>0</v>
      </c>
      <c r="F244" s="14">
        <v>0</v>
      </c>
      <c r="G244" s="14">
        <v>1101</v>
      </c>
      <c r="H244" s="16">
        <v>1116</v>
      </c>
      <c r="I244" s="17">
        <v>2</v>
      </c>
      <c r="J244" s="14">
        <v>0</v>
      </c>
      <c r="K244" s="14">
        <v>0</v>
      </c>
      <c r="L244" s="14">
        <v>0</v>
      </c>
      <c r="M244" s="14">
        <v>0</v>
      </c>
      <c r="N244" s="14">
        <v>0</v>
      </c>
      <c r="O244" s="14">
        <v>0</v>
      </c>
      <c r="P244" s="14">
        <v>0</v>
      </c>
      <c r="Q244" s="14">
        <v>0</v>
      </c>
      <c r="R244" s="14">
        <v>0</v>
      </c>
      <c r="S244" s="14">
        <v>0</v>
      </c>
      <c r="T244" s="18">
        <v>0</v>
      </c>
      <c r="U244" s="14">
        <v>1.175</v>
      </c>
      <c r="V244" s="41"/>
      <c r="W244" s="39">
        <f t="shared" si="25"/>
        <v>2.35</v>
      </c>
    </row>
    <row r="245" spans="1:29" x14ac:dyDescent="0.25">
      <c r="A245" s="7" t="s">
        <v>79</v>
      </c>
      <c r="B245" s="15" t="s">
        <v>19</v>
      </c>
      <c r="C245" s="7" t="s">
        <v>18</v>
      </c>
      <c r="D245" s="14">
        <v>0</v>
      </c>
      <c r="E245" s="14">
        <v>0</v>
      </c>
      <c r="F245" s="14">
        <v>12</v>
      </c>
      <c r="G245" s="14">
        <v>162</v>
      </c>
      <c r="H245" s="16">
        <v>205</v>
      </c>
      <c r="I245" s="17">
        <v>31</v>
      </c>
      <c r="J245" s="14">
        <v>0</v>
      </c>
      <c r="K245" s="14">
        <v>0</v>
      </c>
      <c r="L245" s="14">
        <v>0</v>
      </c>
      <c r="M245" s="14">
        <v>0</v>
      </c>
      <c r="N245" s="14">
        <v>0</v>
      </c>
      <c r="O245" s="14">
        <v>0</v>
      </c>
      <c r="P245" s="14">
        <v>0</v>
      </c>
      <c r="Q245" s="14">
        <v>0</v>
      </c>
      <c r="R245" s="14">
        <v>0</v>
      </c>
      <c r="S245" s="14">
        <v>0</v>
      </c>
      <c r="T245" s="18">
        <v>0</v>
      </c>
      <c r="U245" s="14">
        <v>1.175</v>
      </c>
      <c r="V245" s="41"/>
      <c r="W245" s="39">
        <f t="shared" si="25"/>
        <v>36.425000000000004</v>
      </c>
    </row>
    <row r="246" spans="1:29" ht="13" thickBot="1" x14ac:dyDescent="0.3">
      <c r="A246" s="7" t="s">
        <v>79</v>
      </c>
      <c r="B246" s="19" t="s">
        <v>20</v>
      </c>
      <c r="C246" s="20" t="s">
        <v>18</v>
      </c>
      <c r="D246" s="21">
        <v>3</v>
      </c>
      <c r="E246" s="21">
        <v>0</v>
      </c>
      <c r="F246" s="21">
        <v>0</v>
      </c>
      <c r="G246" s="21">
        <v>0</v>
      </c>
      <c r="H246" s="22">
        <v>3</v>
      </c>
      <c r="I246" s="23">
        <v>0</v>
      </c>
      <c r="J246" s="21">
        <v>0</v>
      </c>
      <c r="K246" s="21">
        <v>0</v>
      </c>
      <c r="L246" s="21">
        <v>0</v>
      </c>
      <c r="M246" s="21">
        <v>0</v>
      </c>
      <c r="N246" s="21">
        <v>0</v>
      </c>
      <c r="O246" s="21">
        <v>0</v>
      </c>
      <c r="P246" s="21">
        <v>0</v>
      </c>
      <c r="Q246" s="21">
        <v>0</v>
      </c>
      <c r="R246" s="21">
        <v>0</v>
      </c>
      <c r="S246" s="21">
        <v>0</v>
      </c>
      <c r="T246" s="24">
        <v>0</v>
      </c>
      <c r="U246" s="14">
        <v>1.175</v>
      </c>
      <c r="V246" s="44"/>
      <c r="W246" s="39">
        <f t="shared" si="25"/>
        <v>0</v>
      </c>
    </row>
    <row r="247" spans="1:29" ht="13" thickBot="1" x14ac:dyDescent="0.3">
      <c r="A247" s="7" t="s">
        <v>79</v>
      </c>
      <c r="B247" s="25" t="s">
        <v>12</v>
      </c>
      <c r="C247" s="26" t="s">
        <v>18</v>
      </c>
      <c r="D247" s="27">
        <v>106</v>
      </c>
      <c r="E247" s="27">
        <v>1</v>
      </c>
      <c r="F247" s="27">
        <v>12</v>
      </c>
      <c r="G247" s="27">
        <v>1445</v>
      </c>
      <c r="H247" s="28">
        <v>2306</v>
      </c>
      <c r="I247" s="29">
        <v>118</v>
      </c>
      <c r="J247" s="27">
        <v>77</v>
      </c>
      <c r="K247" s="27">
        <v>35</v>
      </c>
      <c r="L247" s="27">
        <v>0</v>
      </c>
      <c r="M247" s="27">
        <v>0</v>
      </c>
      <c r="N247" s="27">
        <v>0</v>
      </c>
      <c r="O247" s="27">
        <v>0</v>
      </c>
      <c r="P247" s="27">
        <v>0</v>
      </c>
      <c r="Q247" s="27">
        <v>513</v>
      </c>
      <c r="R247" s="27">
        <v>0</v>
      </c>
      <c r="S247" s="27">
        <v>0</v>
      </c>
      <c r="T247" s="29">
        <v>0</v>
      </c>
      <c r="U247" s="14">
        <v>1.175</v>
      </c>
      <c r="V247" s="43">
        <f>SUM(I242:T245)/SUM(H242:H245)</f>
        <v>0.32487975513773504</v>
      </c>
      <c r="W247" s="39">
        <f t="shared" si="25"/>
        <v>873.02499999999998</v>
      </c>
      <c r="X247" s="35">
        <f>W245+W242</f>
        <v>42.300000000000004</v>
      </c>
      <c r="Y247" s="35">
        <f>W240</f>
        <v>0</v>
      </c>
    </row>
    <row r="248" spans="1:29" x14ac:dyDescent="0.25">
      <c r="A248" s="7" t="s">
        <v>79</v>
      </c>
      <c r="B248" s="8" t="s">
        <v>17</v>
      </c>
      <c r="C248" s="9" t="s">
        <v>21</v>
      </c>
      <c r="D248" s="10">
        <v>0</v>
      </c>
      <c r="E248" s="10">
        <v>0</v>
      </c>
      <c r="F248" s="10">
        <v>0</v>
      </c>
      <c r="G248" s="10">
        <v>0</v>
      </c>
      <c r="H248" s="11">
        <v>0</v>
      </c>
      <c r="I248" s="12">
        <v>0</v>
      </c>
      <c r="J248" s="10">
        <v>0</v>
      </c>
      <c r="K248" s="10">
        <v>0</v>
      </c>
      <c r="L248" s="10">
        <v>0</v>
      </c>
      <c r="M248" s="10">
        <v>0</v>
      </c>
      <c r="N248" s="10">
        <v>0</v>
      </c>
      <c r="O248" s="10">
        <v>0</v>
      </c>
      <c r="P248" s="10">
        <v>0</v>
      </c>
      <c r="Q248" s="10">
        <v>0</v>
      </c>
      <c r="R248" s="10">
        <v>0</v>
      </c>
      <c r="S248" s="10">
        <v>0</v>
      </c>
      <c r="T248" s="13">
        <v>0</v>
      </c>
      <c r="U248" s="14">
        <v>1.175</v>
      </c>
      <c r="W248" s="39">
        <f t="shared" si="25"/>
        <v>0</v>
      </c>
      <c r="AB248" s="37" t="str">
        <f t="shared" ref="AB248:AB254" si="30">B248</f>
        <v>Parts-OTC</v>
      </c>
      <c r="AC248" s="36">
        <f t="shared" ref="AC248:AC254" si="31">I248*U248</f>
        <v>0</v>
      </c>
    </row>
    <row r="249" spans="1:29" x14ac:dyDescent="0.25">
      <c r="A249" s="7" t="s">
        <v>79</v>
      </c>
      <c r="B249" s="15" t="s">
        <v>66</v>
      </c>
      <c r="C249" s="7" t="s">
        <v>21</v>
      </c>
      <c r="D249" s="14">
        <v>0</v>
      </c>
      <c r="E249" s="14">
        <v>0</v>
      </c>
      <c r="F249" s="14">
        <v>0</v>
      </c>
      <c r="G249" s="14">
        <v>0</v>
      </c>
      <c r="H249" s="16">
        <v>34</v>
      </c>
      <c r="I249" s="17">
        <v>34</v>
      </c>
      <c r="J249" s="14">
        <v>0</v>
      </c>
      <c r="K249" s="14">
        <v>0</v>
      </c>
      <c r="L249" s="14">
        <v>0</v>
      </c>
      <c r="M249" s="14">
        <v>0</v>
      </c>
      <c r="N249" s="14">
        <v>0</v>
      </c>
      <c r="O249" s="14">
        <v>0</v>
      </c>
      <c r="P249" s="14">
        <v>0</v>
      </c>
      <c r="Q249" s="14">
        <v>0</v>
      </c>
      <c r="R249" s="14">
        <v>0</v>
      </c>
      <c r="S249" s="14">
        <v>0</v>
      </c>
      <c r="T249" s="18">
        <v>0</v>
      </c>
      <c r="U249" s="14">
        <v>1.175</v>
      </c>
      <c r="W249" s="39">
        <f t="shared" si="25"/>
        <v>39.950000000000003</v>
      </c>
      <c r="AB249" s="37" t="str">
        <f t="shared" si="30"/>
        <v>CTKS</v>
      </c>
      <c r="AC249" s="36">
        <f t="shared" si="31"/>
        <v>39.950000000000003</v>
      </c>
    </row>
    <row r="250" spans="1:29" x14ac:dyDescent="0.25">
      <c r="A250" s="7" t="s">
        <v>79</v>
      </c>
      <c r="B250" s="15" t="s">
        <v>13</v>
      </c>
      <c r="C250" s="7" t="s">
        <v>21</v>
      </c>
      <c r="D250" s="14">
        <v>0</v>
      </c>
      <c r="E250" s="14">
        <v>0</v>
      </c>
      <c r="F250" s="14">
        <v>0</v>
      </c>
      <c r="G250" s="14">
        <v>0</v>
      </c>
      <c r="H250" s="16">
        <v>19</v>
      </c>
      <c r="I250" s="17">
        <v>19</v>
      </c>
      <c r="J250" s="14">
        <v>0</v>
      </c>
      <c r="K250" s="14">
        <v>0</v>
      </c>
      <c r="L250" s="14">
        <v>0</v>
      </c>
      <c r="M250" s="14">
        <v>0</v>
      </c>
      <c r="N250" s="14">
        <v>0</v>
      </c>
      <c r="O250" s="14">
        <v>0</v>
      </c>
      <c r="P250" s="14">
        <v>0</v>
      </c>
      <c r="Q250" s="14">
        <v>0</v>
      </c>
      <c r="R250" s="14">
        <v>0</v>
      </c>
      <c r="S250" s="14">
        <v>0</v>
      </c>
      <c r="T250" s="18">
        <v>0</v>
      </c>
      <c r="U250" s="14">
        <v>1.175</v>
      </c>
      <c r="W250" s="39">
        <f t="shared" si="25"/>
        <v>22.324999999999999</v>
      </c>
      <c r="AB250" s="37" t="str">
        <f t="shared" si="30"/>
        <v>Repair</v>
      </c>
      <c r="AC250" s="36">
        <f t="shared" si="31"/>
        <v>22.324999999999999</v>
      </c>
    </row>
    <row r="251" spans="1:29" x14ac:dyDescent="0.25">
      <c r="A251" s="7" t="s">
        <v>79</v>
      </c>
      <c r="B251" s="15" t="s">
        <v>67</v>
      </c>
      <c r="C251" s="7" t="s">
        <v>21</v>
      </c>
      <c r="D251" s="14">
        <v>0</v>
      </c>
      <c r="E251" s="14">
        <v>0</v>
      </c>
      <c r="F251" s="14">
        <v>0</v>
      </c>
      <c r="G251" s="14">
        <v>0</v>
      </c>
      <c r="H251" s="16">
        <v>99</v>
      </c>
      <c r="I251" s="17">
        <v>14</v>
      </c>
      <c r="J251" s="14">
        <v>26</v>
      </c>
      <c r="K251" s="14">
        <v>21</v>
      </c>
      <c r="L251" s="14">
        <v>11</v>
      </c>
      <c r="M251" s="14">
        <v>9</v>
      </c>
      <c r="N251" s="14">
        <v>0</v>
      </c>
      <c r="O251" s="14">
        <v>0</v>
      </c>
      <c r="P251" s="14">
        <v>20</v>
      </c>
      <c r="Q251" s="14">
        <v>0</v>
      </c>
      <c r="R251" s="14">
        <v>0</v>
      </c>
      <c r="S251" s="14">
        <v>0</v>
      </c>
      <c r="T251" s="18">
        <v>0</v>
      </c>
      <c r="U251" s="14">
        <v>1.175</v>
      </c>
      <c r="W251" s="39">
        <f t="shared" si="25"/>
        <v>118.67500000000001</v>
      </c>
      <c r="AB251" s="37" t="str">
        <f t="shared" si="30"/>
        <v>Rental</v>
      </c>
      <c r="AC251" s="36">
        <f t="shared" si="31"/>
        <v>16.45</v>
      </c>
    </row>
    <row r="252" spans="1:29" x14ac:dyDescent="0.25">
      <c r="A252" s="7" t="s">
        <v>79</v>
      </c>
      <c r="B252" s="15" t="s">
        <v>73</v>
      </c>
      <c r="C252" s="7" t="s">
        <v>21</v>
      </c>
      <c r="D252" s="14">
        <v>0</v>
      </c>
      <c r="E252" s="14">
        <v>0</v>
      </c>
      <c r="F252" s="14">
        <v>0</v>
      </c>
      <c r="G252" s="14">
        <v>0</v>
      </c>
      <c r="H252" s="16">
        <v>5</v>
      </c>
      <c r="I252" s="17">
        <v>5</v>
      </c>
      <c r="J252" s="14">
        <v>0</v>
      </c>
      <c r="K252" s="14">
        <v>0</v>
      </c>
      <c r="L252" s="14">
        <v>0</v>
      </c>
      <c r="M252" s="14">
        <v>0</v>
      </c>
      <c r="N252" s="14">
        <v>0</v>
      </c>
      <c r="O252" s="14">
        <v>0</v>
      </c>
      <c r="P252" s="14">
        <v>0</v>
      </c>
      <c r="Q252" s="14">
        <v>0</v>
      </c>
      <c r="R252" s="14">
        <v>0</v>
      </c>
      <c r="S252" s="14">
        <v>0</v>
      </c>
      <c r="T252" s="18">
        <v>0</v>
      </c>
      <c r="U252" s="14">
        <v>1.175</v>
      </c>
      <c r="W252" s="39">
        <f t="shared" si="25"/>
        <v>5.875</v>
      </c>
      <c r="AB252" s="37"/>
    </row>
    <row r="253" spans="1:29" x14ac:dyDescent="0.25">
      <c r="A253" s="7" t="s">
        <v>79</v>
      </c>
      <c r="B253" s="15" t="s">
        <v>19</v>
      </c>
      <c r="C253" s="7" t="s">
        <v>21</v>
      </c>
      <c r="D253" s="14">
        <v>0</v>
      </c>
      <c r="E253" s="14">
        <v>0</v>
      </c>
      <c r="F253" s="14">
        <v>0</v>
      </c>
      <c r="G253" s="14">
        <v>0</v>
      </c>
      <c r="H253" s="16">
        <v>335</v>
      </c>
      <c r="I253" s="17">
        <v>87</v>
      </c>
      <c r="J253" s="14">
        <v>34</v>
      </c>
      <c r="K253" s="14">
        <v>33</v>
      </c>
      <c r="L253" s="14">
        <v>21</v>
      </c>
      <c r="M253" s="14">
        <v>25</v>
      </c>
      <c r="N253" s="14">
        <v>21</v>
      </c>
      <c r="O253" s="14">
        <v>60</v>
      </c>
      <c r="P253" s="14">
        <v>20</v>
      </c>
      <c r="Q253" s="14">
        <v>12</v>
      </c>
      <c r="R253" s="14">
        <v>9</v>
      </c>
      <c r="S253" s="14">
        <v>5</v>
      </c>
      <c r="T253" s="18">
        <v>8</v>
      </c>
      <c r="U253" s="14">
        <v>1.175</v>
      </c>
      <c r="W253" s="39">
        <f t="shared" si="25"/>
        <v>393.625</v>
      </c>
      <c r="AB253" s="37" t="str">
        <f t="shared" si="30"/>
        <v>Maintenance</v>
      </c>
      <c r="AC253" s="36">
        <f t="shared" si="31"/>
        <v>102.22500000000001</v>
      </c>
    </row>
    <row r="254" spans="1:29" ht="13" thickBot="1" x14ac:dyDescent="0.3">
      <c r="A254" s="7" t="s">
        <v>79</v>
      </c>
      <c r="B254" s="19" t="s">
        <v>20</v>
      </c>
      <c r="C254" s="20" t="s">
        <v>21</v>
      </c>
      <c r="D254" s="21">
        <v>0</v>
      </c>
      <c r="E254" s="21">
        <v>0</v>
      </c>
      <c r="F254" s="21">
        <v>0</v>
      </c>
      <c r="G254" s="21">
        <v>0</v>
      </c>
      <c r="H254" s="22">
        <v>2</v>
      </c>
      <c r="I254" s="23">
        <v>2</v>
      </c>
      <c r="J254" s="21">
        <v>0</v>
      </c>
      <c r="K254" s="21">
        <v>0</v>
      </c>
      <c r="L254" s="21">
        <v>0</v>
      </c>
      <c r="M254" s="21">
        <v>0</v>
      </c>
      <c r="N254" s="21">
        <v>0</v>
      </c>
      <c r="O254" s="21">
        <v>0</v>
      </c>
      <c r="P254" s="21">
        <v>0</v>
      </c>
      <c r="Q254" s="21">
        <v>0</v>
      </c>
      <c r="R254" s="21">
        <v>0</v>
      </c>
      <c r="S254" s="21">
        <v>0</v>
      </c>
      <c r="T254" s="24">
        <v>0</v>
      </c>
      <c r="U254" s="14">
        <v>1.175</v>
      </c>
      <c r="W254" s="39">
        <f t="shared" si="25"/>
        <v>2.35</v>
      </c>
      <c r="AB254" s="37" t="str">
        <f t="shared" si="30"/>
        <v>Startup</v>
      </c>
      <c r="AC254" s="36">
        <f t="shared" si="31"/>
        <v>2.35</v>
      </c>
    </row>
    <row r="255" spans="1:29" ht="13" thickBot="1" x14ac:dyDescent="0.3">
      <c r="A255" s="20" t="s">
        <v>79</v>
      </c>
      <c r="B255" s="25" t="s">
        <v>12</v>
      </c>
      <c r="C255" s="26" t="s">
        <v>21</v>
      </c>
      <c r="D255" s="27">
        <v>0</v>
      </c>
      <c r="E255" s="27">
        <v>0</v>
      </c>
      <c r="F255" s="27">
        <v>0</v>
      </c>
      <c r="G255" s="27">
        <v>0</v>
      </c>
      <c r="H255" s="28">
        <v>494</v>
      </c>
      <c r="I255" s="29">
        <v>161</v>
      </c>
      <c r="J255" s="27">
        <v>60</v>
      </c>
      <c r="K255" s="27">
        <v>54</v>
      </c>
      <c r="L255" s="27">
        <v>32</v>
      </c>
      <c r="M255" s="27">
        <v>34</v>
      </c>
      <c r="N255" s="27">
        <v>21</v>
      </c>
      <c r="O255" s="27">
        <v>60</v>
      </c>
      <c r="P255" s="27">
        <v>40</v>
      </c>
      <c r="Q255" s="27">
        <v>12</v>
      </c>
      <c r="R255" s="27">
        <v>9</v>
      </c>
      <c r="S255" s="27">
        <v>5</v>
      </c>
      <c r="T255" s="29">
        <v>8</v>
      </c>
      <c r="U255" s="14">
        <v>1.175</v>
      </c>
      <c r="W255" s="39">
        <f t="shared" si="25"/>
        <v>582.80000000000007</v>
      </c>
      <c r="X255" s="35">
        <f>W254+W253+W250</f>
        <v>418.3</v>
      </c>
      <c r="Y255" s="35">
        <f>W248</f>
        <v>0</v>
      </c>
      <c r="Z255" s="40">
        <f>V246/X255</f>
        <v>0</v>
      </c>
      <c r="AA255" s="40">
        <f>IF((Y255=0),0,Y247/Y255)</f>
        <v>0</v>
      </c>
      <c r="AB255" s="48"/>
      <c r="AC255" s="48"/>
    </row>
    <row r="256" spans="1:29" ht="13" thickBot="1" x14ac:dyDescent="0.3">
      <c r="A256" s="7" t="s">
        <v>35</v>
      </c>
      <c r="B256" s="30" t="s">
        <v>15</v>
      </c>
      <c r="C256" s="31" t="s">
        <v>94</v>
      </c>
      <c r="D256" s="32" t="s">
        <v>47</v>
      </c>
      <c r="E256" s="53" t="s">
        <v>116</v>
      </c>
      <c r="F256" s="53" t="s">
        <v>117</v>
      </c>
      <c r="G256" s="53" t="s">
        <v>118</v>
      </c>
      <c r="H256" s="28" t="s">
        <v>12</v>
      </c>
      <c r="I256" s="54" t="s">
        <v>119</v>
      </c>
      <c r="J256" s="53" t="s">
        <v>174</v>
      </c>
      <c r="K256" s="53" t="s">
        <v>175</v>
      </c>
      <c r="L256" s="53" t="s">
        <v>99</v>
      </c>
      <c r="M256" s="53" t="s">
        <v>100</v>
      </c>
      <c r="N256" s="53" t="s">
        <v>101</v>
      </c>
      <c r="O256" s="53" t="s">
        <v>102</v>
      </c>
      <c r="P256" s="53" t="s">
        <v>103</v>
      </c>
      <c r="Q256" s="53" t="s">
        <v>104</v>
      </c>
      <c r="R256" s="53" t="s">
        <v>105</v>
      </c>
      <c r="S256" s="53" t="s">
        <v>106</v>
      </c>
      <c r="T256" s="55" t="s">
        <v>107</v>
      </c>
      <c r="U256" s="14">
        <v>1.175</v>
      </c>
      <c r="V256" s="14" t="s">
        <v>183</v>
      </c>
      <c r="W256" s="39">
        <f t="shared" si="25"/>
        <v>0</v>
      </c>
      <c r="X256" s="35"/>
      <c r="Y256" s="35"/>
      <c r="Z256" s="40"/>
      <c r="AA256" s="40"/>
      <c r="AB256" s="48"/>
      <c r="AC256" s="48"/>
    </row>
    <row r="257" spans="1:29" x14ac:dyDescent="0.25">
      <c r="A257" s="7" t="s">
        <v>35</v>
      </c>
      <c r="B257" s="8" t="s">
        <v>17</v>
      </c>
      <c r="C257" s="9" t="s">
        <v>18</v>
      </c>
      <c r="D257" s="10">
        <v>0</v>
      </c>
      <c r="E257" s="10">
        <v>0</v>
      </c>
      <c r="F257" s="10">
        <v>0</v>
      </c>
      <c r="G257" s="10">
        <v>55</v>
      </c>
      <c r="H257" s="11">
        <v>863</v>
      </c>
      <c r="I257" s="12">
        <v>807</v>
      </c>
      <c r="J257" s="10">
        <v>0</v>
      </c>
      <c r="K257" s="10">
        <v>0</v>
      </c>
      <c r="L257" s="10">
        <v>0</v>
      </c>
      <c r="M257" s="10">
        <v>0</v>
      </c>
      <c r="N257" s="10">
        <v>0</v>
      </c>
      <c r="O257" s="10">
        <v>0</v>
      </c>
      <c r="P257" s="10">
        <v>0</v>
      </c>
      <c r="Q257" s="10">
        <v>0</v>
      </c>
      <c r="R257" s="10">
        <v>0</v>
      </c>
      <c r="S257" s="10">
        <v>0</v>
      </c>
      <c r="T257" s="13">
        <v>0</v>
      </c>
      <c r="U257" s="14">
        <v>1.175</v>
      </c>
      <c r="V257" s="42">
        <f>SUM(I257:T257)/H257</f>
        <v>0.93511008111239857</v>
      </c>
      <c r="W257" s="39">
        <f t="shared" si="25"/>
        <v>948.22500000000002</v>
      </c>
      <c r="X257" s="35"/>
      <c r="Y257" s="35"/>
      <c r="Z257" s="40"/>
      <c r="AA257" s="40"/>
      <c r="AB257" s="48"/>
      <c r="AC257" s="48"/>
    </row>
    <row r="258" spans="1:29" x14ac:dyDescent="0.25">
      <c r="A258" s="7" t="s">
        <v>35</v>
      </c>
      <c r="B258" s="15" t="s">
        <v>66</v>
      </c>
      <c r="C258" s="7" t="s">
        <v>18</v>
      </c>
      <c r="D258" s="14">
        <v>0</v>
      </c>
      <c r="E258" s="14">
        <v>0</v>
      </c>
      <c r="F258" s="14">
        <v>0</v>
      </c>
      <c r="G258" s="14">
        <v>19</v>
      </c>
      <c r="H258" s="16">
        <v>44</v>
      </c>
      <c r="I258" s="17">
        <v>25</v>
      </c>
      <c r="J258" s="14">
        <v>0</v>
      </c>
      <c r="K258" s="14">
        <v>0</v>
      </c>
      <c r="L258" s="14">
        <v>0</v>
      </c>
      <c r="M258" s="14">
        <v>0</v>
      </c>
      <c r="N258" s="14">
        <v>0</v>
      </c>
      <c r="O258" s="14">
        <v>0</v>
      </c>
      <c r="P258" s="14">
        <v>0</v>
      </c>
      <c r="Q258" s="14">
        <v>0</v>
      </c>
      <c r="R258" s="14">
        <v>0</v>
      </c>
      <c r="S258" s="14">
        <v>0</v>
      </c>
      <c r="T258" s="18">
        <v>0</v>
      </c>
      <c r="U258" s="14">
        <v>1.175</v>
      </c>
      <c r="V258" s="44"/>
      <c r="W258" s="39">
        <f t="shared" si="25"/>
        <v>29.375</v>
      </c>
      <c r="X258" s="35"/>
      <c r="Y258" s="35"/>
      <c r="Z258" s="40"/>
      <c r="AA258" s="40"/>
      <c r="AB258" s="48"/>
      <c r="AC258" s="48"/>
    </row>
    <row r="259" spans="1:29" x14ac:dyDescent="0.25">
      <c r="A259" s="7" t="s">
        <v>35</v>
      </c>
      <c r="B259" s="15" t="s">
        <v>13</v>
      </c>
      <c r="C259" s="7" t="s">
        <v>18</v>
      </c>
      <c r="D259" s="14">
        <v>0</v>
      </c>
      <c r="E259" s="14">
        <v>0</v>
      </c>
      <c r="F259" s="14">
        <v>0</v>
      </c>
      <c r="G259" s="14">
        <v>226</v>
      </c>
      <c r="H259" s="16">
        <v>870</v>
      </c>
      <c r="I259" s="17">
        <v>275</v>
      </c>
      <c r="J259" s="14">
        <v>97</v>
      </c>
      <c r="K259" s="14">
        <v>2</v>
      </c>
      <c r="L259" s="14">
        <v>0</v>
      </c>
      <c r="M259" s="14">
        <v>270</v>
      </c>
      <c r="N259" s="14">
        <v>0</v>
      </c>
      <c r="O259" s="14">
        <v>0</v>
      </c>
      <c r="P259" s="14">
        <v>0</v>
      </c>
      <c r="Q259" s="14">
        <v>0</v>
      </c>
      <c r="R259" s="14">
        <v>0</v>
      </c>
      <c r="S259" s="14">
        <v>0</v>
      </c>
      <c r="T259" s="18">
        <v>0</v>
      </c>
      <c r="U259" s="14">
        <v>1.175</v>
      </c>
      <c r="V259" s="41"/>
      <c r="W259" s="39">
        <f t="shared" si="25"/>
        <v>756.7</v>
      </c>
      <c r="X259" s="35"/>
      <c r="Y259" s="35"/>
      <c r="Z259" s="40"/>
      <c r="AA259" s="40"/>
      <c r="AB259" s="48"/>
      <c r="AC259" s="48"/>
    </row>
    <row r="260" spans="1:29" x14ac:dyDescent="0.25">
      <c r="A260" s="7" t="s">
        <v>35</v>
      </c>
      <c r="B260" s="15" t="s">
        <v>67</v>
      </c>
      <c r="C260" s="7" t="s">
        <v>18</v>
      </c>
      <c r="D260" s="14">
        <v>0</v>
      </c>
      <c r="E260" s="14">
        <v>0</v>
      </c>
      <c r="F260" s="14">
        <v>0</v>
      </c>
      <c r="G260" s="14">
        <v>0</v>
      </c>
      <c r="H260" s="16">
        <v>1134</v>
      </c>
      <c r="I260" s="17">
        <v>1065</v>
      </c>
      <c r="J260" s="14">
        <v>69</v>
      </c>
      <c r="K260" s="14">
        <v>0</v>
      </c>
      <c r="L260" s="14">
        <v>0</v>
      </c>
      <c r="M260" s="14">
        <v>0</v>
      </c>
      <c r="N260" s="14">
        <v>0</v>
      </c>
      <c r="O260" s="14">
        <v>0</v>
      </c>
      <c r="P260" s="14">
        <v>0</v>
      </c>
      <c r="Q260" s="14">
        <v>0</v>
      </c>
      <c r="R260" s="14">
        <v>0</v>
      </c>
      <c r="S260" s="14">
        <v>0</v>
      </c>
      <c r="T260" s="18">
        <v>0</v>
      </c>
      <c r="U260" s="14">
        <v>1.175</v>
      </c>
      <c r="V260" s="41"/>
      <c r="W260" s="39">
        <f t="shared" si="25"/>
        <v>1332.45</v>
      </c>
      <c r="X260" s="35"/>
      <c r="Y260" s="35"/>
      <c r="Z260" s="40"/>
      <c r="AA260" s="40"/>
      <c r="AB260" s="48"/>
      <c r="AC260" s="48"/>
    </row>
    <row r="261" spans="1:29" x14ac:dyDescent="0.25">
      <c r="A261" s="7" t="s">
        <v>35</v>
      </c>
      <c r="B261" s="15" t="s">
        <v>73</v>
      </c>
      <c r="C261" s="7" t="s">
        <v>18</v>
      </c>
      <c r="D261" s="14">
        <v>0</v>
      </c>
      <c r="E261" s="14">
        <v>0</v>
      </c>
      <c r="F261" s="14">
        <v>0</v>
      </c>
      <c r="G261" s="14">
        <v>962</v>
      </c>
      <c r="H261" s="16">
        <v>1672</v>
      </c>
      <c r="I261" s="17">
        <v>370</v>
      </c>
      <c r="J261" s="14">
        <v>43</v>
      </c>
      <c r="K261" s="14">
        <v>0</v>
      </c>
      <c r="L261" s="14">
        <v>0</v>
      </c>
      <c r="M261" s="14">
        <v>297</v>
      </c>
      <c r="N261" s="14">
        <v>0</v>
      </c>
      <c r="O261" s="14">
        <v>0</v>
      </c>
      <c r="P261" s="14">
        <v>0</v>
      </c>
      <c r="Q261" s="14">
        <v>0</v>
      </c>
      <c r="R261" s="14">
        <v>0</v>
      </c>
      <c r="S261" s="14">
        <v>0</v>
      </c>
      <c r="T261" s="18">
        <v>0</v>
      </c>
      <c r="U261" s="14">
        <v>1.175</v>
      </c>
      <c r="V261" s="41"/>
      <c r="W261" s="39">
        <f t="shared" si="25"/>
        <v>834.25</v>
      </c>
      <c r="X261" s="35"/>
      <c r="Y261" s="35"/>
      <c r="Z261" s="40"/>
      <c r="AA261" s="40"/>
      <c r="AB261" s="48"/>
      <c r="AC261" s="48"/>
    </row>
    <row r="262" spans="1:29" x14ac:dyDescent="0.25">
      <c r="A262" s="7" t="s">
        <v>35</v>
      </c>
      <c r="B262" s="15" t="s">
        <v>19</v>
      </c>
      <c r="C262" s="7" t="s">
        <v>18</v>
      </c>
      <c r="D262" s="14">
        <v>0</v>
      </c>
      <c r="E262" s="14">
        <v>0</v>
      </c>
      <c r="F262" s="14">
        <v>0</v>
      </c>
      <c r="G262" s="14">
        <v>549</v>
      </c>
      <c r="H262" s="16">
        <v>1534</v>
      </c>
      <c r="I262" s="17">
        <v>518</v>
      </c>
      <c r="J262" s="14">
        <v>405</v>
      </c>
      <c r="K262" s="14">
        <v>49</v>
      </c>
      <c r="L262" s="14">
        <v>0</v>
      </c>
      <c r="M262" s="14">
        <v>0</v>
      </c>
      <c r="N262" s="14">
        <v>0</v>
      </c>
      <c r="O262" s="14">
        <v>0</v>
      </c>
      <c r="P262" s="14">
        <v>0</v>
      </c>
      <c r="Q262" s="14">
        <v>0</v>
      </c>
      <c r="R262" s="14">
        <v>0</v>
      </c>
      <c r="S262" s="14">
        <v>13</v>
      </c>
      <c r="T262" s="18">
        <v>0</v>
      </c>
      <c r="U262" s="14">
        <v>1.175</v>
      </c>
      <c r="V262" s="41"/>
      <c r="W262" s="39">
        <f t="shared" si="25"/>
        <v>1157.375</v>
      </c>
      <c r="X262" s="35"/>
      <c r="Y262" s="35"/>
      <c r="Z262" s="40"/>
      <c r="AA262" s="40"/>
      <c r="AB262" s="48"/>
      <c r="AC262" s="48"/>
    </row>
    <row r="263" spans="1:29" ht="13" thickBot="1" x14ac:dyDescent="0.3">
      <c r="A263" s="7" t="s">
        <v>35</v>
      </c>
      <c r="B263" s="19" t="s">
        <v>20</v>
      </c>
      <c r="C263" s="20" t="s">
        <v>18</v>
      </c>
      <c r="D263" s="21">
        <v>0</v>
      </c>
      <c r="E263" s="21">
        <v>0</v>
      </c>
      <c r="F263" s="21">
        <v>0</v>
      </c>
      <c r="G263" s="21">
        <v>0</v>
      </c>
      <c r="H263" s="22">
        <v>0</v>
      </c>
      <c r="I263" s="23">
        <v>0</v>
      </c>
      <c r="J263" s="21">
        <v>0</v>
      </c>
      <c r="K263" s="21">
        <v>0</v>
      </c>
      <c r="L263" s="21">
        <v>0</v>
      </c>
      <c r="M263" s="21">
        <v>0</v>
      </c>
      <c r="N263" s="21">
        <v>0</v>
      </c>
      <c r="O263" s="21">
        <v>0</v>
      </c>
      <c r="P263" s="21">
        <v>0</v>
      </c>
      <c r="Q263" s="21">
        <v>0</v>
      </c>
      <c r="R263" s="21">
        <v>0</v>
      </c>
      <c r="S263" s="21">
        <v>0</v>
      </c>
      <c r="T263" s="24">
        <v>0</v>
      </c>
      <c r="U263" s="14">
        <v>1.175</v>
      </c>
      <c r="V263" s="44"/>
      <c r="W263" s="39">
        <f t="shared" si="25"/>
        <v>0</v>
      </c>
      <c r="X263" s="35"/>
      <c r="Y263" s="35"/>
      <c r="Z263" s="40"/>
      <c r="AA263" s="40"/>
      <c r="AB263" s="48"/>
      <c r="AC263" s="48"/>
    </row>
    <row r="264" spans="1:29" ht="13" thickBot="1" x14ac:dyDescent="0.3">
      <c r="A264" s="7" t="s">
        <v>35</v>
      </c>
      <c r="B264" s="25" t="s">
        <v>12</v>
      </c>
      <c r="C264" s="26" t="s">
        <v>18</v>
      </c>
      <c r="D264" s="27">
        <v>0</v>
      </c>
      <c r="E264" s="27">
        <v>0</v>
      </c>
      <c r="F264" s="27">
        <v>0</v>
      </c>
      <c r="G264" s="27">
        <v>1811</v>
      </c>
      <c r="H264" s="28">
        <v>6117</v>
      </c>
      <c r="I264" s="29">
        <v>3060</v>
      </c>
      <c r="J264" s="27">
        <v>614</v>
      </c>
      <c r="K264" s="27">
        <v>51</v>
      </c>
      <c r="L264" s="27">
        <v>0</v>
      </c>
      <c r="M264" s="27">
        <v>567</v>
      </c>
      <c r="N264" s="27">
        <v>0</v>
      </c>
      <c r="O264" s="27">
        <v>0</v>
      </c>
      <c r="P264" s="27">
        <v>0</v>
      </c>
      <c r="Q264" s="27">
        <v>0</v>
      </c>
      <c r="R264" s="27">
        <v>0</v>
      </c>
      <c r="S264" s="27">
        <v>13</v>
      </c>
      <c r="T264" s="29">
        <v>0</v>
      </c>
      <c r="U264" s="14">
        <v>1.175</v>
      </c>
      <c r="V264" s="43">
        <f>SUM(I259:T262)/SUM(H259:H262)</f>
        <v>0.66660268714011517</v>
      </c>
      <c r="W264" s="39">
        <f t="shared" si="25"/>
        <v>5058.375</v>
      </c>
      <c r="X264" s="35"/>
      <c r="Y264" s="35"/>
      <c r="Z264" s="40"/>
      <c r="AA264" s="40"/>
      <c r="AB264" s="48"/>
      <c r="AC264" s="48"/>
    </row>
    <row r="265" spans="1:29" x14ac:dyDescent="0.25">
      <c r="A265" s="7" t="s">
        <v>35</v>
      </c>
      <c r="B265" s="8" t="s">
        <v>17</v>
      </c>
      <c r="C265" s="9" t="s">
        <v>21</v>
      </c>
      <c r="D265" s="10">
        <v>0</v>
      </c>
      <c r="E265" s="10">
        <v>0</v>
      </c>
      <c r="F265" s="10">
        <v>0</v>
      </c>
      <c r="G265" s="10">
        <v>0</v>
      </c>
      <c r="H265" s="11">
        <v>192</v>
      </c>
      <c r="I265" s="12">
        <v>82</v>
      </c>
      <c r="J265" s="10">
        <v>77</v>
      </c>
      <c r="K265" s="10">
        <v>33</v>
      </c>
      <c r="L265" s="10">
        <v>0</v>
      </c>
      <c r="M265" s="10">
        <v>0</v>
      </c>
      <c r="N265" s="10">
        <v>0</v>
      </c>
      <c r="O265" s="10">
        <v>0</v>
      </c>
      <c r="P265" s="10">
        <v>0</v>
      </c>
      <c r="Q265" s="10">
        <v>0</v>
      </c>
      <c r="R265" s="10">
        <v>0</v>
      </c>
      <c r="S265" s="10">
        <v>0</v>
      </c>
      <c r="T265" s="13">
        <v>0</v>
      </c>
      <c r="U265" s="14">
        <v>1.175</v>
      </c>
      <c r="W265" s="39">
        <f t="shared" si="25"/>
        <v>225.60000000000002</v>
      </c>
      <c r="X265" s="35"/>
      <c r="Y265" s="35"/>
      <c r="Z265" s="40"/>
      <c r="AA265" s="40"/>
      <c r="AB265" s="48"/>
      <c r="AC265" s="48"/>
    </row>
    <row r="266" spans="1:29" x14ac:dyDescent="0.25">
      <c r="A266" s="7" t="s">
        <v>35</v>
      </c>
      <c r="B266" s="15" t="s">
        <v>66</v>
      </c>
      <c r="C266" s="7" t="s">
        <v>21</v>
      </c>
      <c r="D266" s="14">
        <v>0</v>
      </c>
      <c r="E266" s="14">
        <v>0</v>
      </c>
      <c r="F266" s="14">
        <v>0</v>
      </c>
      <c r="G266" s="14">
        <v>0</v>
      </c>
      <c r="H266" s="16">
        <v>78</v>
      </c>
      <c r="I266" s="17">
        <v>0</v>
      </c>
      <c r="J266" s="14">
        <v>0</v>
      </c>
      <c r="K266" s="14">
        <v>61</v>
      </c>
      <c r="L266" s="14">
        <v>10</v>
      </c>
      <c r="M266" s="14">
        <v>0</v>
      </c>
      <c r="N266" s="14">
        <v>0</v>
      </c>
      <c r="O266" s="14">
        <v>0</v>
      </c>
      <c r="P266" s="14">
        <v>8</v>
      </c>
      <c r="Q266" s="14">
        <v>0</v>
      </c>
      <c r="R266" s="14">
        <v>0</v>
      </c>
      <c r="S266" s="14">
        <v>0</v>
      </c>
      <c r="T266" s="18">
        <v>0</v>
      </c>
      <c r="U266" s="14">
        <v>1.175</v>
      </c>
      <c r="W266" s="39">
        <f t="shared" si="25"/>
        <v>92.825000000000003</v>
      </c>
      <c r="X266" s="35"/>
      <c r="Y266" s="35"/>
      <c r="Z266" s="40"/>
      <c r="AA266" s="40"/>
      <c r="AB266" s="48"/>
      <c r="AC266" s="48"/>
    </row>
    <row r="267" spans="1:29" x14ac:dyDescent="0.25">
      <c r="A267" s="7" t="s">
        <v>35</v>
      </c>
      <c r="B267" s="15" t="s">
        <v>13</v>
      </c>
      <c r="C267" s="7" t="s">
        <v>21</v>
      </c>
      <c r="D267" s="14">
        <v>0</v>
      </c>
      <c r="E267" s="14">
        <v>0</v>
      </c>
      <c r="F267" s="14">
        <v>0</v>
      </c>
      <c r="G267" s="14">
        <v>0</v>
      </c>
      <c r="H267" s="16">
        <v>917</v>
      </c>
      <c r="I267" s="17">
        <v>307</v>
      </c>
      <c r="J267" s="14">
        <v>437</v>
      </c>
      <c r="K267" s="14">
        <v>121</v>
      </c>
      <c r="L267" s="14">
        <v>0</v>
      </c>
      <c r="M267" s="14">
        <v>0</v>
      </c>
      <c r="N267" s="14">
        <v>0</v>
      </c>
      <c r="O267" s="14">
        <v>0</v>
      </c>
      <c r="P267" s="14">
        <v>50</v>
      </c>
      <c r="Q267" s="14">
        <v>0</v>
      </c>
      <c r="R267" s="14">
        <v>0</v>
      </c>
      <c r="S267" s="14">
        <v>0</v>
      </c>
      <c r="T267" s="18">
        <v>0</v>
      </c>
      <c r="U267" s="14">
        <v>1.175</v>
      </c>
      <c r="W267" s="39">
        <f t="shared" si="25"/>
        <v>1075.125</v>
      </c>
      <c r="X267" s="35"/>
      <c r="Y267" s="35"/>
      <c r="Z267" s="40"/>
      <c r="AA267" s="40"/>
      <c r="AB267" s="48"/>
      <c r="AC267" s="48"/>
    </row>
    <row r="268" spans="1:29" x14ac:dyDescent="0.25">
      <c r="A268" s="7" t="s">
        <v>35</v>
      </c>
      <c r="B268" s="15" t="s">
        <v>67</v>
      </c>
      <c r="C268" s="7" t="s">
        <v>21</v>
      </c>
      <c r="D268" s="14">
        <v>0</v>
      </c>
      <c r="E268" s="14">
        <v>0</v>
      </c>
      <c r="F268" s="14">
        <v>0</v>
      </c>
      <c r="G268" s="14">
        <v>0</v>
      </c>
      <c r="H268" s="16">
        <v>1056</v>
      </c>
      <c r="I268" s="17">
        <v>175</v>
      </c>
      <c r="J268" s="14">
        <v>107</v>
      </c>
      <c r="K268" s="14">
        <v>93</v>
      </c>
      <c r="L268" s="14">
        <v>91</v>
      </c>
      <c r="M268" s="14">
        <v>98</v>
      </c>
      <c r="N268" s="14">
        <v>91</v>
      </c>
      <c r="O268" s="14">
        <v>73</v>
      </c>
      <c r="P268" s="14">
        <v>73</v>
      </c>
      <c r="Q268" s="14">
        <v>67</v>
      </c>
      <c r="R268" s="14">
        <v>66</v>
      </c>
      <c r="S268" s="14">
        <v>66</v>
      </c>
      <c r="T268" s="18">
        <v>54</v>
      </c>
      <c r="U268" s="14">
        <v>1.175</v>
      </c>
      <c r="W268" s="39">
        <f t="shared" si="25"/>
        <v>1238.45</v>
      </c>
      <c r="X268" s="35"/>
      <c r="Y268" s="35"/>
      <c r="Z268" s="40"/>
      <c r="AA268" s="40"/>
      <c r="AB268" s="48"/>
      <c r="AC268" s="48"/>
    </row>
    <row r="269" spans="1:29" x14ac:dyDescent="0.25">
      <c r="A269" s="7" t="s">
        <v>35</v>
      </c>
      <c r="B269" s="15" t="s">
        <v>73</v>
      </c>
      <c r="C269" s="7" t="s">
        <v>21</v>
      </c>
      <c r="D269" s="14">
        <v>0</v>
      </c>
      <c r="E269" s="14">
        <v>0</v>
      </c>
      <c r="F269" s="14">
        <v>0</v>
      </c>
      <c r="G269" s="14">
        <v>0</v>
      </c>
      <c r="H269" s="16">
        <v>602</v>
      </c>
      <c r="I269" s="17">
        <v>186</v>
      </c>
      <c r="J269" s="14">
        <v>280</v>
      </c>
      <c r="K269" s="14">
        <v>135</v>
      </c>
      <c r="L269" s="14">
        <v>0</v>
      </c>
      <c r="M269" s="14">
        <v>0</v>
      </c>
      <c r="N269" s="14">
        <v>0</v>
      </c>
      <c r="O269" s="14">
        <v>0</v>
      </c>
      <c r="P269" s="14">
        <v>2</v>
      </c>
      <c r="Q269" s="14">
        <v>0</v>
      </c>
      <c r="R269" s="14">
        <v>0</v>
      </c>
      <c r="S269" s="14">
        <v>0</v>
      </c>
      <c r="T269" s="14">
        <v>0</v>
      </c>
      <c r="U269" s="14">
        <v>1.175</v>
      </c>
      <c r="W269" s="39">
        <f t="shared" si="25"/>
        <v>708.52499999999998</v>
      </c>
      <c r="X269" s="35"/>
      <c r="Y269" s="35"/>
      <c r="Z269" s="40"/>
      <c r="AA269" s="40"/>
      <c r="AB269" s="48"/>
      <c r="AC269" s="48"/>
    </row>
    <row r="270" spans="1:29" x14ac:dyDescent="0.25">
      <c r="A270" s="7" t="s">
        <v>35</v>
      </c>
      <c r="B270" s="15" t="s">
        <v>19</v>
      </c>
      <c r="C270" s="7" t="s">
        <v>21</v>
      </c>
      <c r="D270" s="14">
        <v>0</v>
      </c>
      <c r="E270" s="14">
        <v>0</v>
      </c>
      <c r="F270" s="14">
        <v>0</v>
      </c>
      <c r="G270" s="14">
        <v>0</v>
      </c>
      <c r="H270" s="16">
        <v>1264</v>
      </c>
      <c r="I270" s="17">
        <v>269</v>
      </c>
      <c r="J270" s="14">
        <v>95</v>
      </c>
      <c r="K270" s="14">
        <v>124</v>
      </c>
      <c r="L270" s="14">
        <v>124</v>
      </c>
      <c r="M270" s="14">
        <v>139</v>
      </c>
      <c r="N270" s="14">
        <v>126</v>
      </c>
      <c r="O270" s="14">
        <v>89</v>
      </c>
      <c r="P270" s="14">
        <v>81</v>
      </c>
      <c r="Q270" s="14">
        <v>16</v>
      </c>
      <c r="R270" s="14">
        <v>25</v>
      </c>
      <c r="S270" s="14">
        <v>72</v>
      </c>
      <c r="T270" s="14">
        <v>106</v>
      </c>
      <c r="U270" s="14">
        <v>1.175</v>
      </c>
      <c r="W270" s="39">
        <f t="shared" si="25"/>
        <v>1487.55</v>
      </c>
      <c r="X270" s="35"/>
      <c r="Y270" s="35"/>
      <c r="Z270" s="40"/>
      <c r="AA270" s="40"/>
      <c r="AB270" s="48"/>
      <c r="AC270" s="48"/>
    </row>
    <row r="271" spans="1:29" ht="13" thickBot="1" x14ac:dyDescent="0.3">
      <c r="A271" s="7" t="s">
        <v>35</v>
      </c>
      <c r="B271" s="19" t="s">
        <v>20</v>
      </c>
      <c r="C271" s="20" t="s">
        <v>21</v>
      </c>
      <c r="D271" s="21">
        <v>0</v>
      </c>
      <c r="E271" s="21">
        <v>0</v>
      </c>
      <c r="F271" s="21">
        <v>0</v>
      </c>
      <c r="G271" s="21">
        <v>0</v>
      </c>
      <c r="H271" s="22">
        <v>22</v>
      </c>
      <c r="I271" s="23">
        <v>15</v>
      </c>
      <c r="J271" s="21">
        <v>0</v>
      </c>
      <c r="K271" s="21">
        <v>0</v>
      </c>
      <c r="L271" s="21">
        <v>0</v>
      </c>
      <c r="M271" s="21">
        <v>2</v>
      </c>
      <c r="N271" s="21">
        <v>0</v>
      </c>
      <c r="O271" s="21">
        <v>0</v>
      </c>
      <c r="P271" s="21">
        <v>4</v>
      </c>
      <c r="Q271" s="21">
        <v>0</v>
      </c>
      <c r="R271" s="21">
        <v>0</v>
      </c>
      <c r="S271" s="21">
        <v>0</v>
      </c>
      <c r="T271" s="24">
        <v>0</v>
      </c>
      <c r="U271" s="14">
        <v>1.175</v>
      </c>
      <c r="W271" s="39">
        <f t="shared" si="25"/>
        <v>24.675000000000001</v>
      </c>
      <c r="X271" s="35"/>
      <c r="Y271" s="35"/>
      <c r="Z271" s="40"/>
      <c r="AA271" s="40"/>
      <c r="AB271" s="48"/>
      <c r="AC271" s="48"/>
    </row>
    <row r="272" spans="1:29" ht="13" thickBot="1" x14ac:dyDescent="0.3">
      <c r="A272" s="7" t="s">
        <v>35</v>
      </c>
      <c r="B272" s="25" t="s">
        <v>12</v>
      </c>
      <c r="C272" s="26" t="s">
        <v>21</v>
      </c>
      <c r="D272" s="27">
        <v>0</v>
      </c>
      <c r="E272" s="27">
        <v>0</v>
      </c>
      <c r="F272" s="27">
        <v>0</v>
      </c>
      <c r="G272" s="27">
        <v>0</v>
      </c>
      <c r="H272" s="28">
        <v>4131</v>
      </c>
      <c r="I272" s="29">
        <v>1034</v>
      </c>
      <c r="J272" s="27">
        <v>996</v>
      </c>
      <c r="K272" s="27">
        <v>567</v>
      </c>
      <c r="L272" s="27">
        <v>225</v>
      </c>
      <c r="M272" s="27">
        <v>239</v>
      </c>
      <c r="N272" s="27">
        <v>217</v>
      </c>
      <c r="O272" s="27">
        <v>162</v>
      </c>
      <c r="P272" s="27">
        <v>218</v>
      </c>
      <c r="Q272" s="27">
        <v>83</v>
      </c>
      <c r="R272" s="27">
        <v>91</v>
      </c>
      <c r="S272" s="27">
        <v>138</v>
      </c>
      <c r="T272" s="29">
        <v>160</v>
      </c>
      <c r="U272" s="14">
        <v>1.175</v>
      </c>
      <c r="W272" s="39">
        <f t="shared" si="25"/>
        <v>4852.75</v>
      </c>
      <c r="X272" s="35"/>
      <c r="Y272" s="35"/>
      <c r="Z272" s="40"/>
      <c r="AA272" s="40"/>
      <c r="AB272" s="48"/>
      <c r="AC272" s="48"/>
    </row>
    <row r="273" spans="1:29" ht="13" thickBot="1" x14ac:dyDescent="0.3">
      <c r="A273" s="9" t="s">
        <v>7</v>
      </c>
      <c r="B273" s="30" t="s">
        <v>15</v>
      </c>
      <c r="C273" s="31" t="s">
        <v>94</v>
      </c>
      <c r="D273" s="32" t="s">
        <v>47</v>
      </c>
      <c r="E273" s="53" t="s">
        <v>116</v>
      </c>
      <c r="F273" s="53" t="s">
        <v>117</v>
      </c>
      <c r="G273" s="53" t="s">
        <v>118</v>
      </c>
      <c r="H273" s="28" t="s">
        <v>12</v>
      </c>
      <c r="I273" s="54" t="s">
        <v>119</v>
      </c>
      <c r="J273" s="53" t="s">
        <v>174</v>
      </c>
      <c r="K273" s="53" t="s">
        <v>175</v>
      </c>
      <c r="L273" s="53" t="s">
        <v>99</v>
      </c>
      <c r="M273" s="53" t="s">
        <v>100</v>
      </c>
      <c r="N273" s="53" t="s">
        <v>101</v>
      </c>
      <c r="O273" s="53" t="s">
        <v>102</v>
      </c>
      <c r="P273" s="53" t="s">
        <v>103</v>
      </c>
      <c r="Q273" s="53" t="s">
        <v>104</v>
      </c>
      <c r="R273" s="53" t="s">
        <v>105</v>
      </c>
      <c r="S273" s="53" t="s">
        <v>106</v>
      </c>
      <c r="T273" s="55" t="s">
        <v>107</v>
      </c>
      <c r="U273" s="14">
        <v>0.2772558114</v>
      </c>
      <c r="V273" s="14" t="s">
        <v>183</v>
      </c>
      <c r="W273" s="39">
        <f t="shared" si="25"/>
        <v>0</v>
      </c>
      <c r="X273" s="14" t="s">
        <v>37</v>
      </c>
      <c r="Y273" s="14" t="s">
        <v>38</v>
      </c>
      <c r="AB273" s="48"/>
      <c r="AC273" s="48"/>
    </row>
    <row r="274" spans="1:29" x14ac:dyDescent="0.25">
      <c r="A274" s="7" t="s">
        <v>7</v>
      </c>
      <c r="B274" s="8" t="s">
        <v>17</v>
      </c>
      <c r="C274" s="9" t="s">
        <v>18</v>
      </c>
      <c r="D274" s="10">
        <v>0</v>
      </c>
      <c r="E274" s="10">
        <v>0</v>
      </c>
      <c r="F274" s="10">
        <v>0</v>
      </c>
      <c r="G274" s="10">
        <v>635</v>
      </c>
      <c r="H274" s="11">
        <v>4560</v>
      </c>
      <c r="I274" s="12">
        <v>1401</v>
      </c>
      <c r="J274" s="10">
        <v>1646</v>
      </c>
      <c r="K274" s="10">
        <v>789</v>
      </c>
      <c r="L274" s="10">
        <v>2</v>
      </c>
      <c r="M274" s="10">
        <v>0</v>
      </c>
      <c r="N274" s="10">
        <v>0</v>
      </c>
      <c r="O274" s="10">
        <v>0</v>
      </c>
      <c r="P274" s="10">
        <v>87</v>
      </c>
      <c r="Q274" s="10">
        <v>0</v>
      </c>
      <c r="R274" s="10">
        <v>0</v>
      </c>
      <c r="S274" s="10">
        <v>0</v>
      </c>
      <c r="T274" s="13">
        <v>0</v>
      </c>
      <c r="U274" s="14">
        <v>0.2772558114</v>
      </c>
      <c r="V274" s="42">
        <f>SUM(I274:T274)/H274</f>
        <v>0.86074561403508776</v>
      </c>
      <c r="W274" s="39">
        <f t="shared" si="25"/>
        <v>1088.2290597450001</v>
      </c>
    </row>
    <row r="275" spans="1:29" x14ac:dyDescent="0.25">
      <c r="A275" s="7" t="s">
        <v>7</v>
      </c>
      <c r="B275" s="15" t="s">
        <v>66</v>
      </c>
      <c r="C275" s="7" t="s">
        <v>18</v>
      </c>
      <c r="D275" s="14">
        <v>0</v>
      </c>
      <c r="E275" s="14">
        <v>0</v>
      </c>
      <c r="F275" s="14">
        <v>0</v>
      </c>
      <c r="G275" s="14">
        <v>68</v>
      </c>
      <c r="H275" s="16">
        <v>75</v>
      </c>
      <c r="I275" s="17">
        <v>6</v>
      </c>
      <c r="J275" s="14">
        <v>0</v>
      </c>
      <c r="K275" s="14">
        <v>0</v>
      </c>
      <c r="L275" s="14">
        <v>0</v>
      </c>
      <c r="M275" s="14">
        <v>0</v>
      </c>
      <c r="N275" s="14">
        <v>0</v>
      </c>
      <c r="O275" s="14">
        <v>0</v>
      </c>
      <c r="P275" s="14">
        <v>0</v>
      </c>
      <c r="Q275" s="14">
        <v>0</v>
      </c>
      <c r="R275" s="14">
        <v>0</v>
      </c>
      <c r="S275" s="14">
        <v>0</v>
      </c>
      <c r="T275" s="18">
        <v>0</v>
      </c>
      <c r="U275" s="14">
        <v>0.2772558114</v>
      </c>
      <c r="V275" s="44"/>
      <c r="W275" s="39">
        <f t="shared" si="25"/>
        <v>1.6635348684</v>
      </c>
    </row>
    <row r="276" spans="1:29" x14ac:dyDescent="0.25">
      <c r="A276" s="7" t="s">
        <v>7</v>
      </c>
      <c r="B276" s="15" t="s">
        <v>13</v>
      </c>
      <c r="C276" s="7" t="s">
        <v>18</v>
      </c>
      <c r="D276" s="14">
        <v>462</v>
      </c>
      <c r="E276" s="14">
        <v>133</v>
      </c>
      <c r="F276" s="14">
        <v>112</v>
      </c>
      <c r="G276" s="14">
        <v>5223</v>
      </c>
      <c r="H276" s="16">
        <v>9165</v>
      </c>
      <c r="I276" s="17">
        <v>2037</v>
      </c>
      <c r="J276" s="14">
        <v>48</v>
      </c>
      <c r="K276" s="14">
        <v>0</v>
      </c>
      <c r="L276" s="14">
        <v>0</v>
      </c>
      <c r="M276" s="14">
        <v>0</v>
      </c>
      <c r="N276" s="14">
        <v>0</v>
      </c>
      <c r="O276" s="14">
        <v>547</v>
      </c>
      <c r="P276" s="14">
        <v>602</v>
      </c>
      <c r="Q276" s="14">
        <v>0</v>
      </c>
      <c r="R276" s="14">
        <v>0</v>
      </c>
      <c r="S276" s="14">
        <v>0</v>
      </c>
      <c r="T276" s="18">
        <v>0</v>
      </c>
      <c r="U276" s="14">
        <v>0.2772558114</v>
      </c>
      <c r="V276" s="41"/>
      <c r="W276" s="39">
        <f t="shared" si="25"/>
        <v>896.64529406759993</v>
      </c>
    </row>
    <row r="277" spans="1:29" x14ac:dyDescent="0.25">
      <c r="A277" s="7" t="s">
        <v>7</v>
      </c>
      <c r="B277" s="15" t="s">
        <v>67</v>
      </c>
      <c r="C277" s="7" t="s">
        <v>18</v>
      </c>
      <c r="D277" s="14">
        <v>590</v>
      </c>
      <c r="E277" s="14">
        <v>561</v>
      </c>
      <c r="F277" s="14">
        <v>1022</v>
      </c>
      <c r="G277" s="14">
        <v>1494</v>
      </c>
      <c r="H277" s="16">
        <v>4955</v>
      </c>
      <c r="I277" s="17">
        <v>0</v>
      </c>
      <c r="J277" s="14">
        <v>197</v>
      </c>
      <c r="K277" s="14">
        <v>0</v>
      </c>
      <c r="L277" s="14">
        <v>0</v>
      </c>
      <c r="M277" s="14">
        <v>0</v>
      </c>
      <c r="N277" s="14">
        <v>0</v>
      </c>
      <c r="O277" s="14">
        <v>0</v>
      </c>
      <c r="P277" s="14">
        <v>0</v>
      </c>
      <c r="Q277" s="14">
        <v>0</v>
      </c>
      <c r="R277" s="14">
        <v>0</v>
      </c>
      <c r="S277" s="14">
        <v>0</v>
      </c>
      <c r="T277" s="18">
        <v>1091</v>
      </c>
      <c r="U277" s="14">
        <v>0.2772558114</v>
      </c>
      <c r="V277" s="41"/>
      <c r="W277" s="39">
        <f t="shared" si="25"/>
        <v>357.10548508319999</v>
      </c>
    </row>
    <row r="278" spans="1:29" x14ac:dyDescent="0.25">
      <c r="A278" s="7" t="s">
        <v>7</v>
      </c>
      <c r="B278" s="15" t="s">
        <v>73</v>
      </c>
      <c r="C278" s="7" t="s">
        <v>18</v>
      </c>
      <c r="D278" s="14">
        <v>2660</v>
      </c>
      <c r="E278" s="14">
        <v>2186</v>
      </c>
      <c r="F278" s="14">
        <v>113</v>
      </c>
      <c r="G278" s="14">
        <v>12956</v>
      </c>
      <c r="H278" s="16">
        <v>30988</v>
      </c>
      <c r="I278" s="17">
        <v>7862</v>
      </c>
      <c r="J278" s="14">
        <v>1570</v>
      </c>
      <c r="K278" s="14">
        <v>83</v>
      </c>
      <c r="L278" s="14">
        <v>0</v>
      </c>
      <c r="M278" s="14">
        <v>0</v>
      </c>
      <c r="N278" s="14">
        <v>434</v>
      </c>
      <c r="O278" s="14">
        <v>676</v>
      </c>
      <c r="P278" s="14">
        <v>2447</v>
      </c>
      <c r="Q278" s="14">
        <v>0</v>
      </c>
      <c r="R278" s="14">
        <v>0</v>
      </c>
      <c r="S278" s="14">
        <v>0</v>
      </c>
      <c r="T278" s="18">
        <v>0</v>
      </c>
      <c r="U278" s="14">
        <v>0.2772558114</v>
      </c>
      <c r="V278" s="41"/>
      <c r="W278" s="39">
        <f t="shared" si="25"/>
        <v>3624.2879666208</v>
      </c>
    </row>
    <row r="279" spans="1:29" x14ac:dyDescent="0.25">
      <c r="A279" s="7" t="s">
        <v>7</v>
      </c>
      <c r="B279" s="15" t="s">
        <v>19</v>
      </c>
      <c r="C279" s="7" t="s">
        <v>18</v>
      </c>
      <c r="D279" s="14">
        <v>267</v>
      </c>
      <c r="E279" s="14">
        <v>104</v>
      </c>
      <c r="F279" s="14">
        <v>806</v>
      </c>
      <c r="G279" s="14">
        <v>4277</v>
      </c>
      <c r="H279" s="16">
        <v>7221</v>
      </c>
      <c r="I279" s="17">
        <v>462</v>
      </c>
      <c r="J279" s="14">
        <v>174</v>
      </c>
      <c r="K279" s="14">
        <v>96</v>
      </c>
      <c r="L279" s="14">
        <v>0</v>
      </c>
      <c r="M279" s="14">
        <v>58</v>
      </c>
      <c r="N279" s="14">
        <v>23</v>
      </c>
      <c r="O279" s="14">
        <v>21</v>
      </c>
      <c r="P279" s="14">
        <v>467</v>
      </c>
      <c r="Q279" s="14">
        <v>22</v>
      </c>
      <c r="R279" s="14">
        <v>0</v>
      </c>
      <c r="S279" s="14">
        <v>405</v>
      </c>
      <c r="T279" s="18">
        <v>38</v>
      </c>
      <c r="U279" s="14">
        <v>0.2772558114</v>
      </c>
      <c r="V279" s="41"/>
      <c r="W279" s="39">
        <f t="shared" si="25"/>
        <v>489.63376293239997</v>
      </c>
    </row>
    <row r="280" spans="1:29" ht="13" thickBot="1" x14ac:dyDescent="0.3">
      <c r="A280" s="7" t="s">
        <v>7</v>
      </c>
      <c r="B280" s="19" t="s">
        <v>20</v>
      </c>
      <c r="C280" s="20" t="s">
        <v>18</v>
      </c>
      <c r="D280" s="21">
        <v>0</v>
      </c>
      <c r="E280" s="21">
        <v>0</v>
      </c>
      <c r="F280" s="21">
        <v>0</v>
      </c>
      <c r="G280" s="21">
        <v>0</v>
      </c>
      <c r="H280" s="22">
        <v>0</v>
      </c>
      <c r="I280" s="23">
        <v>0</v>
      </c>
      <c r="J280" s="21">
        <v>0</v>
      </c>
      <c r="K280" s="21">
        <v>0</v>
      </c>
      <c r="L280" s="21">
        <v>0</v>
      </c>
      <c r="M280" s="21">
        <v>0</v>
      </c>
      <c r="N280" s="21">
        <v>0</v>
      </c>
      <c r="O280" s="21">
        <v>0</v>
      </c>
      <c r="P280" s="21">
        <v>0</v>
      </c>
      <c r="Q280" s="21">
        <v>0</v>
      </c>
      <c r="R280" s="21">
        <v>0</v>
      </c>
      <c r="S280" s="21">
        <v>0</v>
      </c>
      <c r="T280" s="24">
        <v>0</v>
      </c>
      <c r="U280" s="14">
        <v>0.2772558114</v>
      </c>
      <c r="V280" s="44"/>
      <c r="W280" s="39">
        <f t="shared" si="25"/>
        <v>0</v>
      </c>
    </row>
    <row r="281" spans="1:29" ht="13" thickBot="1" x14ac:dyDescent="0.3">
      <c r="A281" s="7" t="s">
        <v>7</v>
      </c>
      <c r="B281" s="25" t="s">
        <v>12</v>
      </c>
      <c r="C281" s="26" t="s">
        <v>18</v>
      </c>
      <c r="D281" s="27">
        <v>3979</v>
      </c>
      <c r="E281" s="27">
        <v>2984</v>
      </c>
      <c r="F281" s="27">
        <v>2053</v>
      </c>
      <c r="G281" s="27">
        <v>24653</v>
      </c>
      <c r="H281" s="28">
        <v>56964</v>
      </c>
      <c r="I281" s="29">
        <v>11768</v>
      </c>
      <c r="J281" s="27">
        <v>3635</v>
      </c>
      <c r="K281" s="27">
        <v>968</v>
      </c>
      <c r="L281" s="27">
        <v>2</v>
      </c>
      <c r="M281" s="27">
        <v>58</v>
      </c>
      <c r="N281" s="27">
        <v>457</v>
      </c>
      <c r="O281" s="27">
        <v>1244</v>
      </c>
      <c r="P281" s="27">
        <v>3603</v>
      </c>
      <c r="Q281" s="27">
        <v>22</v>
      </c>
      <c r="R281" s="27">
        <v>0</v>
      </c>
      <c r="S281" s="27">
        <v>405</v>
      </c>
      <c r="T281" s="29">
        <v>1129</v>
      </c>
      <c r="U281" s="14">
        <v>0.2772558114</v>
      </c>
      <c r="V281" s="43">
        <f>SUM(I276:T279)/SUM(H276:H279)</f>
        <v>0.36996693993770186</v>
      </c>
      <c r="W281" s="39">
        <f t="shared" si="25"/>
        <v>6457.5651033173999</v>
      </c>
      <c r="X281" s="35">
        <f>W279+W276</f>
        <v>1386.279057</v>
      </c>
      <c r="Y281" s="35">
        <f>W274</f>
        <v>1088.2290597450001</v>
      </c>
    </row>
    <row r="282" spans="1:29" x14ac:dyDescent="0.25">
      <c r="A282" s="7" t="s">
        <v>7</v>
      </c>
      <c r="B282" s="8" t="s">
        <v>17</v>
      </c>
      <c r="C282" s="9" t="s">
        <v>21</v>
      </c>
      <c r="D282" s="10">
        <v>0</v>
      </c>
      <c r="E282" s="10">
        <v>0</v>
      </c>
      <c r="F282" s="10">
        <v>0</v>
      </c>
      <c r="G282" s="10">
        <v>0</v>
      </c>
      <c r="H282" s="11">
        <v>0</v>
      </c>
      <c r="I282" s="12">
        <v>0</v>
      </c>
      <c r="J282" s="10">
        <v>0</v>
      </c>
      <c r="K282" s="10">
        <v>0</v>
      </c>
      <c r="L282" s="10">
        <v>0</v>
      </c>
      <c r="M282" s="10">
        <v>0</v>
      </c>
      <c r="N282" s="10">
        <v>0</v>
      </c>
      <c r="O282" s="10">
        <v>0</v>
      </c>
      <c r="P282" s="10">
        <v>0</v>
      </c>
      <c r="Q282" s="10">
        <v>0</v>
      </c>
      <c r="R282" s="10">
        <v>0</v>
      </c>
      <c r="S282" s="10">
        <v>0</v>
      </c>
      <c r="T282" s="13">
        <v>0</v>
      </c>
      <c r="U282" s="14">
        <v>0.2772558114</v>
      </c>
      <c r="W282" s="39">
        <f t="shared" si="25"/>
        <v>0</v>
      </c>
      <c r="AB282" s="37" t="str">
        <f t="shared" ref="AB282:AB288" si="32">B282</f>
        <v>Parts-OTC</v>
      </c>
      <c r="AC282" s="36">
        <f t="shared" ref="AC282:AC288" si="33">I282*U282</f>
        <v>0</v>
      </c>
    </row>
    <row r="283" spans="1:29" x14ac:dyDescent="0.25">
      <c r="A283" s="7" t="s">
        <v>7</v>
      </c>
      <c r="B283" s="15" t="s">
        <v>66</v>
      </c>
      <c r="C283" s="7" t="s">
        <v>21</v>
      </c>
      <c r="D283" s="14">
        <v>0</v>
      </c>
      <c r="E283" s="14">
        <v>0</v>
      </c>
      <c r="F283" s="14">
        <v>0</v>
      </c>
      <c r="G283" s="14">
        <v>0</v>
      </c>
      <c r="H283" s="16">
        <v>0</v>
      </c>
      <c r="I283" s="17">
        <v>0</v>
      </c>
      <c r="J283" s="14">
        <v>0</v>
      </c>
      <c r="K283" s="14">
        <v>0</v>
      </c>
      <c r="L283" s="14">
        <v>0</v>
      </c>
      <c r="M283" s="14">
        <v>0</v>
      </c>
      <c r="N283" s="14">
        <v>0</v>
      </c>
      <c r="O283" s="14">
        <v>0</v>
      </c>
      <c r="P283" s="14">
        <v>0</v>
      </c>
      <c r="Q283" s="14">
        <v>0</v>
      </c>
      <c r="R283" s="14">
        <v>0</v>
      </c>
      <c r="S283" s="14">
        <v>0</v>
      </c>
      <c r="T283" s="18">
        <v>0</v>
      </c>
      <c r="U283" s="14">
        <v>0.2772558114</v>
      </c>
      <c r="W283" s="39">
        <f t="shared" si="25"/>
        <v>0</v>
      </c>
      <c r="AB283" s="37" t="str">
        <f t="shared" si="32"/>
        <v>CTKS</v>
      </c>
      <c r="AC283" s="36">
        <f t="shared" si="33"/>
        <v>0</v>
      </c>
    </row>
    <row r="284" spans="1:29" x14ac:dyDescent="0.25">
      <c r="A284" s="7" t="s">
        <v>7</v>
      </c>
      <c r="B284" s="15" t="s">
        <v>13</v>
      </c>
      <c r="C284" s="7" t="s">
        <v>21</v>
      </c>
      <c r="D284" s="14">
        <v>0</v>
      </c>
      <c r="E284" s="14">
        <v>0</v>
      </c>
      <c r="F284" s="14">
        <v>0</v>
      </c>
      <c r="G284" s="14">
        <v>0</v>
      </c>
      <c r="H284" s="16">
        <v>1139</v>
      </c>
      <c r="I284" s="33">
        <v>978</v>
      </c>
      <c r="J284" s="34">
        <v>109</v>
      </c>
      <c r="K284" s="34">
        <v>49</v>
      </c>
      <c r="L284" s="14">
        <v>0</v>
      </c>
      <c r="M284" s="14">
        <v>0</v>
      </c>
      <c r="N284" s="14">
        <v>0</v>
      </c>
      <c r="O284" s="14">
        <v>3</v>
      </c>
      <c r="P284" s="14">
        <v>0</v>
      </c>
      <c r="Q284" s="14">
        <v>0</v>
      </c>
      <c r="R284" s="14">
        <v>0</v>
      </c>
      <c r="S284" s="14">
        <v>0</v>
      </c>
      <c r="T284" s="18">
        <v>0</v>
      </c>
      <c r="U284" s="14">
        <v>0.2772558114</v>
      </c>
      <c r="W284" s="39">
        <f t="shared" si="25"/>
        <v>315.79436918459999</v>
      </c>
      <c r="AB284" s="37" t="str">
        <f t="shared" si="32"/>
        <v>Repair</v>
      </c>
      <c r="AC284" s="36">
        <f t="shared" si="33"/>
        <v>271.15618354920002</v>
      </c>
    </row>
    <row r="285" spans="1:29" x14ac:dyDescent="0.25">
      <c r="A285" s="7" t="s">
        <v>7</v>
      </c>
      <c r="B285" s="15" t="s">
        <v>67</v>
      </c>
      <c r="C285" s="7" t="s">
        <v>21</v>
      </c>
      <c r="D285" s="14">
        <v>0</v>
      </c>
      <c r="E285" s="14">
        <v>0</v>
      </c>
      <c r="F285" s="14">
        <v>0</v>
      </c>
      <c r="G285" s="14">
        <v>0</v>
      </c>
      <c r="H285" s="16">
        <v>5750</v>
      </c>
      <c r="I285" s="17">
        <v>4088</v>
      </c>
      <c r="J285" s="14">
        <v>94</v>
      </c>
      <c r="K285" s="14">
        <v>152</v>
      </c>
      <c r="L285" s="14">
        <v>198</v>
      </c>
      <c r="M285" s="14">
        <v>18</v>
      </c>
      <c r="N285" s="14">
        <v>0</v>
      </c>
      <c r="O285" s="14">
        <v>0</v>
      </c>
      <c r="P285" s="14">
        <v>1174</v>
      </c>
      <c r="Q285" s="14">
        <v>0</v>
      </c>
      <c r="R285" s="14">
        <v>0</v>
      </c>
      <c r="S285" s="14">
        <v>26</v>
      </c>
      <c r="T285" s="18">
        <v>0</v>
      </c>
      <c r="U285" s="14">
        <v>0.2772558114</v>
      </c>
      <c r="W285" s="39">
        <f t="shared" si="25"/>
        <v>1594.22091555</v>
      </c>
      <c r="AB285" s="37" t="str">
        <f t="shared" si="32"/>
        <v>Rental</v>
      </c>
      <c r="AC285" s="36">
        <f t="shared" si="33"/>
        <v>1133.4217570031999</v>
      </c>
    </row>
    <row r="286" spans="1:29" x14ac:dyDescent="0.25">
      <c r="A286" s="7" t="s">
        <v>7</v>
      </c>
      <c r="B286" s="15" t="s">
        <v>73</v>
      </c>
      <c r="C286" s="7" t="s">
        <v>21</v>
      </c>
      <c r="D286" s="14">
        <v>0</v>
      </c>
      <c r="E286" s="14">
        <v>0</v>
      </c>
      <c r="F286" s="14">
        <v>0</v>
      </c>
      <c r="G286" s="14">
        <v>0</v>
      </c>
      <c r="H286" s="16">
        <v>2668</v>
      </c>
      <c r="I286" s="17">
        <v>1943</v>
      </c>
      <c r="J286" s="14">
        <v>264</v>
      </c>
      <c r="K286" s="14">
        <v>128</v>
      </c>
      <c r="L286" s="14">
        <v>217</v>
      </c>
      <c r="M286" s="14">
        <v>0</v>
      </c>
      <c r="N286" s="14">
        <v>0</v>
      </c>
      <c r="O286" s="14">
        <v>0</v>
      </c>
      <c r="P286" s="14">
        <v>116</v>
      </c>
      <c r="Q286" s="14">
        <v>0</v>
      </c>
      <c r="R286" s="14">
        <v>0</v>
      </c>
      <c r="S286" s="14">
        <v>0</v>
      </c>
      <c r="T286" s="18">
        <v>0</v>
      </c>
      <c r="U286" s="14">
        <v>0.2772558114</v>
      </c>
      <c r="W286" s="39">
        <f t="shared" si="25"/>
        <v>739.71850481519994</v>
      </c>
      <c r="AB286" s="37"/>
    </row>
    <row r="287" spans="1:29" x14ac:dyDescent="0.25">
      <c r="A287" s="7" t="s">
        <v>7</v>
      </c>
      <c r="B287" s="15" t="s">
        <v>19</v>
      </c>
      <c r="C287" s="7" t="s">
        <v>21</v>
      </c>
      <c r="D287" s="14">
        <v>0</v>
      </c>
      <c r="E287" s="14">
        <v>0</v>
      </c>
      <c r="F287" s="14">
        <v>0</v>
      </c>
      <c r="G287" s="14">
        <v>0</v>
      </c>
      <c r="H287" s="16">
        <v>6191</v>
      </c>
      <c r="I287" s="17">
        <v>775</v>
      </c>
      <c r="J287" s="14">
        <v>572</v>
      </c>
      <c r="K287" s="14">
        <v>330</v>
      </c>
      <c r="L287" s="14">
        <v>357</v>
      </c>
      <c r="M287" s="14">
        <v>715</v>
      </c>
      <c r="N287" s="14">
        <v>1044</v>
      </c>
      <c r="O287" s="14">
        <v>425</v>
      </c>
      <c r="P287" s="14">
        <v>486</v>
      </c>
      <c r="Q287" s="14">
        <v>297</v>
      </c>
      <c r="R287" s="14">
        <v>299</v>
      </c>
      <c r="S287" s="14">
        <v>473</v>
      </c>
      <c r="T287" s="18">
        <v>419</v>
      </c>
      <c r="U287" s="14">
        <v>0.2772558114</v>
      </c>
      <c r="W287" s="39">
        <f t="shared" si="25"/>
        <v>1716.7679841888</v>
      </c>
      <c r="AB287" s="37" t="str">
        <f t="shared" si="32"/>
        <v>Maintenance</v>
      </c>
      <c r="AC287" s="36">
        <f t="shared" si="33"/>
        <v>214.87325383499999</v>
      </c>
    </row>
    <row r="288" spans="1:29" ht="13" thickBot="1" x14ac:dyDescent="0.3">
      <c r="A288" s="7" t="s">
        <v>7</v>
      </c>
      <c r="B288" s="19" t="s">
        <v>20</v>
      </c>
      <c r="C288" s="20" t="s">
        <v>21</v>
      </c>
      <c r="D288" s="21">
        <v>0</v>
      </c>
      <c r="E288" s="21">
        <v>0</v>
      </c>
      <c r="F288" s="21">
        <v>0</v>
      </c>
      <c r="G288" s="21">
        <v>0</v>
      </c>
      <c r="H288" s="22">
        <v>96</v>
      </c>
      <c r="I288" s="23">
        <v>96</v>
      </c>
      <c r="J288" s="21">
        <v>0</v>
      </c>
      <c r="K288" s="21">
        <v>0</v>
      </c>
      <c r="L288" s="21">
        <v>0</v>
      </c>
      <c r="M288" s="21">
        <v>0</v>
      </c>
      <c r="N288" s="21">
        <v>0</v>
      </c>
      <c r="O288" s="21">
        <v>0</v>
      </c>
      <c r="P288" s="21">
        <v>0</v>
      </c>
      <c r="Q288" s="21">
        <v>0</v>
      </c>
      <c r="R288" s="21">
        <v>0</v>
      </c>
      <c r="S288" s="21">
        <v>0</v>
      </c>
      <c r="T288" s="24">
        <v>0</v>
      </c>
      <c r="U288" s="14">
        <v>0.2772558114</v>
      </c>
      <c r="W288" s="39">
        <f t="shared" si="25"/>
        <v>26.6165578944</v>
      </c>
      <c r="AB288" s="37" t="str">
        <f t="shared" si="32"/>
        <v>Startup</v>
      </c>
      <c r="AC288" s="36">
        <f t="shared" si="33"/>
        <v>26.6165578944</v>
      </c>
    </row>
    <row r="289" spans="1:29" ht="13" thickBot="1" x14ac:dyDescent="0.3">
      <c r="A289" s="20" t="s">
        <v>7</v>
      </c>
      <c r="B289" s="25" t="s">
        <v>12</v>
      </c>
      <c r="C289" s="26" t="s">
        <v>21</v>
      </c>
      <c r="D289" s="27">
        <v>0</v>
      </c>
      <c r="E289" s="27">
        <v>0</v>
      </c>
      <c r="F289" s="27">
        <v>0</v>
      </c>
      <c r="G289" s="27">
        <v>0</v>
      </c>
      <c r="H289" s="28">
        <v>15844</v>
      </c>
      <c r="I289" s="29">
        <v>7880</v>
      </c>
      <c r="J289" s="27">
        <v>1039</v>
      </c>
      <c r="K289" s="27">
        <v>659</v>
      </c>
      <c r="L289" s="27">
        <v>772</v>
      </c>
      <c r="M289" s="27">
        <v>733</v>
      </c>
      <c r="N289" s="27">
        <v>1044</v>
      </c>
      <c r="O289" s="27">
        <v>428</v>
      </c>
      <c r="P289" s="27">
        <v>1776</v>
      </c>
      <c r="Q289" s="27">
        <v>297</v>
      </c>
      <c r="R289" s="27">
        <v>299</v>
      </c>
      <c r="S289" s="27">
        <v>499</v>
      </c>
      <c r="T289" s="29">
        <v>419</v>
      </c>
      <c r="U289" s="14">
        <v>0.2772558114</v>
      </c>
      <c r="W289" s="39">
        <f t="shared" si="25"/>
        <v>4393.1183316329998</v>
      </c>
      <c r="X289" s="35">
        <f>W288+W287+W284</f>
        <v>2059.1789112678002</v>
      </c>
      <c r="Y289" s="35">
        <f>W282</f>
        <v>0</v>
      </c>
      <c r="Z289" s="40">
        <f>V280/X289</f>
        <v>0</v>
      </c>
      <c r="AA289" s="40">
        <f>IF((Y289=0),0,Y281/Y289)</f>
        <v>0</v>
      </c>
      <c r="AB289" s="48"/>
      <c r="AC289" s="48"/>
    </row>
    <row r="290" spans="1:29" ht="13" thickBot="1" x14ac:dyDescent="0.3">
      <c r="A290" s="9" t="s">
        <v>90</v>
      </c>
      <c r="B290" s="30" t="s">
        <v>15</v>
      </c>
      <c r="C290" s="31" t="s">
        <v>46</v>
      </c>
      <c r="D290" s="32" t="s">
        <v>47</v>
      </c>
      <c r="E290" s="53">
        <v>45689</v>
      </c>
      <c r="F290" s="53">
        <v>45717</v>
      </c>
      <c r="G290" s="53">
        <v>45748</v>
      </c>
      <c r="H290" s="28" t="s">
        <v>12</v>
      </c>
      <c r="I290" s="54">
        <v>45778</v>
      </c>
      <c r="J290" s="53">
        <v>45809</v>
      </c>
      <c r="K290" s="53">
        <v>45839</v>
      </c>
      <c r="L290" s="53">
        <v>45870</v>
      </c>
      <c r="M290" s="53">
        <v>45901</v>
      </c>
      <c r="N290" s="53">
        <v>45931</v>
      </c>
      <c r="O290" s="53">
        <v>45962</v>
      </c>
      <c r="P290" s="53">
        <v>45992</v>
      </c>
      <c r="Q290" s="53">
        <v>46023</v>
      </c>
      <c r="R290" s="53">
        <v>46054</v>
      </c>
      <c r="S290" s="53">
        <v>46082</v>
      </c>
      <c r="T290" s="55">
        <v>46113</v>
      </c>
      <c r="U290" s="14">
        <v>1.175</v>
      </c>
      <c r="V290" s="14" t="s">
        <v>183</v>
      </c>
      <c r="W290" s="39">
        <f t="shared" si="25"/>
        <v>647840.95000000007</v>
      </c>
      <c r="X290" s="14" t="s">
        <v>37</v>
      </c>
      <c r="Y290" s="14" t="s">
        <v>38</v>
      </c>
      <c r="AB290" s="48"/>
      <c r="AC290" s="48"/>
    </row>
    <row r="291" spans="1:29" x14ac:dyDescent="0.25">
      <c r="A291" s="7" t="s">
        <v>90</v>
      </c>
      <c r="B291" s="8" t="s">
        <v>17</v>
      </c>
      <c r="C291" s="9" t="s">
        <v>18</v>
      </c>
      <c r="D291" s="10">
        <v>1</v>
      </c>
      <c r="E291" s="10">
        <v>10</v>
      </c>
      <c r="F291" s="10">
        <v>2</v>
      </c>
      <c r="G291" s="10">
        <v>0</v>
      </c>
      <c r="H291" s="11">
        <v>13</v>
      </c>
      <c r="I291" s="12">
        <v>0</v>
      </c>
      <c r="J291" s="10">
        <v>0</v>
      </c>
      <c r="K291" s="10">
        <v>0</v>
      </c>
      <c r="L291" s="10">
        <v>0</v>
      </c>
      <c r="M291" s="10">
        <v>0</v>
      </c>
      <c r="N291" s="10">
        <v>0</v>
      </c>
      <c r="O291" s="10">
        <v>0</v>
      </c>
      <c r="P291" s="10">
        <v>0</v>
      </c>
      <c r="Q291" s="10">
        <v>0</v>
      </c>
      <c r="R291" s="10">
        <v>0</v>
      </c>
      <c r="S291" s="10">
        <v>0</v>
      </c>
      <c r="T291" s="13">
        <v>0</v>
      </c>
      <c r="U291" s="14">
        <v>1.175</v>
      </c>
      <c r="V291" s="42">
        <f>SUM(I291:T291)/H291</f>
        <v>0</v>
      </c>
      <c r="W291" s="39">
        <f t="shared" si="25"/>
        <v>0</v>
      </c>
    </row>
    <row r="292" spans="1:29" x14ac:dyDescent="0.25">
      <c r="A292" s="7" t="s">
        <v>90</v>
      </c>
      <c r="B292" s="15" t="s">
        <v>66</v>
      </c>
      <c r="C292" s="7" t="s">
        <v>18</v>
      </c>
      <c r="D292" s="14">
        <v>0</v>
      </c>
      <c r="E292" s="14">
        <v>0</v>
      </c>
      <c r="F292" s="14">
        <v>0</v>
      </c>
      <c r="G292" s="14">
        <v>0</v>
      </c>
      <c r="H292" s="16">
        <v>0</v>
      </c>
      <c r="I292" s="17">
        <v>0</v>
      </c>
      <c r="J292" s="14">
        <v>0</v>
      </c>
      <c r="K292" s="14">
        <v>0</v>
      </c>
      <c r="L292" s="14">
        <v>0</v>
      </c>
      <c r="M292" s="14">
        <v>0</v>
      </c>
      <c r="N292" s="14">
        <v>0</v>
      </c>
      <c r="O292" s="14">
        <v>0</v>
      </c>
      <c r="P292" s="14">
        <v>0</v>
      </c>
      <c r="Q292" s="14">
        <v>0</v>
      </c>
      <c r="R292" s="14">
        <v>0</v>
      </c>
      <c r="S292" s="14">
        <v>0</v>
      </c>
      <c r="T292" s="18">
        <v>0</v>
      </c>
      <c r="U292" s="14">
        <v>1.175</v>
      </c>
      <c r="V292" s="44"/>
      <c r="W292" s="39">
        <f t="shared" ref="W292:W355" si="34">SUM(I292:T292)*U292</f>
        <v>0</v>
      </c>
    </row>
    <row r="293" spans="1:29" x14ac:dyDescent="0.25">
      <c r="A293" s="7" t="s">
        <v>90</v>
      </c>
      <c r="B293" s="15" t="s">
        <v>13</v>
      </c>
      <c r="C293" s="7" t="s">
        <v>18</v>
      </c>
      <c r="D293" s="14">
        <v>39</v>
      </c>
      <c r="E293" s="14">
        <v>0</v>
      </c>
      <c r="F293" s="14">
        <v>0</v>
      </c>
      <c r="G293" s="14">
        <v>8</v>
      </c>
      <c r="H293" s="16">
        <v>68</v>
      </c>
      <c r="I293" s="17">
        <v>17</v>
      </c>
      <c r="J293" s="14">
        <v>0</v>
      </c>
      <c r="K293" s="14">
        <v>0</v>
      </c>
      <c r="L293" s="14">
        <v>4</v>
      </c>
      <c r="M293" s="14">
        <v>0</v>
      </c>
      <c r="N293" s="14">
        <v>0</v>
      </c>
      <c r="O293" s="14">
        <v>0</v>
      </c>
      <c r="P293" s="14">
        <v>0</v>
      </c>
      <c r="Q293" s="14">
        <v>0</v>
      </c>
      <c r="R293" s="14">
        <v>0</v>
      </c>
      <c r="S293" s="14">
        <v>0</v>
      </c>
      <c r="T293" s="18">
        <v>0</v>
      </c>
      <c r="U293" s="14">
        <v>1.175</v>
      </c>
      <c r="V293" s="41"/>
      <c r="W293" s="39">
        <f t="shared" si="34"/>
        <v>24.675000000000001</v>
      </c>
    </row>
    <row r="294" spans="1:29" x14ac:dyDescent="0.25">
      <c r="A294" s="7" t="s">
        <v>90</v>
      </c>
      <c r="B294" s="15" t="s">
        <v>67</v>
      </c>
      <c r="C294" s="7" t="s">
        <v>18</v>
      </c>
      <c r="D294" s="14">
        <v>430</v>
      </c>
      <c r="E294" s="14">
        <v>0</v>
      </c>
      <c r="F294" s="14">
        <v>0</v>
      </c>
      <c r="G294" s="14">
        <v>0</v>
      </c>
      <c r="H294" s="16">
        <v>430</v>
      </c>
      <c r="I294" s="17">
        <v>0</v>
      </c>
      <c r="J294" s="14">
        <v>0</v>
      </c>
      <c r="K294" s="14">
        <v>0</v>
      </c>
      <c r="L294" s="14">
        <v>0</v>
      </c>
      <c r="M294" s="14">
        <v>0</v>
      </c>
      <c r="N294" s="14">
        <v>0</v>
      </c>
      <c r="O294" s="14">
        <v>0</v>
      </c>
      <c r="P294" s="14">
        <v>0</v>
      </c>
      <c r="Q294" s="14">
        <v>0</v>
      </c>
      <c r="R294" s="14">
        <v>0</v>
      </c>
      <c r="S294" s="14">
        <v>0</v>
      </c>
      <c r="T294" s="18">
        <v>0</v>
      </c>
      <c r="U294" s="14">
        <v>1.175</v>
      </c>
      <c r="V294" s="41"/>
      <c r="W294" s="39">
        <f t="shared" si="34"/>
        <v>0</v>
      </c>
    </row>
    <row r="295" spans="1:29" x14ac:dyDescent="0.25">
      <c r="A295" s="7" t="s">
        <v>90</v>
      </c>
      <c r="B295" s="15" t="s">
        <v>73</v>
      </c>
      <c r="C295" s="7" t="s">
        <v>18</v>
      </c>
      <c r="D295" s="14">
        <v>0</v>
      </c>
      <c r="E295" s="14">
        <v>0</v>
      </c>
      <c r="F295" s="14">
        <v>0</v>
      </c>
      <c r="G295" s="14">
        <v>0</v>
      </c>
      <c r="H295" s="16">
        <v>0</v>
      </c>
      <c r="I295" s="17">
        <v>0</v>
      </c>
      <c r="J295" s="14">
        <v>0</v>
      </c>
      <c r="K295" s="14">
        <v>0</v>
      </c>
      <c r="L295" s="14">
        <v>0</v>
      </c>
      <c r="M295" s="14">
        <v>0</v>
      </c>
      <c r="N295" s="14">
        <v>0</v>
      </c>
      <c r="O295" s="14">
        <v>0</v>
      </c>
      <c r="P295" s="14">
        <v>0</v>
      </c>
      <c r="Q295" s="14">
        <v>0</v>
      </c>
      <c r="R295" s="14">
        <v>0</v>
      </c>
      <c r="S295" s="14">
        <v>0</v>
      </c>
      <c r="T295" s="18">
        <v>0</v>
      </c>
      <c r="U295" s="14">
        <v>1.175</v>
      </c>
      <c r="V295" s="41"/>
      <c r="W295" s="39">
        <f t="shared" si="34"/>
        <v>0</v>
      </c>
    </row>
    <row r="296" spans="1:29" x14ac:dyDescent="0.25">
      <c r="A296" s="7" t="s">
        <v>90</v>
      </c>
      <c r="B296" s="15" t="s">
        <v>19</v>
      </c>
      <c r="C296" s="7" t="s">
        <v>18</v>
      </c>
      <c r="D296" s="14">
        <v>10</v>
      </c>
      <c r="E296" s="14">
        <v>0</v>
      </c>
      <c r="F296" s="14">
        <v>0</v>
      </c>
      <c r="G296" s="14">
        <v>0</v>
      </c>
      <c r="H296" s="16">
        <v>20</v>
      </c>
      <c r="I296" s="17">
        <v>0</v>
      </c>
      <c r="J296" s="14">
        <v>0</v>
      </c>
      <c r="K296" s="14">
        <v>0</v>
      </c>
      <c r="L296" s="14">
        <v>0</v>
      </c>
      <c r="M296" s="14">
        <v>0</v>
      </c>
      <c r="N296" s="14">
        <v>0</v>
      </c>
      <c r="O296" s="14">
        <v>6</v>
      </c>
      <c r="P296" s="14">
        <v>0</v>
      </c>
      <c r="Q296" s="14">
        <v>4</v>
      </c>
      <c r="R296" s="14">
        <v>0</v>
      </c>
      <c r="S296" s="14">
        <v>0</v>
      </c>
      <c r="T296" s="18">
        <v>0</v>
      </c>
      <c r="U296" s="14">
        <v>1.175</v>
      </c>
      <c r="V296" s="41"/>
      <c r="W296" s="39">
        <f t="shared" si="34"/>
        <v>11.75</v>
      </c>
    </row>
    <row r="297" spans="1:29" ht="13" thickBot="1" x14ac:dyDescent="0.3">
      <c r="A297" s="7" t="s">
        <v>90</v>
      </c>
      <c r="B297" s="19" t="s">
        <v>20</v>
      </c>
      <c r="C297" s="20" t="s">
        <v>18</v>
      </c>
      <c r="D297" s="21">
        <v>1</v>
      </c>
      <c r="E297" s="21">
        <v>0</v>
      </c>
      <c r="F297" s="21">
        <v>0</v>
      </c>
      <c r="G297" s="21">
        <v>0</v>
      </c>
      <c r="H297" s="22">
        <v>25</v>
      </c>
      <c r="I297" s="23">
        <v>24</v>
      </c>
      <c r="J297" s="21">
        <v>0</v>
      </c>
      <c r="K297" s="21">
        <v>0</v>
      </c>
      <c r="L297" s="21">
        <v>0</v>
      </c>
      <c r="M297" s="21">
        <v>0</v>
      </c>
      <c r="N297" s="21">
        <v>0</v>
      </c>
      <c r="O297" s="21">
        <v>0</v>
      </c>
      <c r="P297" s="21">
        <v>0</v>
      </c>
      <c r="Q297" s="21">
        <v>0</v>
      </c>
      <c r="R297" s="21">
        <v>0</v>
      </c>
      <c r="S297" s="21">
        <v>0</v>
      </c>
      <c r="T297" s="24">
        <v>0</v>
      </c>
      <c r="U297" s="14">
        <v>1.175</v>
      </c>
      <c r="V297" s="44"/>
      <c r="W297" s="39">
        <f t="shared" si="34"/>
        <v>28.200000000000003</v>
      </c>
    </row>
    <row r="298" spans="1:29" ht="13" thickBot="1" x14ac:dyDescent="0.3">
      <c r="A298" s="7" t="s">
        <v>90</v>
      </c>
      <c r="B298" s="25" t="s">
        <v>12</v>
      </c>
      <c r="C298" s="26" t="s">
        <v>18</v>
      </c>
      <c r="D298" s="27">
        <v>481</v>
      </c>
      <c r="E298" s="27">
        <v>10</v>
      </c>
      <c r="F298" s="27">
        <v>2</v>
      </c>
      <c r="G298" s="27">
        <v>8</v>
      </c>
      <c r="H298" s="28">
        <v>557</v>
      </c>
      <c r="I298" s="29">
        <v>42</v>
      </c>
      <c r="J298" s="27">
        <v>0</v>
      </c>
      <c r="K298" s="27">
        <v>0</v>
      </c>
      <c r="L298" s="27">
        <v>4</v>
      </c>
      <c r="M298" s="27">
        <v>0</v>
      </c>
      <c r="N298" s="27">
        <v>0</v>
      </c>
      <c r="O298" s="27">
        <v>6</v>
      </c>
      <c r="P298" s="27">
        <v>0</v>
      </c>
      <c r="Q298" s="27">
        <v>4</v>
      </c>
      <c r="R298" s="27">
        <v>0</v>
      </c>
      <c r="S298" s="27">
        <v>0</v>
      </c>
      <c r="T298" s="29">
        <v>0</v>
      </c>
      <c r="U298" s="14">
        <v>1.175</v>
      </c>
      <c r="V298" s="43">
        <f>SUM(I293:T296)/SUM(H293:H296)</f>
        <v>5.9845559845559844E-2</v>
      </c>
      <c r="W298" s="39">
        <f t="shared" si="34"/>
        <v>65.8</v>
      </c>
      <c r="X298" s="35">
        <f>W296+W293</f>
        <v>36.424999999999997</v>
      </c>
      <c r="Y298" s="35">
        <f>W291</f>
        <v>0</v>
      </c>
    </row>
    <row r="299" spans="1:29" x14ac:dyDescent="0.25">
      <c r="A299" s="7" t="s">
        <v>90</v>
      </c>
      <c r="B299" s="8" t="s">
        <v>17</v>
      </c>
      <c r="C299" s="9" t="s">
        <v>21</v>
      </c>
      <c r="D299" s="10">
        <v>0</v>
      </c>
      <c r="E299" s="10">
        <v>0</v>
      </c>
      <c r="F299" s="10">
        <v>0</v>
      </c>
      <c r="G299" s="10">
        <v>0</v>
      </c>
      <c r="H299" s="11">
        <v>0</v>
      </c>
      <c r="I299" s="12">
        <v>0</v>
      </c>
      <c r="J299" s="10">
        <v>0</v>
      </c>
      <c r="K299" s="10">
        <v>0</v>
      </c>
      <c r="L299" s="10">
        <v>0</v>
      </c>
      <c r="M299" s="10">
        <v>0</v>
      </c>
      <c r="N299" s="10">
        <v>0</v>
      </c>
      <c r="O299" s="10">
        <v>0</v>
      </c>
      <c r="P299" s="10">
        <v>0</v>
      </c>
      <c r="Q299" s="10">
        <v>0</v>
      </c>
      <c r="R299" s="10">
        <v>0</v>
      </c>
      <c r="S299" s="10">
        <v>0</v>
      </c>
      <c r="T299" s="13">
        <v>0</v>
      </c>
      <c r="U299" s="14">
        <v>1.175</v>
      </c>
      <c r="W299" s="39">
        <f t="shared" si="34"/>
        <v>0</v>
      </c>
      <c r="AB299" s="37" t="str">
        <f t="shared" ref="AB299:AB305" si="35">B299</f>
        <v>Parts-OTC</v>
      </c>
      <c r="AC299" s="36">
        <f t="shared" ref="AC299:AC305" si="36">I299*U299</f>
        <v>0</v>
      </c>
    </row>
    <row r="300" spans="1:29" x14ac:dyDescent="0.25">
      <c r="A300" s="7" t="s">
        <v>90</v>
      </c>
      <c r="B300" s="15" t="s">
        <v>66</v>
      </c>
      <c r="C300" s="7" t="s">
        <v>21</v>
      </c>
      <c r="D300" s="14">
        <v>0</v>
      </c>
      <c r="E300" s="14">
        <v>0</v>
      </c>
      <c r="F300" s="14">
        <v>0</v>
      </c>
      <c r="G300" s="14">
        <v>0</v>
      </c>
      <c r="H300" s="16">
        <v>0</v>
      </c>
      <c r="I300" s="17">
        <v>0</v>
      </c>
      <c r="J300" s="14">
        <v>0</v>
      </c>
      <c r="K300" s="14">
        <v>0</v>
      </c>
      <c r="L300" s="14">
        <v>0</v>
      </c>
      <c r="M300" s="14">
        <v>0</v>
      </c>
      <c r="N300" s="14">
        <v>0</v>
      </c>
      <c r="O300" s="14">
        <v>0</v>
      </c>
      <c r="P300" s="14">
        <v>0</v>
      </c>
      <c r="Q300" s="14">
        <v>0</v>
      </c>
      <c r="R300" s="14">
        <v>0</v>
      </c>
      <c r="S300" s="14">
        <v>0</v>
      </c>
      <c r="T300" s="18">
        <v>0</v>
      </c>
      <c r="U300" s="14">
        <v>1.175</v>
      </c>
      <c r="W300" s="39">
        <f t="shared" si="34"/>
        <v>0</v>
      </c>
      <c r="AB300" s="37" t="str">
        <f t="shared" si="35"/>
        <v>CTKS</v>
      </c>
      <c r="AC300" s="36">
        <f t="shared" si="36"/>
        <v>0</v>
      </c>
    </row>
    <row r="301" spans="1:29" x14ac:dyDescent="0.25">
      <c r="A301" s="7" t="s">
        <v>90</v>
      </c>
      <c r="B301" s="15" t="s">
        <v>13</v>
      </c>
      <c r="C301" s="7" t="s">
        <v>21</v>
      </c>
      <c r="D301" s="14">
        <v>0</v>
      </c>
      <c r="E301" s="14">
        <v>0</v>
      </c>
      <c r="F301" s="14">
        <v>0</v>
      </c>
      <c r="G301" s="14">
        <v>0</v>
      </c>
      <c r="H301" s="16">
        <v>12</v>
      </c>
      <c r="I301" s="17">
        <v>12</v>
      </c>
      <c r="J301" s="14">
        <v>0</v>
      </c>
      <c r="K301" s="14">
        <v>0</v>
      </c>
      <c r="L301" s="14">
        <v>0</v>
      </c>
      <c r="M301" s="14">
        <v>0</v>
      </c>
      <c r="N301" s="14">
        <v>0</v>
      </c>
      <c r="O301" s="14">
        <v>0</v>
      </c>
      <c r="P301" s="14">
        <v>0</v>
      </c>
      <c r="Q301" s="14">
        <v>0</v>
      </c>
      <c r="R301" s="14">
        <v>0</v>
      </c>
      <c r="S301" s="14">
        <v>0</v>
      </c>
      <c r="T301" s="18">
        <v>0</v>
      </c>
      <c r="U301" s="14">
        <v>1.175</v>
      </c>
      <c r="W301" s="39">
        <f t="shared" si="34"/>
        <v>14.100000000000001</v>
      </c>
      <c r="AB301" s="37" t="str">
        <f t="shared" si="35"/>
        <v>Repair</v>
      </c>
      <c r="AC301" s="36">
        <f t="shared" si="36"/>
        <v>14.100000000000001</v>
      </c>
    </row>
    <row r="302" spans="1:29" x14ac:dyDescent="0.25">
      <c r="A302" s="7" t="s">
        <v>90</v>
      </c>
      <c r="B302" s="15" t="s">
        <v>67</v>
      </c>
      <c r="C302" s="7" t="s">
        <v>21</v>
      </c>
      <c r="D302" s="14">
        <v>0</v>
      </c>
      <c r="E302" s="14">
        <v>0</v>
      </c>
      <c r="F302" s="14">
        <v>0</v>
      </c>
      <c r="G302" s="14">
        <v>0</v>
      </c>
      <c r="H302" s="16">
        <v>500</v>
      </c>
      <c r="I302" s="17">
        <v>157</v>
      </c>
      <c r="J302" s="14">
        <v>125</v>
      </c>
      <c r="K302" s="14">
        <v>53</v>
      </c>
      <c r="L302" s="14">
        <v>39</v>
      </c>
      <c r="M302" s="14">
        <v>42</v>
      </c>
      <c r="N302" s="14">
        <v>31</v>
      </c>
      <c r="O302" s="14">
        <v>19</v>
      </c>
      <c r="P302" s="14">
        <v>28</v>
      </c>
      <c r="Q302" s="14">
        <v>3</v>
      </c>
      <c r="R302" s="14">
        <v>1</v>
      </c>
      <c r="S302" s="14">
        <v>1</v>
      </c>
      <c r="T302" s="18">
        <v>1</v>
      </c>
      <c r="U302" s="14">
        <v>1.175</v>
      </c>
      <c r="W302" s="39">
        <f t="shared" si="34"/>
        <v>587.5</v>
      </c>
      <c r="AB302" s="37" t="str">
        <f t="shared" si="35"/>
        <v>Rental</v>
      </c>
      <c r="AC302" s="36">
        <f t="shared" si="36"/>
        <v>184.47499999999999</v>
      </c>
    </row>
    <row r="303" spans="1:29" x14ac:dyDescent="0.25">
      <c r="A303" s="7" t="s">
        <v>90</v>
      </c>
      <c r="B303" s="15" t="s">
        <v>73</v>
      </c>
      <c r="C303" s="7" t="s">
        <v>21</v>
      </c>
      <c r="D303" s="14">
        <v>0</v>
      </c>
      <c r="E303" s="14">
        <v>0</v>
      </c>
      <c r="F303" s="14">
        <v>0</v>
      </c>
      <c r="G303" s="14">
        <v>0</v>
      </c>
      <c r="H303" s="16">
        <v>0</v>
      </c>
      <c r="I303" s="17">
        <v>0</v>
      </c>
      <c r="J303" s="14">
        <v>0</v>
      </c>
      <c r="K303" s="14">
        <v>0</v>
      </c>
      <c r="L303" s="14">
        <v>0</v>
      </c>
      <c r="M303" s="14">
        <v>0</v>
      </c>
      <c r="N303" s="14">
        <v>0</v>
      </c>
      <c r="O303" s="14">
        <v>0</v>
      </c>
      <c r="P303" s="14">
        <v>0</v>
      </c>
      <c r="Q303" s="14">
        <v>0</v>
      </c>
      <c r="R303" s="14">
        <v>0</v>
      </c>
      <c r="S303" s="14">
        <v>0</v>
      </c>
      <c r="T303" s="18">
        <v>0</v>
      </c>
      <c r="U303" s="14">
        <v>1.175</v>
      </c>
      <c r="W303" s="39">
        <f t="shared" si="34"/>
        <v>0</v>
      </c>
      <c r="AB303" s="37"/>
    </row>
    <row r="304" spans="1:29" x14ac:dyDescent="0.25">
      <c r="A304" s="7" t="s">
        <v>90</v>
      </c>
      <c r="B304" s="15" t="s">
        <v>19</v>
      </c>
      <c r="C304" s="7" t="s">
        <v>21</v>
      </c>
      <c r="D304" s="14">
        <v>0</v>
      </c>
      <c r="E304" s="14">
        <v>0</v>
      </c>
      <c r="F304" s="14">
        <v>0</v>
      </c>
      <c r="G304" s="14">
        <v>0</v>
      </c>
      <c r="H304" s="16">
        <v>5</v>
      </c>
      <c r="I304" s="17">
        <v>0</v>
      </c>
      <c r="J304" s="14">
        <v>2</v>
      </c>
      <c r="K304" s="14">
        <v>0</v>
      </c>
      <c r="L304" s="14">
        <v>0</v>
      </c>
      <c r="M304" s="14">
        <v>1</v>
      </c>
      <c r="N304" s="14">
        <v>0</v>
      </c>
      <c r="O304" s="14">
        <v>0</v>
      </c>
      <c r="P304" s="14">
        <v>0</v>
      </c>
      <c r="Q304" s="14">
        <v>2</v>
      </c>
      <c r="R304" s="14">
        <v>0</v>
      </c>
      <c r="S304" s="14">
        <v>0</v>
      </c>
      <c r="T304" s="18">
        <v>0</v>
      </c>
      <c r="U304" s="14">
        <v>1.175</v>
      </c>
      <c r="W304" s="39">
        <f t="shared" si="34"/>
        <v>5.875</v>
      </c>
      <c r="AB304" s="37" t="str">
        <f t="shared" si="35"/>
        <v>Maintenance</v>
      </c>
      <c r="AC304" s="36">
        <f t="shared" si="36"/>
        <v>0</v>
      </c>
    </row>
    <row r="305" spans="1:29" ht="13" thickBot="1" x14ac:dyDescent="0.3">
      <c r="A305" s="7" t="s">
        <v>90</v>
      </c>
      <c r="B305" s="19" t="s">
        <v>20</v>
      </c>
      <c r="C305" s="20" t="s">
        <v>21</v>
      </c>
      <c r="D305" s="21">
        <v>0</v>
      </c>
      <c r="E305" s="21">
        <v>0</v>
      </c>
      <c r="F305" s="21">
        <v>0</v>
      </c>
      <c r="G305" s="21">
        <v>0</v>
      </c>
      <c r="H305" s="22">
        <v>3</v>
      </c>
      <c r="I305" s="23">
        <v>3</v>
      </c>
      <c r="J305" s="21">
        <v>0</v>
      </c>
      <c r="K305" s="21">
        <v>0</v>
      </c>
      <c r="L305" s="21">
        <v>0</v>
      </c>
      <c r="M305" s="21">
        <v>0</v>
      </c>
      <c r="N305" s="21">
        <v>0</v>
      </c>
      <c r="O305" s="21">
        <v>0</v>
      </c>
      <c r="P305" s="21">
        <v>0</v>
      </c>
      <c r="Q305" s="21">
        <v>0</v>
      </c>
      <c r="R305" s="21">
        <v>0</v>
      </c>
      <c r="S305" s="21">
        <v>0</v>
      </c>
      <c r="T305" s="24">
        <v>0</v>
      </c>
      <c r="U305" s="14">
        <v>1.175</v>
      </c>
      <c r="W305" s="39">
        <f t="shared" si="34"/>
        <v>3.5250000000000004</v>
      </c>
      <c r="AB305" s="37" t="str">
        <f t="shared" si="35"/>
        <v>Startup</v>
      </c>
      <c r="AC305" s="36">
        <f t="shared" si="36"/>
        <v>3.5250000000000004</v>
      </c>
    </row>
    <row r="306" spans="1:29" ht="13" thickBot="1" x14ac:dyDescent="0.3">
      <c r="A306" s="20" t="s">
        <v>90</v>
      </c>
      <c r="B306" s="25" t="s">
        <v>12</v>
      </c>
      <c r="C306" s="26" t="s">
        <v>21</v>
      </c>
      <c r="D306" s="27">
        <v>0</v>
      </c>
      <c r="E306" s="27">
        <v>0</v>
      </c>
      <c r="F306" s="27">
        <v>0</v>
      </c>
      <c r="G306" s="27">
        <v>0</v>
      </c>
      <c r="H306" s="28">
        <v>519</v>
      </c>
      <c r="I306" s="29">
        <v>172</v>
      </c>
      <c r="J306" s="27">
        <v>127</v>
      </c>
      <c r="K306" s="27">
        <v>53</v>
      </c>
      <c r="L306" s="27">
        <v>39</v>
      </c>
      <c r="M306" s="27">
        <v>43</v>
      </c>
      <c r="N306" s="27">
        <v>31</v>
      </c>
      <c r="O306" s="27">
        <v>19</v>
      </c>
      <c r="P306" s="27">
        <v>28</v>
      </c>
      <c r="Q306" s="27">
        <v>4</v>
      </c>
      <c r="R306" s="27">
        <v>1</v>
      </c>
      <c r="S306" s="27">
        <v>1</v>
      </c>
      <c r="T306" s="29">
        <v>1</v>
      </c>
      <c r="U306" s="14">
        <v>1.175</v>
      </c>
      <c r="W306" s="39">
        <f t="shared" si="34"/>
        <v>609.82500000000005</v>
      </c>
      <c r="X306" s="35">
        <f>W305+W304+W301</f>
        <v>23.5</v>
      </c>
      <c r="Y306" s="35">
        <f>W299</f>
        <v>0</v>
      </c>
      <c r="Z306" s="40">
        <f>V297/X306</f>
        <v>0</v>
      </c>
      <c r="AA306" s="40">
        <f>IF((Y306=0),0,Y298/Y306)</f>
        <v>0</v>
      </c>
      <c r="AB306" s="48"/>
      <c r="AC306" s="48"/>
    </row>
    <row r="307" spans="1:29" ht="13" thickBot="1" x14ac:dyDescent="0.3">
      <c r="A307" s="9" t="s">
        <v>26</v>
      </c>
      <c r="B307" s="30" t="s">
        <v>15</v>
      </c>
      <c r="C307" s="31" t="s">
        <v>46</v>
      </c>
      <c r="D307" s="32" t="s">
        <v>47</v>
      </c>
      <c r="E307" s="53">
        <v>45689</v>
      </c>
      <c r="F307" s="53">
        <v>45717</v>
      </c>
      <c r="G307" s="53">
        <v>45748</v>
      </c>
      <c r="H307" s="28" t="s">
        <v>12</v>
      </c>
      <c r="I307" s="54">
        <v>45778</v>
      </c>
      <c r="J307" s="53">
        <v>45809</v>
      </c>
      <c r="K307" s="53">
        <v>45839</v>
      </c>
      <c r="L307" s="53">
        <v>45870</v>
      </c>
      <c r="M307" s="53">
        <v>45901</v>
      </c>
      <c r="N307" s="53">
        <v>45931</v>
      </c>
      <c r="O307" s="53">
        <v>45962</v>
      </c>
      <c r="P307" s="53">
        <v>45992</v>
      </c>
      <c r="Q307" s="53">
        <v>46023</v>
      </c>
      <c r="R307" s="53">
        <v>46054</v>
      </c>
      <c r="S307" s="53">
        <v>46082</v>
      </c>
      <c r="T307" s="55">
        <v>46113</v>
      </c>
      <c r="U307" s="14">
        <v>1.175</v>
      </c>
      <c r="V307" s="14" t="s">
        <v>183</v>
      </c>
      <c r="W307" s="39">
        <f t="shared" si="34"/>
        <v>647840.95000000007</v>
      </c>
      <c r="X307" s="14" t="s">
        <v>37</v>
      </c>
      <c r="Y307" s="14" t="s">
        <v>38</v>
      </c>
      <c r="AB307" s="48"/>
      <c r="AC307" s="48"/>
    </row>
    <row r="308" spans="1:29" x14ac:dyDescent="0.25">
      <c r="A308" s="7" t="s">
        <v>26</v>
      </c>
      <c r="B308" s="8" t="s">
        <v>17</v>
      </c>
      <c r="C308" s="9" t="s">
        <v>18</v>
      </c>
      <c r="D308" s="10">
        <v>7</v>
      </c>
      <c r="E308" s="10">
        <v>0</v>
      </c>
      <c r="F308" s="10">
        <v>0</v>
      </c>
      <c r="G308" s="10">
        <v>0</v>
      </c>
      <c r="H308" s="11">
        <v>7</v>
      </c>
      <c r="I308" s="12">
        <v>0</v>
      </c>
      <c r="J308" s="10">
        <v>0</v>
      </c>
      <c r="K308" s="10">
        <v>0</v>
      </c>
      <c r="L308" s="10">
        <v>0</v>
      </c>
      <c r="M308" s="10">
        <v>0</v>
      </c>
      <c r="N308" s="10">
        <v>0</v>
      </c>
      <c r="O308" s="10">
        <v>0</v>
      </c>
      <c r="P308" s="10">
        <v>0</v>
      </c>
      <c r="Q308" s="10">
        <v>0</v>
      </c>
      <c r="R308" s="10">
        <v>0</v>
      </c>
      <c r="S308" s="10">
        <v>0</v>
      </c>
      <c r="T308" s="13">
        <v>0</v>
      </c>
      <c r="U308" s="14">
        <v>1.175</v>
      </c>
      <c r="V308" s="42">
        <f>SUM(I308:T308)/H308</f>
        <v>0</v>
      </c>
      <c r="W308" s="39">
        <f t="shared" si="34"/>
        <v>0</v>
      </c>
    </row>
    <row r="309" spans="1:29" x14ac:dyDescent="0.25">
      <c r="A309" s="7" t="s">
        <v>26</v>
      </c>
      <c r="B309" s="15" t="s">
        <v>66</v>
      </c>
      <c r="C309" s="7" t="s">
        <v>18</v>
      </c>
      <c r="D309" s="14">
        <v>0</v>
      </c>
      <c r="E309" s="14">
        <v>0</v>
      </c>
      <c r="F309" s="14">
        <v>0</v>
      </c>
      <c r="G309" s="14">
        <v>0</v>
      </c>
      <c r="H309" s="16">
        <v>66</v>
      </c>
      <c r="I309" s="17">
        <v>0</v>
      </c>
      <c r="J309" s="14">
        <v>0</v>
      </c>
      <c r="K309" s="14">
        <v>63</v>
      </c>
      <c r="L309" s="14">
        <v>0</v>
      </c>
      <c r="M309" s="14">
        <v>0</v>
      </c>
      <c r="N309" s="14">
        <v>3</v>
      </c>
      <c r="O309" s="14">
        <v>0</v>
      </c>
      <c r="P309" s="14">
        <v>0</v>
      </c>
      <c r="Q309" s="14">
        <v>0</v>
      </c>
      <c r="R309" s="14">
        <v>0</v>
      </c>
      <c r="S309" s="14">
        <v>0</v>
      </c>
      <c r="T309" s="18">
        <v>0</v>
      </c>
      <c r="U309" s="14">
        <v>1.175</v>
      </c>
      <c r="V309" s="44"/>
      <c r="W309" s="39">
        <f t="shared" si="34"/>
        <v>77.55</v>
      </c>
    </row>
    <row r="310" spans="1:29" x14ac:dyDescent="0.25">
      <c r="A310" s="7" t="s">
        <v>26</v>
      </c>
      <c r="B310" s="15" t="s">
        <v>13</v>
      </c>
      <c r="C310" s="7" t="s">
        <v>18</v>
      </c>
      <c r="D310" s="14">
        <v>0</v>
      </c>
      <c r="E310" s="14">
        <v>0</v>
      </c>
      <c r="F310" s="14">
        <v>0</v>
      </c>
      <c r="G310" s="14">
        <v>330</v>
      </c>
      <c r="H310" s="16">
        <v>4263</v>
      </c>
      <c r="I310" s="17">
        <v>2739</v>
      </c>
      <c r="J310" s="14">
        <v>665</v>
      </c>
      <c r="K310" s="14">
        <v>153</v>
      </c>
      <c r="L310" s="14">
        <v>87</v>
      </c>
      <c r="M310" s="14">
        <v>207</v>
      </c>
      <c r="N310" s="14">
        <v>60</v>
      </c>
      <c r="O310" s="14">
        <v>10</v>
      </c>
      <c r="P310" s="14">
        <v>10</v>
      </c>
      <c r="Q310" s="14">
        <v>0</v>
      </c>
      <c r="R310" s="14">
        <v>2</v>
      </c>
      <c r="S310" s="14">
        <v>0</v>
      </c>
      <c r="T310" s="18">
        <v>0</v>
      </c>
      <c r="U310" s="14">
        <v>1.175</v>
      </c>
      <c r="V310" s="41"/>
      <c r="W310" s="39">
        <f t="shared" si="34"/>
        <v>4621.2750000000005</v>
      </c>
    </row>
    <row r="311" spans="1:29" x14ac:dyDescent="0.25">
      <c r="A311" s="7" t="s">
        <v>26</v>
      </c>
      <c r="B311" s="15" t="s">
        <v>67</v>
      </c>
      <c r="C311" s="7" t="s">
        <v>18</v>
      </c>
      <c r="D311" s="14">
        <v>0</v>
      </c>
      <c r="E311" s="14">
        <v>0</v>
      </c>
      <c r="F311" s="14">
        <v>0</v>
      </c>
      <c r="G311" s="14">
        <v>506</v>
      </c>
      <c r="H311" s="16">
        <v>3595</v>
      </c>
      <c r="I311" s="17">
        <v>1422</v>
      </c>
      <c r="J311" s="14">
        <v>774</v>
      </c>
      <c r="K311" s="14">
        <v>133</v>
      </c>
      <c r="L311" s="14">
        <v>105</v>
      </c>
      <c r="M311" s="14">
        <v>381</v>
      </c>
      <c r="N311" s="14">
        <v>11</v>
      </c>
      <c r="O311" s="14">
        <v>23</v>
      </c>
      <c r="P311" s="14">
        <v>87</v>
      </c>
      <c r="Q311" s="14">
        <v>98</v>
      </c>
      <c r="R311" s="14">
        <v>10</v>
      </c>
      <c r="S311" s="14">
        <v>45</v>
      </c>
      <c r="T311" s="18">
        <v>0</v>
      </c>
      <c r="U311" s="14">
        <v>1.175</v>
      </c>
      <c r="V311" s="41"/>
      <c r="W311" s="39">
        <f t="shared" si="34"/>
        <v>3629.5750000000003</v>
      </c>
    </row>
    <row r="312" spans="1:29" x14ac:dyDescent="0.25">
      <c r="A312" s="7" t="s">
        <v>26</v>
      </c>
      <c r="B312" s="15" t="s">
        <v>73</v>
      </c>
      <c r="C312" s="7" t="s">
        <v>18</v>
      </c>
      <c r="D312" s="14">
        <v>0</v>
      </c>
      <c r="E312" s="14">
        <v>0</v>
      </c>
      <c r="F312" s="14">
        <v>0</v>
      </c>
      <c r="G312" s="14">
        <v>646</v>
      </c>
      <c r="H312" s="16">
        <v>7578</v>
      </c>
      <c r="I312" s="17">
        <v>3551</v>
      </c>
      <c r="J312" s="14">
        <v>1211</v>
      </c>
      <c r="K312" s="14">
        <v>246</v>
      </c>
      <c r="L312" s="14">
        <v>365</v>
      </c>
      <c r="M312" s="14">
        <v>644</v>
      </c>
      <c r="N312" s="14">
        <v>637</v>
      </c>
      <c r="O312" s="14">
        <v>250</v>
      </c>
      <c r="P312" s="14">
        <v>16</v>
      </c>
      <c r="Q312" s="14">
        <v>0</v>
      </c>
      <c r="R312" s="14">
        <v>6</v>
      </c>
      <c r="S312" s="14">
        <v>0</v>
      </c>
      <c r="T312" s="18">
        <v>6</v>
      </c>
      <c r="U312" s="14">
        <v>1.175</v>
      </c>
      <c r="V312" s="41"/>
      <c r="W312" s="39">
        <f t="shared" si="34"/>
        <v>8145.1</v>
      </c>
    </row>
    <row r="313" spans="1:29" x14ac:dyDescent="0.25">
      <c r="A313" s="7" t="s">
        <v>26</v>
      </c>
      <c r="B313" s="15" t="s">
        <v>19</v>
      </c>
      <c r="C313" s="7" t="s">
        <v>18</v>
      </c>
      <c r="D313" s="14">
        <v>0</v>
      </c>
      <c r="E313" s="14">
        <v>0</v>
      </c>
      <c r="F313" s="14">
        <v>0</v>
      </c>
      <c r="G313" s="14">
        <v>364</v>
      </c>
      <c r="H313" s="16">
        <v>1866</v>
      </c>
      <c r="I313" s="17">
        <v>1098</v>
      </c>
      <c r="J313" s="14">
        <v>269</v>
      </c>
      <c r="K313" s="14">
        <v>81</v>
      </c>
      <c r="L313" s="14">
        <v>0</v>
      </c>
      <c r="M313" s="14">
        <v>7</v>
      </c>
      <c r="N313" s="14">
        <v>2</v>
      </c>
      <c r="O313" s="14">
        <v>9</v>
      </c>
      <c r="P313" s="14">
        <v>6</v>
      </c>
      <c r="Q313" s="14">
        <v>20</v>
      </c>
      <c r="R313" s="14">
        <v>0</v>
      </c>
      <c r="S313" s="14">
        <v>10</v>
      </c>
      <c r="T313" s="18">
        <v>0</v>
      </c>
      <c r="U313" s="14">
        <v>1.175</v>
      </c>
      <c r="V313" s="41"/>
      <c r="W313" s="39">
        <f t="shared" si="34"/>
        <v>1764.8500000000001</v>
      </c>
    </row>
    <row r="314" spans="1:29" ht="13" thickBot="1" x14ac:dyDescent="0.3">
      <c r="A314" s="7" t="s">
        <v>26</v>
      </c>
      <c r="B314" s="19" t="s">
        <v>20</v>
      </c>
      <c r="C314" s="20" t="s">
        <v>18</v>
      </c>
      <c r="D314" s="21">
        <v>0</v>
      </c>
      <c r="E314" s="21">
        <v>0</v>
      </c>
      <c r="F314" s="21">
        <v>0</v>
      </c>
      <c r="G314" s="21">
        <v>0</v>
      </c>
      <c r="H314" s="22">
        <v>0</v>
      </c>
      <c r="I314" s="23">
        <v>0</v>
      </c>
      <c r="J314" s="21">
        <v>0</v>
      </c>
      <c r="K314" s="21">
        <v>0</v>
      </c>
      <c r="L314" s="21">
        <v>0</v>
      </c>
      <c r="M314" s="21">
        <v>0</v>
      </c>
      <c r="N314" s="21">
        <v>0</v>
      </c>
      <c r="O314" s="21">
        <v>0</v>
      </c>
      <c r="P314" s="21">
        <v>0</v>
      </c>
      <c r="Q314" s="21">
        <v>0</v>
      </c>
      <c r="R314" s="21">
        <v>0</v>
      </c>
      <c r="S314" s="21">
        <v>0</v>
      </c>
      <c r="T314" s="24">
        <v>0</v>
      </c>
      <c r="U314" s="14">
        <v>1.175</v>
      </c>
      <c r="V314" s="44"/>
      <c r="W314" s="39">
        <f t="shared" si="34"/>
        <v>0</v>
      </c>
    </row>
    <row r="315" spans="1:29" ht="13" thickBot="1" x14ac:dyDescent="0.3">
      <c r="A315" s="7" t="s">
        <v>26</v>
      </c>
      <c r="B315" s="25" t="s">
        <v>12</v>
      </c>
      <c r="C315" s="26" t="s">
        <v>18</v>
      </c>
      <c r="D315" s="27">
        <v>7</v>
      </c>
      <c r="E315" s="27">
        <v>0</v>
      </c>
      <c r="F315" s="27">
        <v>0</v>
      </c>
      <c r="G315" s="27">
        <v>1846</v>
      </c>
      <c r="H315" s="28">
        <v>17374</v>
      </c>
      <c r="I315" s="29">
        <v>8810</v>
      </c>
      <c r="J315" s="27">
        <v>2919</v>
      </c>
      <c r="K315" s="27">
        <v>676</v>
      </c>
      <c r="L315" s="27">
        <v>557</v>
      </c>
      <c r="M315" s="27">
        <v>1240</v>
      </c>
      <c r="N315" s="27">
        <v>713</v>
      </c>
      <c r="O315" s="27">
        <v>292</v>
      </c>
      <c r="P315" s="27">
        <v>118</v>
      </c>
      <c r="Q315" s="27">
        <v>117</v>
      </c>
      <c r="R315" s="27">
        <v>18</v>
      </c>
      <c r="S315" s="27">
        <v>55</v>
      </c>
      <c r="T315" s="29">
        <v>6</v>
      </c>
      <c r="U315" s="14">
        <v>1.175</v>
      </c>
      <c r="V315" s="43">
        <f>SUM(I310:T313)/SUM(H310:H313)</f>
        <v>0.89330713212345392</v>
      </c>
      <c r="W315" s="39">
        <f t="shared" si="34"/>
        <v>18237.174999999999</v>
      </c>
      <c r="X315" s="35">
        <f>W313+W310</f>
        <v>6386.1250000000009</v>
      </c>
      <c r="Y315" s="35">
        <f>W308</f>
        <v>0</v>
      </c>
    </row>
    <row r="316" spans="1:29" x14ac:dyDescent="0.25">
      <c r="A316" s="7" t="s">
        <v>26</v>
      </c>
      <c r="B316" s="8" t="s">
        <v>17</v>
      </c>
      <c r="C316" s="9" t="s">
        <v>21</v>
      </c>
      <c r="D316" s="10">
        <v>0</v>
      </c>
      <c r="E316" s="10">
        <v>0</v>
      </c>
      <c r="F316" s="10">
        <v>0</v>
      </c>
      <c r="G316" s="10">
        <v>0</v>
      </c>
      <c r="H316" s="11">
        <v>0</v>
      </c>
      <c r="I316" s="12">
        <v>0</v>
      </c>
      <c r="J316" s="10">
        <v>0</v>
      </c>
      <c r="K316" s="10">
        <v>0</v>
      </c>
      <c r="L316" s="10">
        <v>0</v>
      </c>
      <c r="M316" s="10">
        <v>0</v>
      </c>
      <c r="N316" s="10">
        <v>0</v>
      </c>
      <c r="O316" s="10">
        <v>0</v>
      </c>
      <c r="P316" s="10">
        <v>0</v>
      </c>
      <c r="Q316" s="10">
        <v>0</v>
      </c>
      <c r="R316" s="10">
        <v>0</v>
      </c>
      <c r="S316" s="10">
        <v>0</v>
      </c>
      <c r="T316" s="13">
        <v>0</v>
      </c>
      <c r="U316" s="14">
        <v>1.175</v>
      </c>
      <c r="W316" s="39">
        <f t="shared" si="34"/>
        <v>0</v>
      </c>
      <c r="AB316" s="37" t="str">
        <f t="shared" ref="AB316:AB322" si="37">B316</f>
        <v>Parts-OTC</v>
      </c>
      <c r="AC316" s="36">
        <f t="shared" ref="AC316:AC322" si="38">I316*U316</f>
        <v>0</v>
      </c>
    </row>
    <row r="317" spans="1:29" x14ac:dyDescent="0.25">
      <c r="A317" s="7" t="s">
        <v>26</v>
      </c>
      <c r="B317" s="15" t="s">
        <v>66</v>
      </c>
      <c r="C317" s="7" t="s">
        <v>21</v>
      </c>
      <c r="D317" s="14">
        <v>0</v>
      </c>
      <c r="E317" s="14">
        <v>0</v>
      </c>
      <c r="F317" s="14">
        <v>0</v>
      </c>
      <c r="G317" s="14">
        <v>0</v>
      </c>
      <c r="H317" s="16">
        <v>172</v>
      </c>
      <c r="I317" s="17">
        <v>27</v>
      </c>
      <c r="J317" s="14">
        <v>36</v>
      </c>
      <c r="K317" s="14">
        <v>33</v>
      </c>
      <c r="L317" s="14">
        <v>0</v>
      </c>
      <c r="M317" s="14">
        <v>30</v>
      </c>
      <c r="N317" s="14">
        <v>0</v>
      </c>
      <c r="O317" s="14">
        <v>0</v>
      </c>
      <c r="P317" s="14">
        <v>46</v>
      </c>
      <c r="Q317" s="14">
        <v>0</v>
      </c>
      <c r="R317" s="14">
        <v>0</v>
      </c>
      <c r="S317" s="14">
        <v>0</v>
      </c>
      <c r="T317" s="18">
        <v>0</v>
      </c>
      <c r="U317" s="14">
        <v>1.175</v>
      </c>
      <c r="W317" s="39">
        <f t="shared" si="34"/>
        <v>202.1</v>
      </c>
      <c r="AB317" s="37" t="str">
        <f t="shared" si="37"/>
        <v>CTKS</v>
      </c>
      <c r="AC317" s="36">
        <f t="shared" si="38"/>
        <v>31.725000000000001</v>
      </c>
    </row>
    <row r="318" spans="1:29" x14ac:dyDescent="0.25">
      <c r="A318" s="7" t="s">
        <v>26</v>
      </c>
      <c r="B318" s="15" t="s">
        <v>13</v>
      </c>
      <c r="C318" s="7" t="s">
        <v>21</v>
      </c>
      <c r="D318" s="14">
        <v>0</v>
      </c>
      <c r="E318" s="14">
        <v>0</v>
      </c>
      <c r="F318" s="14">
        <v>0</v>
      </c>
      <c r="G318" s="14">
        <v>0</v>
      </c>
      <c r="H318" s="16">
        <v>945</v>
      </c>
      <c r="I318" s="17">
        <v>568</v>
      </c>
      <c r="J318" s="14">
        <v>304</v>
      </c>
      <c r="K318" s="14">
        <v>15</v>
      </c>
      <c r="L318" s="14">
        <v>2</v>
      </c>
      <c r="M318" s="14">
        <v>16</v>
      </c>
      <c r="N318" s="14">
        <v>17</v>
      </c>
      <c r="O318" s="14">
        <v>0</v>
      </c>
      <c r="P318" s="14">
        <v>23</v>
      </c>
      <c r="Q318" s="14">
        <v>0</v>
      </c>
      <c r="R318" s="14">
        <v>0</v>
      </c>
      <c r="S318" s="14">
        <v>0</v>
      </c>
      <c r="T318" s="18">
        <v>0</v>
      </c>
      <c r="U318" s="14">
        <v>1.175</v>
      </c>
      <c r="W318" s="39">
        <f t="shared" si="34"/>
        <v>1110.375</v>
      </c>
      <c r="AB318" s="37" t="str">
        <f t="shared" si="37"/>
        <v>Repair</v>
      </c>
      <c r="AC318" s="36">
        <f t="shared" si="38"/>
        <v>667.4</v>
      </c>
    </row>
    <row r="319" spans="1:29" x14ac:dyDescent="0.25">
      <c r="A319" s="7" t="s">
        <v>26</v>
      </c>
      <c r="B319" s="15" t="s">
        <v>67</v>
      </c>
      <c r="C319" s="7" t="s">
        <v>21</v>
      </c>
      <c r="D319" s="14">
        <v>0</v>
      </c>
      <c r="E319" s="14">
        <v>0</v>
      </c>
      <c r="F319" s="14">
        <v>0</v>
      </c>
      <c r="G319" s="14">
        <v>0</v>
      </c>
      <c r="H319" s="16">
        <v>2037</v>
      </c>
      <c r="I319" s="17">
        <v>326</v>
      </c>
      <c r="J319" s="14">
        <v>405</v>
      </c>
      <c r="K319" s="14">
        <v>319</v>
      </c>
      <c r="L319" s="14">
        <v>332</v>
      </c>
      <c r="M319" s="14">
        <v>280</v>
      </c>
      <c r="N319" s="14">
        <v>92</v>
      </c>
      <c r="O319" s="14">
        <v>73</v>
      </c>
      <c r="P319" s="14">
        <v>64</v>
      </c>
      <c r="Q319" s="14">
        <v>37</v>
      </c>
      <c r="R319" s="14">
        <v>36</v>
      </c>
      <c r="S319" s="14">
        <v>34</v>
      </c>
      <c r="T319" s="18">
        <v>39</v>
      </c>
      <c r="U319" s="14">
        <v>1.175</v>
      </c>
      <c r="W319" s="39">
        <f t="shared" si="34"/>
        <v>2393.4749999999999</v>
      </c>
      <c r="AB319" s="37" t="str">
        <f t="shared" si="37"/>
        <v>Rental</v>
      </c>
      <c r="AC319" s="36">
        <f t="shared" si="38"/>
        <v>383.05</v>
      </c>
    </row>
    <row r="320" spans="1:29" x14ac:dyDescent="0.25">
      <c r="A320" s="7" t="s">
        <v>26</v>
      </c>
      <c r="B320" s="15" t="s">
        <v>73</v>
      </c>
      <c r="C320" s="7" t="s">
        <v>21</v>
      </c>
      <c r="D320" s="14">
        <v>0</v>
      </c>
      <c r="E320" s="14">
        <v>0</v>
      </c>
      <c r="F320" s="14">
        <v>0</v>
      </c>
      <c r="G320" s="14">
        <v>0</v>
      </c>
      <c r="H320" s="16">
        <v>484</v>
      </c>
      <c r="I320" s="17">
        <v>244</v>
      </c>
      <c r="J320" s="14">
        <v>91</v>
      </c>
      <c r="K320" s="14">
        <v>6</v>
      </c>
      <c r="L320" s="14">
        <v>2</v>
      </c>
      <c r="M320" s="14">
        <v>2</v>
      </c>
      <c r="N320" s="14">
        <v>6</v>
      </c>
      <c r="O320" s="14">
        <v>24</v>
      </c>
      <c r="P320" s="14">
        <v>109</v>
      </c>
      <c r="Q320" s="14">
        <v>0</v>
      </c>
      <c r="R320" s="14">
        <v>0</v>
      </c>
      <c r="S320" s="14">
        <v>0</v>
      </c>
      <c r="T320" s="18">
        <v>0</v>
      </c>
      <c r="U320" s="14">
        <v>1.175</v>
      </c>
      <c r="W320" s="39">
        <f t="shared" si="34"/>
        <v>568.70000000000005</v>
      </c>
      <c r="AB320" s="37"/>
    </row>
    <row r="321" spans="1:29" x14ac:dyDescent="0.25">
      <c r="A321" s="7" t="s">
        <v>26</v>
      </c>
      <c r="B321" s="15" t="s">
        <v>19</v>
      </c>
      <c r="C321" s="7" t="s">
        <v>21</v>
      </c>
      <c r="D321" s="14">
        <v>0</v>
      </c>
      <c r="E321" s="14">
        <v>0</v>
      </c>
      <c r="F321" s="14">
        <v>0</v>
      </c>
      <c r="G321" s="14">
        <v>0</v>
      </c>
      <c r="H321" s="16">
        <v>3128</v>
      </c>
      <c r="I321" s="17">
        <v>444</v>
      </c>
      <c r="J321" s="14">
        <v>495</v>
      </c>
      <c r="K321" s="14">
        <v>268</v>
      </c>
      <c r="L321" s="14">
        <v>165</v>
      </c>
      <c r="M321" s="14">
        <v>384</v>
      </c>
      <c r="N321" s="14">
        <v>558</v>
      </c>
      <c r="O321" s="14">
        <v>346</v>
      </c>
      <c r="P321" s="14">
        <v>378</v>
      </c>
      <c r="Q321" s="14">
        <v>43</v>
      </c>
      <c r="R321" s="14">
        <v>12</v>
      </c>
      <c r="S321" s="14">
        <v>18</v>
      </c>
      <c r="T321" s="18">
        <v>17</v>
      </c>
      <c r="U321" s="14">
        <v>1.175</v>
      </c>
      <c r="W321" s="39">
        <f t="shared" si="34"/>
        <v>3675.4</v>
      </c>
      <c r="AB321" s="37" t="str">
        <f t="shared" si="37"/>
        <v>Maintenance</v>
      </c>
      <c r="AC321" s="36">
        <f t="shared" si="38"/>
        <v>521.70000000000005</v>
      </c>
    </row>
    <row r="322" spans="1:29" ht="13" thickBot="1" x14ac:dyDescent="0.3">
      <c r="A322" s="7" t="s">
        <v>26</v>
      </c>
      <c r="B322" s="19" t="s">
        <v>20</v>
      </c>
      <c r="C322" s="20" t="s">
        <v>21</v>
      </c>
      <c r="D322" s="21">
        <v>0</v>
      </c>
      <c r="E322" s="21">
        <v>0</v>
      </c>
      <c r="F322" s="21">
        <v>0</v>
      </c>
      <c r="G322" s="21">
        <v>0</v>
      </c>
      <c r="H322" s="22">
        <v>105</v>
      </c>
      <c r="I322" s="23">
        <v>91</v>
      </c>
      <c r="J322" s="21">
        <v>12</v>
      </c>
      <c r="K322" s="21">
        <v>2</v>
      </c>
      <c r="L322" s="21">
        <v>0</v>
      </c>
      <c r="M322" s="21">
        <v>0</v>
      </c>
      <c r="N322" s="21">
        <v>0</v>
      </c>
      <c r="O322" s="21">
        <v>0</v>
      </c>
      <c r="P322" s="21">
        <v>0</v>
      </c>
      <c r="Q322" s="21">
        <v>0</v>
      </c>
      <c r="R322" s="21">
        <v>0</v>
      </c>
      <c r="S322" s="21">
        <v>0</v>
      </c>
      <c r="T322" s="24">
        <v>0</v>
      </c>
      <c r="U322" s="14">
        <v>1.175</v>
      </c>
      <c r="W322" s="39">
        <f t="shared" si="34"/>
        <v>123.375</v>
      </c>
      <c r="AB322" s="37" t="str">
        <f t="shared" si="37"/>
        <v>Startup</v>
      </c>
      <c r="AC322" s="36">
        <f t="shared" si="38"/>
        <v>106.925</v>
      </c>
    </row>
    <row r="323" spans="1:29" ht="13" thickBot="1" x14ac:dyDescent="0.3">
      <c r="A323" s="20" t="s">
        <v>26</v>
      </c>
      <c r="B323" s="25" t="s">
        <v>12</v>
      </c>
      <c r="C323" s="26" t="s">
        <v>21</v>
      </c>
      <c r="D323" s="27">
        <v>0</v>
      </c>
      <c r="E323" s="27">
        <v>0</v>
      </c>
      <c r="F323" s="27">
        <v>0</v>
      </c>
      <c r="G323" s="27">
        <v>0</v>
      </c>
      <c r="H323" s="28">
        <v>6870</v>
      </c>
      <c r="I323" s="29">
        <v>1700</v>
      </c>
      <c r="J323" s="27">
        <v>1343</v>
      </c>
      <c r="K323" s="27">
        <v>643</v>
      </c>
      <c r="L323" s="27">
        <v>501</v>
      </c>
      <c r="M323" s="27">
        <v>711</v>
      </c>
      <c r="N323" s="27">
        <v>673</v>
      </c>
      <c r="O323" s="27">
        <v>444</v>
      </c>
      <c r="P323" s="27">
        <v>620</v>
      </c>
      <c r="Q323" s="27">
        <v>79</v>
      </c>
      <c r="R323" s="27">
        <v>48</v>
      </c>
      <c r="S323" s="27">
        <v>52</v>
      </c>
      <c r="T323" s="29">
        <v>56</v>
      </c>
      <c r="U323" s="14">
        <v>1.175</v>
      </c>
      <c r="W323" s="39">
        <f t="shared" si="34"/>
        <v>8072.25</v>
      </c>
      <c r="X323" s="35">
        <f>W322+W321+W318</f>
        <v>4909.1499999999996</v>
      </c>
      <c r="Y323" s="35">
        <f>W316</f>
        <v>0</v>
      </c>
      <c r="Z323" s="40">
        <f>V314/X323</f>
        <v>0</v>
      </c>
      <c r="AA323" s="40">
        <f>IF((Y323=0),0,Y315/Y323)</f>
        <v>0</v>
      </c>
      <c r="AB323" s="48"/>
      <c r="AC323" s="48"/>
    </row>
    <row r="324" spans="1:29" ht="13" thickBot="1" x14ac:dyDescent="0.3">
      <c r="A324" s="9" t="s">
        <v>27</v>
      </c>
      <c r="B324" s="30" t="s">
        <v>15</v>
      </c>
      <c r="C324" s="31" t="s">
        <v>46</v>
      </c>
      <c r="D324" s="32" t="s">
        <v>47</v>
      </c>
      <c r="E324" s="53">
        <v>45689</v>
      </c>
      <c r="F324" s="53">
        <v>45717</v>
      </c>
      <c r="G324" s="53">
        <v>45748</v>
      </c>
      <c r="H324" s="28" t="s">
        <v>12</v>
      </c>
      <c r="I324" s="54">
        <v>45778</v>
      </c>
      <c r="J324" s="53">
        <v>45809</v>
      </c>
      <c r="K324" s="53">
        <v>45839</v>
      </c>
      <c r="L324" s="53">
        <v>45870</v>
      </c>
      <c r="M324" s="53">
        <v>45901</v>
      </c>
      <c r="N324" s="53">
        <v>45931</v>
      </c>
      <c r="O324" s="53">
        <v>45962</v>
      </c>
      <c r="P324" s="53">
        <v>45992</v>
      </c>
      <c r="Q324" s="53">
        <v>46023</v>
      </c>
      <c r="R324" s="53">
        <v>46054</v>
      </c>
      <c r="S324" s="53">
        <v>46082</v>
      </c>
      <c r="T324" s="55">
        <v>46113</v>
      </c>
      <c r="U324" s="14">
        <v>1.175</v>
      </c>
      <c r="V324" s="14" t="s">
        <v>183</v>
      </c>
      <c r="W324" s="39">
        <f t="shared" si="34"/>
        <v>647840.95000000007</v>
      </c>
      <c r="X324" s="14" t="s">
        <v>37</v>
      </c>
      <c r="Y324" s="14" t="s">
        <v>38</v>
      </c>
      <c r="AB324" s="48"/>
      <c r="AC324" s="48"/>
    </row>
    <row r="325" spans="1:29" x14ac:dyDescent="0.25">
      <c r="A325" s="7" t="s">
        <v>27</v>
      </c>
      <c r="B325" s="8" t="s">
        <v>17</v>
      </c>
      <c r="C325" s="9" t="s">
        <v>18</v>
      </c>
      <c r="D325" s="10">
        <v>1</v>
      </c>
      <c r="E325" s="10">
        <v>0</v>
      </c>
      <c r="F325" s="10">
        <v>0</v>
      </c>
      <c r="G325" s="10">
        <v>0</v>
      </c>
      <c r="H325" s="11">
        <v>1</v>
      </c>
      <c r="I325" s="12">
        <v>0</v>
      </c>
      <c r="J325" s="10">
        <v>0</v>
      </c>
      <c r="K325" s="10">
        <v>0</v>
      </c>
      <c r="L325" s="10">
        <v>0</v>
      </c>
      <c r="M325" s="10">
        <v>0</v>
      </c>
      <c r="N325" s="10">
        <v>0</v>
      </c>
      <c r="O325" s="10">
        <v>0</v>
      </c>
      <c r="P325" s="10">
        <v>0</v>
      </c>
      <c r="Q325" s="10">
        <v>0</v>
      </c>
      <c r="R325" s="10">
        <v>0</v>
      </c>
      <c r="S325" s="10">
        <v>0</v>
      </c>
      <c r="T325" s="13">
        <v>0</v>
      </c>
      <c r="U325" s="14">
        <v>1.175</v>
      </c>
      <c r="V325" s="42">
        <f>SUM(I325:T325)/H325</f>
        <v>0</v>
      </c>
      <c r="W325" s="39">
        <f t="shared" si="34"/>
        <v>0</v>
      </c>
    </row>
    <row r="326" spans="1:29" x14ac:dyDescent="0.25">
      <c r="A326" s="7" t="s">
        <v>27</v>
      </c>
      <c r="B326" s="15" t="s">
        <v>66</v>
      </c>
      <c r="C326" s="7" t="s">
        <v>18</v>
      </c>
      <c r="D326" s="14">
        <v>0</v>
      </c>
      <c r="E326" s="14">
        <v>0</v>
      </c>
      <c r="F326" s="14">
        <v>0</v>
      </c>
      <c r="G326" s="14">
        <v>0</v>
      </c>
      <c r="H326" s="16">
        <v>14</v>
      </c>
      <c r="I326" s="17">
        <v>4</v>
      </c>
      <c r="J326" s="14">
        <v>0</v>
      </c>
      <c r="K326" s="14">
        <v>10</v>
      </c>
      <c r="L326" s="14">
        <v>0</v>
      </c>
      <c r="M326" s="14">
        <v>0</v>
      </c>
      <c r="N326" s="14">
        <v>0</v>
      </c>
      <c r="O326" s="14">
        <v>0</v>
      </c>
      <c r="P326" s="14">
        <v>0</v>
      </c>
      <c r="Q326" s="14">
        <v>0</v>
      </c>
      <c r="R326" s="14">
        <v>0</v>
      </c>
      <c r="S326" s="14">
        <v>0</v>
      </c>
      <c r="T326" s="18">
        <v>0</v>
      </c>
      <c r="U326" s="14">
        <v>1.175</v>
      </c>
      <c r="V326" s="44"/>
      <c r="W326" s="39">
        <f t="shared" si="34"/>
        <v>16.45</v>
      </c>
    </row>
    <row r="327" spans="1:29" x14ac:dyDescent="0.25">
      <c r="A327" s="7" t="s">
        <v>27</v>
      </c>
      <c r="B327" s="15" t="s">
        <v>13</v>
      </c>
      <c r="C327" s="7" t="s">
        <v>18</v>
      </c>
      <c r="D327" s="14">
        <v>0</v>
      </c>
      <c r="E327" s="14">
        <v>0</v>
      </c>
      <c r="F327" s="14">
        <v>0</v>
      </c>
      <c r="G327" s="14">
        <v>1</v>
      </c>
      <c r="H327" s="16">
        <v>5610</v>
      </c>
      <c r="I327" s="17">
        <v>2448</v>
      </c>
      <c r="J327" s="14">
        <v>1575</v>
      </c>
      <c r="K327" s="14">
        <v>580</v>
      </c>
      <c r="L327" s="14">
        <v>198</v>
      </c>
      <c r="M327" s="14">
        <v>455</v>
      </c>
      <c r="N327" s="14">
        <v>129</v>
      </c>
      <c r="O327" s="14">
        <v>15</v>
      </c>
      <c r="P327" s="14">
        <v>195</v>
      </c>
      <c r="Q327" s="14">
        <v>0</v>
      </c>
      <c r="R327" s="14">
        <v>0</v>
      </c>
      <c r="S327" s="14">
        <v>0</v>
      </c>
      <c r="T327" s="18">
        <v>14</v>
      </c>
      <c r="U327" s="14">
        <v>1.175</v>
      </c>
      <c r="V327" s="41"/>
      <c r="W327" s="39">
        <f t="shared" si="34"/>
        <v>6590.5749999999998</v>
      </c>
    </row>
    <row r="328" spans="1:29" x14ac:dyDescent="0.25">
      <c r="A328" s="7" t="s">
        <v>27</v>
      </c>
      <c r="B328" s="15" t="s">
        <v>67</v>
      </c>
      <c r="C328" s="7" t="s">
        <v>18</v>
      </c>
      <c r="D328" s="14">
        <v>0</v>
      </c>
      <c r="E328" s="14">
        <v>0</v>
      </c>
      <c r="F328" s="14">
        <v>0</v>
      </c>
      <c r="G328" s="14">
        <v>0</v>
      </c>
      <c r="H328" s="16">
        <v>2360</v>
      </c>
      <c r="I328" s="17">
        <v>1143</v>
      </c>
      <c r="J328" s="14">
        <v>356</v>
      </c>
      <c r="K328" s="14">
        <v>211</v>
      </c>
      <c r="L328" s="14">
        <v>55</v>
      </c>
      <c r="M328" s="14">
        <v>339</v>
      </c>
      <c r="N328" s="14">
        <v>85</v>
      </c>
      <c r="O328" s="14">
        <v>18</v>
      </c>
      <c r="P328" s="14">
        <v>106</v>
      </c>
      <c r="Q328" s="14">
        <v>47</v>
      </c>
      <c r="R328" s="14">
        <v>0</v>
      </c>
      <c r="S328" s="14">
        <v>0</v>
      </c>
      <c r="T328" s="18">
        <v>0</v>
      </c>
      <c r="U328" s="14">
        <v>1.175</v>
      </c>
      <c r="V328" s="41"/>
      <c r="W328" s="39">
        <f t="shared" si="34"/>
        <v>2773</v>
      </c>
    </row>
    <row r="329" spans="1:29" x14ac:dyDescent="0.25">
      <c r="A329" s="7" t="s">
        <v>27</v>
      </c>
      <c r="B329" s="15" t="s">
        <v>73</v>
      </c>
      <c r="C329" s="7" t="s">
        <v>18</v>
      </c>
      <c r="D329" s="14">
        <v>0</v>
      </c>
      <c r="E329" s="14">
        <v>0</v>
      </c>
      <c r="F329" s="14">
        <v>0</v>
      </c>
      <c r="G329" s="14">
        <v>0</v>
      </c>
      <c r="H329" s="16">
        <v>6248</v>
      </c>
      <c r="I329" s="17">
        <v>2070</v>
      </c>
      <c r="J329" s="14">
        <v>906</v>
      </c>
      <c r="K329" s="14">
        <v>275</v>
      </c>
      <c r="L329" s="14">
        <v>74</v>
      </c>
      <c r="M329" s="14">
        <v>462</v>
      </c>
      <c r="N329" s="14">
        <v>930</v>
      </c>
      <c r="O329" s="14">
        <v>97</v>
      </c>
      <c r="P329" s="14">
        <v>1197</v>
      </c>
      <c r="Q329" s="14">
        <v>237</v>
      </c>
      <c r="R329" s="14">
        <v>0</v>
      </c>
      <c r="S329" s="14">
        <v>0</v>
      </c>
      <c r="T329" s="18">
        <v>0</v>
      </c>
      <c r="U329" s="14">
        <v>1.175</v>
      </c>
      <c r="V329" s="41"/>
      <c r="W329" s="39">
        <f t="shared" si="34"/>
        <v>7341.4000000000005</v>
      </c>
    </row>
    <row r="330" spans="1:29" x14ac:dyDescent="0.25">
      <c r="A330" s="7" t="s">
        <v>27</v>
      </c>
      <c r="B330" s="15" t="s">
        <v>19</v>
      </c>
      <c r="C330" s="7" t="s">
        <v>18</v>
      </c>
      <c r="D330" s="14">
        <v>11</v>
      </c>
      <c r="E330" s="14">
        <v>0</v>
      </c>
      <c r="F330" s="14">
        <v>0</v>
      </c>
      <c r="G330" s="14">
        <v>0</v>
      </c>
      <c r="H330" s="16">
        <v>2126</v>
      </c>
      <c r="I330" s="17">
        <v>1179</v>
      </c>
      <c r="J330" s="14">
        <v>377</v>
      </c>
      <c r="K330" s="14">
        <v>83</v>
      </c>
      <c r="L330" s="14">
        <v>88</v>
      </c>
      <c r="M330" s="14">
        <v>117</v>
      </c>
      <c r="N330" s="14">
        <v>69</v>
      </c>
      <c r="O330" s="14">
        <v>48</v>
      </c>
      <c r="P330" s="14">
        <v>132</v>
      </c>
      <c r="Q330" s="14">
        <v>0</v>
      </c>
      <c r="R330" s="14">
        <v>22</v>
      </c>
      <c r="S330" s="14">
        <v>0</v>
      </c>
      <c r="T330" s="18">
        <v>0</v>
      </c>
      <c r="U330" s="14">
        <v>1.175</v>
      </c>
      <c r="V330" s="41"/>
      <c r="W330" s="39">
        <f t="shared" si="34"/>
        <v>2485.125</v>
      </c>
    </row>
    <row r="331" spans="1:29" ht="13" thickBot="1" x14ac:dyDescent="0.3">
      <c r="A331" s="7" t="s">
        <v>27</v>
      </c>
      <c r="B331" s="19" t="s">
        <v>20</v>
      </c>
      <c r="C331" s="20" t="s">
        <v>18</v>
      </c>
      <c r="D331" s="21">
        <v>0</v>
      </c>
      <c r="E331" s="21">
        <v>0</v>
      </c>
      <c r="F331" s="21">
        <v>0</v>
      </c>
      <c r="G331" s="21">
        <v>0</v>
      </c>
      <c r="H331" s="22">
        <v>0</v>
      </c>
      <c r="I331" s="23">
        <v>0</v>
      </c>
      <c r="J331" s="21">
        <v>0</v>
      </c>
      <c r="K331" s="21">
        <v>0</v>
      </c>
      <c r="L331" s="21">
        <v>0</v>
      </c>
      <c r="M331" s="21">
        <v>0</v>
      </c>
      <c r="N331" s="21">
        <v>0</v>
      </c>
      <c r="O331" s="21">
        <v>0</v>
      </c>
      <c r="P331" s="21">
        <v>0</v>
      </c>
      <c r="Q331" s="21">
        <v>0</v>
      </c>
      <c r="R331" s="21">
        <v>0</v>
      </c>
      <c r="S331" s="21">
        <v>0</v>
      </c>
      <c r="T331" s="24">
        <v>0</v>
      </c>
      <c r="U331" s="14">
        <v>1.175</v>
      </c>
      <c r="V331" s="44"/>
      <c r="W331" s="39">
        <f t="shared" si="34"/>
        <v>0</v>
      </c>
    </row>
    <row r="332" spans="1:29" ht="13" thickBot="1" x14ac:dyDescent="0.3">
      <c r="A332" s="7" t="s">
        <v>27</v>
      </c>
      <c r="B332" s="25" t="s">
        <v>12</v>
      </c>
      <c r="C332" s="26" t="s">
        <v>18</v>
      </c>
      <c r="D332" s="27">
        <v>12</v>
      </c>
      <c r="E332" s="27">
        <v>0</v>
      </c>
      <c r="F332" s="27">
        <v>0</v>
      </c>
      <c r="G332" s="27">
        <v>1</v>
      </c>
      <c r="H332" s="28">
        <v>16358</v>
      </c>
      <c r="I332" s="29">
        <v>6844</v>
      </c>
      <c r="J332" s="27">
        <v>3214</v>
      </c>
      <c r="K332" s="27">
        <v>1159</v>
      </c>
      <c r="L332" s="27">
        <v>416</v>
      </c>
      <c r="M332" s="27">
        <v>1372</v>
      </c>
      <c r="N332" s="27">
        <v>1213</v>
      </c>
      <c r="O332" s="27">
        <v>177</v>
      </c>
      <c r="P332" s="27">
        <v>1630</v>
      </c>
      <c r="Q332" s="27">
        <v>284</v>
      </c>
      <c r="R332" s="27">
        <v>22</v>
      </c>
      <c r="S332" s="27">
        <v>0</v>
      </c>
      <c r="T332" s="29">
        <v>14</v>
      </c>
      <c r="U332" s="14">
        <v>1.175</v>
      </c>
      <c r="V332" s="43">
        <f>SUM(I327:T330)/SUM(H327:H330)</f>
        <v>0.99926578560939794</v>
      </c>
      <c r="W332" s="39">
        <f t="shared" si="34"/>
        <v>19205.375</v>
      </c>
      <c r="X332" s="35">
        <f>W330+W327</f>
        <v>9075.7000000000007</v>
      </c>
      <c r="Y332" s="35">
        <f>W325</f>
        <v>0</v>
      </c>
    </row>
    <row r="333" spans="1:29" x14ac:dyDescent="0.25">
      <c r="A333" s="7" t="s">
        <v>27</v>
      </c>
      <c r="B333" s="8" t="s">
        <v>17</v>
      </c>
      <c r="C333" s="9" t="s">
        <v>21</v>
      </c>
      <c r="D333" s="10">
        <v>0</v>
      </c>
      <c r="E333" s="10">
        <v>0</v>
      </c>
      <c r="F333" s="10">
        <v>0</v>
      </c>
      <c r="G333" s="10">
        <v>0</v>
      </c>
      <c r="H333" s="11">
        <v>0</v>
      </c>
      <c r="I333" s="12">
        <v>0</v>
      </c>
      <c r="J333" s="10">
        <v>0</v>
      </c>
      <c r="K333" s="10">
        <v>0</v>
      </c>
      <c r="L333" s="10">
        <v>0</v>
      </c>
      <c r="M333" s="10">
        <v>0</v>
      </c>
      <c r="N333" s="10">
        <v>0</v>
      </c>
      <c r="O333" s="10">
        <v>0</v>
      </c>
      <c r="P333" s="10">
        <v>0</v>
      </c>
      <c r="Q333" s="10">
        <v>0</v>
      </c>
      <c r="R333" s="10">
        <v>0</v>
      </c>
      <c r="S333" s="10">
        <v>0</v>
      </c>
      <c r="T333" s="13">
        <v>0</v>
      </c>
      <c r="U333" s="14">
        <v>1.175</v>
      </c>
      <c r="W333" s="39">
        <f t="shared" si="34"/>
        <v>0</v>
      </c>
      <c r="AB333" s="37" t="str">
        <f t="shared" ref="AB333:AB339" si="39">B333</f>
        <v>Parts-OTC</v>
      </c>
      <c r="AC333" s="36">
        <f t="shared" ref="AC333:AC339" si="40">I333*U333</f>
        <v>0</v>
      </c>
    </row>
    <row r="334" spans="1:29" x14ac:dyDescent="0.25">
      <c r="A334" s="7" t="s">
        <v>27</v>
      </c>
      <c r="B334" s="15" t="s">
        <v>66</v>
      </c>
      <c r="C334" s="7" t="s">
        <v>21</v>
      </c>
      <c r="D334" s="14">
        <v>0</v>
      </c>
      <c r="E334" s="14">
        <v>0</v>
      </c>
      <c r="F334" s="14">
        <v>0</v>
      </c>
      <c r="G334" s="14">
        <v>0</v>
      </c>
      <c r="H334" s="16">
        <v>216</v>
      </c>
      <c r="I334" s="17">
        <v>2</v>
      </c>
      <c r="J334" s="14">
        <v>17</v>
      </c>
      <c r="K334" s="14">
        <v>41</v>
      </c>
      <c r="L334" s="14">
        <v>13</v>
      </c>
      <c r="M334" s="14">
        <v>19</v>
      </c>
      <c r="N334" s="14">
        <v>0</v>
      </c>
      <c r="O334" s="14">
        <v>30</v>
      </c>
      <c r="P334" s="14">
        <v>94</v>
      </c>
      <c r="Q334" s="14">
        <v>0</v>
      </c>
      <c r="R334" s="14">
        <v>0</v>
      </c>
      <c r="S334" s="14">
        <v>0</v>
      </c>
      <c r="T334" s="18">
        <v>0</v>
      </c>
      <c r="U334" s="14">
        <v>1.175</v>
      </c>
      <c r="W334" s="39">
        <f t="shared" si="34"/>
        <v>253.8</v>
      </c>
      <c r="AB334" s="37" t="str">
        <f t="shared" si="39"/>
        <v>CTKS</v>
      </c>
      <c r="AC334" s="36">
        <f t="shared" si="40"/>
        <v>2.35</v>
      </c>
    </row>
    <row r="335" spans="1:29" x14ac:dyDescent="0.25">
      <c r="A335" s="7" t="s">
        <v>27</v>
      </c>
      <c r="B335" s="15" t="s">
        <v>13</v>
      </c>
      <c r="C335" s="7" t="s">
        <v>21</v>
      </c>
      <c r="D335" s="14">
        <v>0</v>
      </c>
      <c r="E335" s="14">
        <v>0</v>
      </c>
      <c r="F335" s="14">
        <v>0</v>
      </c>
      <c r="G335" s="14">
        <v>0</v>
      </c>
      <c r="H335" s="16">
        <v>721</v>
      </c>
      <c r="I335" s="17">
        <v>419</v>
      </c>
      <c r="J335" s="14">
        <v>175</v>
      </c>
      <c r="K335" s="14">
        <v>42</v>
      </c>
      <c r="L335" s="14">
        <v>9</v>
      </c>
      <c r="M335" s="14">
        <v>10</v>
      </c>
      <c r="N335" s="14">
        <v>14</v>
      </c>
      <c r="O335" s="14">
        <v>0</v>
      </c>
      <c r="P335" s="14">
        <v>46</v>
      </c>
      <c r="Q335" s="14">
        <v>0</v>
      </c>
      <c r="R335" s="14">
        <v>0</v>
      </c>
      <c r="S335" s="14">
        <v>2</v>
      </c>
      <c r="T335" s="18">
        <v>4</v>
      </c>
      <c r="U335" s="14">
        <v>1.175</v>
      </c>
      <c r="W335" s="39">
        <f t="shared" si="34"/>
        <v>847.17500000000007</v>
      </c>
      <c r="AB335" s="37" t="str">
        <f t="shared" si="39"/>
        <v>Repair</v>
      </c>
      <c r="AC335" s="36">
        <f t="shared" si="40"/>
        <v>492.32500000000005</v>
      </c>
    </row>
    <row r="336" spans="1:29" x14ac:dyDescent="0.25">
      <c r="A336" s="7" t="s">
        <v>27</v>
      </c>
      <c r="B336" s="15" t="s">
        <v>67</v>
      </c>
      <c r="C336" s="7" t="s">
        <v>21</v>
      </c>
      <c r="D336" s="14">
        <v>0</v>
      </c>
      <c r="E336" s="14">
        <v>0</v>
      </c>
      <c r="F336" s="14">
        <v>0</v>
      </c>
      <c r="G336" s="14">
        <v>0</v>
      </c>
      <c r="H336" s="16">
        <v>1677</v>
      </c>
      <c r="I336" s="17">
        <v>285</v>
      </c>
      <c r="J336" s="14">
        <v>282</v>
      </c>
      <c r="K336" s="14">
        <v>228</v>
      </c>
      <c r="L336" s="14">
        <v>227</v>
      </c>
      <c r="M336" s="14">
        <v>252</v>
      </c>
      <c r="N336" s="14">
        <v>121</v>
      </c>
      <c r="O336" s="14">
        <v>61</v>
      </c>
      <c r="P336" s="14">
        <v>63</v>
      </c>
      <c r="Q336" s="14">
        <v>49</v>
      </c>
      <c r="R336" s="14">
        <v>33</v>
      </c>
      <c r="S336" s="14">
        <v>43</v>
      </c>
      <c r="T336" s="18">
        <v>33</v>
      </c>
      <c r="U336" s="14">
        <v>1.175</v>
      </c>
      <c r="W336" s="39">
        <f t="shared" si="34"/>
        <v>1970.4750000000001</v>
      </c>
      <c r="AB336" s="37" t="str">
        <f t="shared" si="39"/>
        <v>Rental</v>
      </c>
      <c r="AC336" s="36">
        <f t="shared" si="40"/>
        <v>334.875</v>
      </c>
    </row>
    <row r="337" spans="1:29" x14ac:dyDescent="0.25">
      <c r="A337" s="7" t="s">
        <v>27</v>
      </c>
      <c r="B337" s="15" t="s">
        <v>73</v>
      </c>
      <c r="C337" s="7" t="s">
        <v>21</v>
      </c>
      <c r="D337" s="14">
        <v>0</v>
      </c>
      <c r="E337" s="14">
        <v>0</v>
      </c>
      <c r="F337" s="14">
        <v>0</v>
      </c>
      <c r="G337" s="14">
        <v>0</v>
      </c>
      <c r="H337" s="16">
        <v>765</v>
      </c>
      <c r="I337" s="17">
        <v>223</v>
      </c>
      <c r="J337" s="14">
        <v>282</v>
      </c>
      <c r="K337" s="14">
        <v>83</v>
      </c>
      <c r="L337" s="14">
        <v>0</v>
      </c>
      <c r="M337" s="14">
        <v>23</v>
      </c>
      <c r="N337" s="14">
        <v>0</v>
      </c>
      <c r="O337" s="14">
        <v>8</v>
      </c>
      <c r="P337" s="14">
        <v>146</v>
      </c>
      <c r="Q337" s="14">
        <v>0</v>
      </c>
      <c r="R337" s="14">
        <v>0</v>
      </c>
      <c r="S337" s="14">
        <v>0</v>
      </c>
      <c r="T337" s="18">
        <v>0</v>
      </c>
      <c r="U337" s="14">
        <v>1.175</v>
      </c>
      <c r="W337" s="39">
        <f t="shared" si="34"/>
        <v>898.875</v>
      </c>
      <c r="AB337" s="37"/>
    </row>
    <row r="338" spans="1:29" x14ac:dyDescent="0.25">
      <c r="A338" s="7" t="s">
        <v>27</v>
      </c>
      <c r="B338" s="15" t="s">
        <v>19</v>
      </c>
      <c r="C338" s="7" t="s">
        <v>21</v>
      </c>
      <c r="D338" s="14">
        <v>0</v>
      </c>
      <c r="E338" s="14">
        <v>0</v>
      </c>
      <c r="F338" s="14">
        <v>0</v>
      </c>
      <c r="G338" s="14">
        <v>0</v>
      </c>
      <c r="H338" s="16">
        <v>2908</v>
      </c>
      <c r="I338" s="17">
        <v>696</v>
      </c>
      <c r="J338" s="14">
        <v>371</v>
      </c>
      <c r="K338" s="14">
        <v>185</v>
      </c>
      <c r="L338" s="14">
        <v>131</v>
      </c>
      <c r="M338" s="14">
        <v>360</v>
      </c>
      <c r="N338" s="14">
        <v>406</v>
      </c>
      <c r="O338" s="14">
        <v>277</v>
      </c>
      <c r="P338" s="14">
        <v>362</v>
      </c>
      <c r="Q338" s="14">
        <v>39</v>
      </c>
      <c r="R338" s="14">
        <v>28</v>
      </c>
      <c r="S338" s="14">
        <v>26</v>
      </c>
      <c r="T338" s="18">
        <v>27</v>
      </c>
      <c r="U338" s="14">
        <v>1.175</v>
      </c>
      <c r="W338" s="39">
        <f t="shared" si="34"/>
        <v>3416.9</v>
      </c>
      <c r="AB338" s="37" t="str">
        <f t="shared" si="39"/>
        <v>Maintenance</v>
      </c>
      <c r="AC338" s="36">
        <f t="shared" si="40"/>
        <v>817.80000000000007</v>
      </c>
    </row>
    <row r="339" spans="1:29" ht="13" thickBot="1" x14ac:dyDescent="0.3">
      <c r="A339" s="7" t="s">
        <v>27</v>
      </c>
      <c r="B339" s="19" t="s">
        <v>20</v>
      </c>
      <c r="C339" s="20" t="s">
        <v>21</v>
      </c>
      <c r="D339" s="21">
        <v>0</v>
      </c>
      <c r="E339" s="21">
        <v>0</v>
      </c>
      <c r="F339" s="21">
        <v>0</v>
      </c>
      <c r="G339" s="21">
        <v>0</v>
      </c>
      <c r="H339" s="22">
        <v>85</v>
      </c>
      <c r="I339" s="23">
        <v>30</v>
      </c>
      <c r="J339" s="21">
        <v>44</v>
      </c>
      <c r="K339" s="21">
        <v>9</v>
      </c>
      <c r="L339" s="21">
        <v>0</v>
      </c>
      <c r="M339" s="21">
        <v>0</v>
      </c>
      <c r="N339" s="21">
        <v>0</v>
      </c>
      <c r="O339" s="21">
        <v>0</v>
      </c>
      <c r="P339" s="21">
        <v>2</v>
      </c>
      <c r="Q339" s="21">
        <v>0</v>
      </c>
      <c r="R339" s="21">
        <v>0</v>
      </c>
      <c r="S339" s="21">
        <v>0</v>
      </c>
      <c r="T339" s="24">
        <v>0</v>
      </c>
      <c r="U339" s="14">
        <v>1.175</v>
      </c>
      <c r="W339" s="39">
        <f t="shared" si="34"/>
        <v>99.875</v>
      </c>
      <c r="AB339" s="37" t="str">
        <f t="shared" si="39"/>
        <v>Startup</v>
      </c>
      <c r="AC339" s="36">
        <f t="shared" si="40"/>
        <v>35.25</v>
      </c>
    </row>
    <row r="340" spans="1:29" ht="13" thickBot="1" x14ac:dyDescent="0.3">
      <c r="A340" s="20" t="s">
        <v>27</v>
      </c>
      <c r="B340" s="25" t="s">
        <v>12</v>
      </c>
      <c r="C340" s="26" t="s">
        <v>21</v>
      </c>
      <c r="D340" s="27">
        <v>0</v>
      </c>
      <c r="E340" s="27">
        <v>0</v>
      </c>
      <c r="F340" s="27">
        <v>0</v>
      </c>
      <c r="G340" s="27">
        <v>0</v>
      </c>
      <c r="H340" s="28">
        <v>6371</v>
      </c>
      <c r="I340" s="29">
        <v>1655</v>
      </c>
      <c r="J340" s="27">
        <v>1171</v>
      </c>
      <c r="K340" s="27">
        <v>587</v>
      </c>
      <c r="L340" s="27">
        <v>380</v>
      </c>
      <c r="M340" s="27">
        <v>665</v>
      </c>
      <c r="N340" s="27">
        <v>540</v>
      </c>
      <c r="O340" s="27">
        <v>375</v>
      </c>
      <c r="P340" s="27">
        <v>712</v>
      </c>
      <c r="Q340" s="27">
        <v>89</v>
      </c>
      <c r="R340" s="27">
        <v>61</v>
      </c>
      <c r="S340" s="27">
        <v>71</v>
      </c>
      <c r="T340" s="29">
        <v>65</v>
      </c>
      <c r="U340" s="14">
        <v>1.175</v>
      </c>
      <c r="W340" s="39">
        <f t="shared" si="34"/>
        <v>7485.9250000000002</v>
      </c>
      <c r="X340" s="35">
        <f>W339+W338+W335</f>
        <v>4363.95</v>
      </c>
      <c r="Y340" s="35">
        <f>W333</f>
        <v>0</v>
      </c>
      <c r="Z340" s="40">
        <f>V331/X340</f>
        <v>0</v>
      </c>
      <c r="AA340" s="40">
        <f>IF((Y340=0),0,Y332/Y340)</f>
        <v>0</v>
      </c>
      <c r="AB340" s="48"/>
      <c r="AC340" s="48"/>
    </row>
    <row r="341" spans="1:29" ht="13" thickBot="1" x14ac:dyDescent="0.3">
      <c r="A341" s="9" t="s">
        <v>28</v>
      </c>
      <c r="B341" s="30" t="s">
        <v>15</v>
      </c>
      <c r="C341" s="203" t="s">
        <v>46</v>
      </c>
      <c r="D341" s="204" t="s">
        <v>47</v>
      </c>
      <c r="E341" s="205">
        <v>45689</v>
      </c>
      <c r="F341" s="205">
        <v>45717</v>
      </c>
      <c r="G341" s="205">
        <v>45748</v>
      </c>
      <c r="H341" s="206" t="s">
        <v>12</v>
      </c>
      <c r="I341" s="207">
        <v>45778</v>
      </c>
      <c r="J341" s="205">
        <v>45809</v>
      </c>
      <c r="K341" s="205">
        <v>45839</v>
      </c>
      <c r="L341" s="205">
        <v>45870</v>
      </c>
      <c r="M341" s="205">
        <v>45901</v>
      </c>
      <c r="N341" s="205">
        <v>45931</v>
      </c>
      <c r="O341" s="205">
        <v>45962</v>
      </c>
      <c r="P341" s="205">
        <v>45992</v>
      </c>
      <c r="Q341" s="205">
        <v>46023</v>
      </c>
      <c r="R341" s="205">
        <v>46054</v>
      </c>
      <c r="S341" s="205">
        <v>46082</v>
      </c>
      <c r="T341" s="207">
        <v>46113</v>
      </c>
      <c r="U341" s="14">
        <v>1.175</v>
      </c>
      <c r="V341" s="14" t="s">
        <v>183</v>
      </c>
      <c r="W341" s="39">
        <f t="shared" si="34"/>
        <v>647840.95000000007</v>
      </c>
      <c r="X341" s="14" t="s">
        <v>37</v>
      </c>
      <c r="Y341" s="14" t="s">
        <v>38</v>
      </c>
      <c r="AB341" s="48"/>
      <c r="AC341" s="48"/>
    </row>
    <row r="342" spans="1:29" x14ac:dyDescent="0.25">
      <c r="A342" s="7" t="s">
        <v>28</v>
      </c>
      <c r="B342" s="8" t="s">
        <v>17</v>
      </c>
      <c r="C342" s="9" t="s">
        <v>18</v>
      </c>
      <c r="D342" s="10">
        <v>0</v>
      </c>
      <c r="E342" s="10">
        <v>0</v>
      </c>
      <c r="F342" s="10">
        <v>0</v>
      </c>
      <c r="G342" s="10">
        <v>0</v>
      </c>
      <c r="H342" s="11">
        <v>0</v>
      </c>
      <c r="I342" s="12">
        <v>0</v>
      </c>
      <c r="J342" s="10">
        <v>0</v>
      </c>
      <c r="K342" s="10">
        <v>0</v>
      </c>
      <c r="L342" s="10">
        <v>0</v>
      </c>
      <c r="M342" s="10">
        <v>0</v>
      </c>
      <c r="N342" s="10">
        <v>0</v>
      </c>
      <c r="O342" s="10">
        <v>0</v>
      </c>
      <c r="P342" s="10">
        <v>0</v>
      </c>
      <c r="Q342" s="10">
        <v>0</v>
      </c>
      <c r="R342" s="10">
        <v>0</v>
      </c>
      <c r="S342" s="10">
        <v>0</v>
      </c>
      <c r="T342" s="13">
        <v>0</v>
      </c>
      <c r="U342" s="14">
        <v>1.175</v>
      </c>
      <c r="V342" s="42" t="e">
        <f>SUM(I342:T342)/H342</f>
        <v>#DIV/0!</v>
      </c>
      <c r="W342" s="39">
        <f t="shared" si="34"/>
        <v>0</v>
      </c>
    </row>
    <row r="343" spans="1:29" x14ac:dyDescent="0.25">
      <c r="A343" s="7" t="s">
        <v>28</v>
      </c>
      <c r="B343" s="15" t="s">
        <v>66</v>
      </c>
      <c r="C343" s="7" t="s">
        <v>18</v>
      </c>
      <c r="D343" s="14">
        <v>0</v>
      </c>
      <c r="E343" s="14">
        <v>0</v>
      </c>
      <c r="F343" s="14">
        <v>0</v>
      </c>
      <c r="G343" s="14">
        <v>0</v>
      </c>
      <c r="H343" s="16">
        <v>26</v>
      </c>
      <c r="I343" s="17">
        <v>26</v>
      </c>
      <c r="J343" s="14">
        <v>0</v>
      </c>
      <c r="K343" s="14">
        <v>0</v>
      </c>
      <c r="L343" s="14">
        <v>0</v>
      </c>
      <c r="M343" s="14">
        <v>0</v>
      </c>
      <c r="N343" s="14">
        <v>0</v>
      </c>
      <c r="O343" s="14">
        <v>0</v>
      </c>
      <c r="P343" s="14">
        <v>0</v>
      </c>
      <c r="Q343" s="14">
        <v>0</v>
      </c>
      <c r="R343" s="14">
        <v>0</v>
      </c>
      <c r="S343" s="14">
        <v>0</v>
      </c>
      <c r="T343" s="18">
        <v>0</v>
      </c>
      <c r="U343" s="14">
        <v>1.175</v>
      </c>
      <c r="V343" s="44"/>
      <c r="W343" s="39">
        <f t="shared" si="34"/>
        <v>30.55</v>
      </c>
    </row>
    <row r="344" spans="1:29" x14ac:dyDescent="0.25">
      <c r="A344" s="7" t="s">
        <v>28</v>
      </c>
      <c r="B344" s="15" t="s">
        <v>13</v>
      </c>
      <c r="C344" s="7" t="s">
        <v>18</v>
      </c>
      <c r="D344" s="14">
        <v>3</v>
      </c>
      <c r="E344" s="14">
        <v>0</v>
      </c>
      <c r="F344" s="14">
        <v>0</v>
      </c>
      <c r="G344" s="14">
        <v>521</v>
      </c>
      <c r="H344" s="16">
        <v>4479</v>
      </c>
      <c r="I344" s="17">
        <v>2721</v>
      </c>
      <c r="J344" s="14">
        <v>1056</v>
      </c>
      <c r="K344" s="14">
        <v>153</v>
      </c>
      <c r="L344" s="14">
        <v>3</v>
      </c>
      <c r="M344" s="14">
        <v>5</v>
      </c>
      <c r="N344" s="14">
        <v>5</v>
      </c>
      <c r="O344" s="14">
        <v>0</v>
      </c>
      <c r="P344" s="14">
        <v>3</v>
      </c>
      <c r="Q344" s="14">
        <v>9</v>
      </c>
      <c r="R344" s="14">
        <v>0</v>
      </c>
      <c r="S344" s="14">
        <v>0</v>
      </c>
      <c r="T344" s="18">
        <v>0</v>
      </c>
      <c r="U344" s="14">
        <v>1.175</v>
      </c>
      <c r="V344" s="41"/>
      <c r="W344" s="39">
        <f t="shared" si="34"/>
        <v>4647.125</v>
      </c>
    </row>
    <row r="345" spans="1:29" x14ac:dyDescent="0.25">
      <c r="A345" s="7" t="s">
        <v>28</v>
      </c>
      <c r="B345" s="15" t="s">
        <v>67</v>
      </c>
      <c r="C345" s="7" t="s">
        <v>18</v>
      </c>
      <c r="D345" s="14">
        <v>0</v>
      </c>
      <c r="E345" s="14">
        <v>0</v>
      </c>
      <c r="F345" s="14">
        <v>0</v>
      </c>
      <c r="G345" s="14">
        <v>90</v>
      </c>
      <c r="H345" s="16">
        <v>5490</v>
      </c>
      <c r="I345" s="17">
        <v>2654</v>
      </c>
      <c r="J345" s="14">
        <v>791</v>
      </c>
      <c r="K345" s="14">
        <v>1331</v>
      </c>
      <c r="L345" s="14">
        <v>128</v>
      </c>
      <c r="M345" s="14">
        <v>280</v>
      </c>
      <c r="N345" s="14">
        <v>61</v>
      </c>
      <c r="O345" s="14">
        <v>4</v>
      </c>
      <c r="P345" s="14">
        <v>151</v>
      </c>
      <c r="Q345" s="14">
        <v>0</v>
      </c>
      <c r="R345" s="14">
        <v>0</v>
      </c>
      <c r="S345" s="14">
        <v>0</v>
      </c>
      <c r="T345" s="18">
        <v>0</v>
      </c>
      <c r="U345" s="14">
        <v>1.175</v>
      </c>
      <c r="V345" s="41"/>
      <c r="W345" s="39">
        <f t="shared" si="34"/>
        <v>6345</v>
      </c>
    </row>
    <row r="346" spans="1:29" x14ac:dyDescent="0.25">
      <c r="A346" s="7" t="s">
        <v>28</v>
      </c>
      <c r="B346" s="15" t="s">
        <v>73</v>
      </c>
      <c r="C346" s="7" t="s">
        <v>18</v>
      </c>
      <c r="D346" s="14">
        <v>0</v>
      </c>
      <c r="E346" s="14">
        <v>0</v>
      </c>
      <c r="F346" s="14">
        <v>0</v>
      </c>
      <c r="G346" s="14">
        <v>122</v>
      </c>
      <c r="H346" s="16">
        <v>6770</v>
      </c>
      <c r="I346" s="17">
        <v>3421</v>
      </c>
      <c r="J346" s="14">
        <v>2335</v>
      </c>
      <c r="K346" s="14">
        <v>436</v>
      </c>
      <c r="L346" s="14">
        <v>26</v>
      </c>
      <c r="M346" s="14">
        <v>227</v>
      </c>
      <c r="N346" s="14">
        <v>0</v>
      </c>
      <c r="O346" s="14">
        <v>155</v>
      </c>
      <c r="P346" s="14">
        <v>41</v>
      </c>
      <c r="Q346" s="14">
        <v>0</v>
      </c>
      <c r="R346" s="14">
        <v>0</v>
      </c>
      <c r="S346" s="14">
        <v>7</v>
      </c>
      <c r="T346" s="18">
        <v>0</v>
      </c>
      <c r="U346" s="14">
        <v>1.175</v>
      </c>
      <c r="V346" s="41"/>
      <c r="W346" s="39">
        <f t="shared" si="34"/>
        <v>7811.4000000000005</v>
      </c>
    </row>
    <row r="347" spans="1:29" x14ac:dyDescent="0.25">
      <c r="A347" s="7" t="s">
        <v>28</v>
      </c>
      <c r="B347" s="15" t="s">
        <v>19</v>
      </c>
      <c r="C347" s="7" t="s">
        <v>18</v>
      </c>
      <c r="D347" s="14">
        <v>8</v>
      </c>
      <c r="E347" s="14">
        <v>0</v>
      </c>
      <c r="F347" s="14">
        <v>0</v>
      </c>
      <c r="G347" s="14">
        <v>385</v>
      </c>
      <c r="H347" s="16">
        <v>3552</v>
      </c>
      <c r="I347" s="17">
        <v>2407</v>
      </c>
      <c r="J347" s="14">
        <v>326</v>
      </c>
      <c r="K347" s="14">
        <v>257</v>
      </c>
      <c r="L347" s="14">
        <v>0</v>
      </c>
      <c r="M347" s="14">
        <v>100</v>
      </c>
      <c r="N347" s="14">
        <v>57</v>
      </c>
      <c r="O347" s="14">
        <v>12</v>
      </c>
      <c r="P347" s="14">
        <v>0</v>
      </c>
      <c r="Q347" s="14">
        <v>0</v>
      </c>
      <c r="R347" s="14">
        <v>0</v>
      </c>
      <c r="S347" s="14">
        <v>0</v>
      </c>
      <c r="T347" s="18">
        <v>0</v>
      </c>
      <c r="U347" s="14">
        <v>1.175</v>
      </c>
      <c r="V347" s="41"/>
      <c r="W347" s="39">
        <f t="shared" si="34"/>
        <v>3711.8250000000003</v>
      </c>
    </row>
    <row r="348" spans="1:29" ht="13" thickBot="1" x14ac:dyDescent="0.3">
      <c r="A348" s="7" t="s">
        <v>28</v>
      </c>
      <c r="B348" s="19" t="s">
        <v>20</v>
      </c>
      <c r="C348" s="20" t="s">
        <v>18</v>
      </c>
      <c r="D348" s="21">
        <v>0</v>
      </c>
      <c r="E348" s="21">
        <v>0</v>
      </c>
      <c r="F348" s="21">
        <v>0</v>
      </c>
      <c r="G348" s="21">
        <v>0</v>
      </c>
      <c r="H348" s="22">
        <v>0</v>
      </c>
      <c r="I348" s="23">
        <v>0</v>
      </c>
      <c r="J348" s="21">
        <v>0</v>
      </c>
      <c r="K348" s="21">
        <v>0</v>
      </c>
      <c r="L348" s="21">
        <v>0</v>
      </c>
      <c r="M348" s="21">
        <v>0</v>
      </c>
      <c r="N348" s="21">
        <v>0</v>
      </c>
      <c r="O348" s="21">
        <v>0</v>
      </c>
      <c r="P348" s="21">
        <v>0</v>
      </c>
      <c r="Q348" s="21">
        <v>0</v>
      </c>
      <c r="R348" s="21">
        <v>0</v>
      </c>
      <c r="S348" s="21">
        <v>0</v>
      </c>
      <c r="T348" s="24">
        <v>0</v>
      </c>
      <c r="U348" s="14">
        <v>1.175</v>
      </c>
      <c r="V348" s="44"/>
      <c r="W348" s="39">
        <f t="shared" si="34"/>
        <v>0</v>
      </c>
    </row>
    <row r="349" spans="1:29" ht="13" thickBot="1" x14ac:dyDescent="0.3">
      <c r="A349" s="7" t="s">
        <v>28</v>
      </c>
      <c r="B349" s="25" t="s">
        <v>12</v>
      </c>
      <c r="C349" s="26" t="s">
        <v>18</v>
      </c>
      <c r="D349" s="27">
        <v>12</v>
      </c>
      <c r="E349" s="27">
        <v>0</v>
      </c>
      <c r="F349" s="27">
        <v>0</v>
      </c>
      <c r="G349" s="27">
        <v>1118</v>
      </c>
      <c r="H349" s="28">
        <v>20320</v>
      </c>
      <c r="I349" s="29">
        <v>11229</v>
      </c>
      <c r="J349" s="27">
        <v>4508</v>
      </c>
      <c r="K349" s="27">
        <v>2177</v>
      </c>
      <c r="L349" s="27">
        <v>158</v>
      </c>
      <c r="M349" s="27">
        <v>612</v>
      </c>
      <c r="N349" s="27">
        <v>124</v>
      </c>
      <c r="O349" s="27">
        <v>170</v>
      </c>
      <c r="P349" s="27">
        <v>196</v>
      </c>
      <c r="Q349" s="27">
        <v>9</v>
      </c>
      <c r="R349" s="27">
        <v>0</v>
      </c>
      <c r="S349" s="27">
        <v>7</v>
      </c>
      <c r="T349" s="29">
        <v>0</v>
      </c>
      <c r="U349" s="14">
        <v>1.175</v>
      </c>
      <c r="V349" s="43">
        <f>SUM(I344:T347)/SUM(H344:H347)</f>
        <v>0.94435956828150414</v>
      </c>
      <c r="W349" s="39">
        <f t="shared" si="34"/>
        <v>22548.25</v>
      </c>
      <c r="X349" s="35">
        <f>W347+W344</f>
        <v>8358.9500000000007</v>
      </c>
      <c r="Y349" s="35">
        <f>W342</f>
        <v>0</v>
      </c>
    </row>
    <row r="350" spans="1:29" x14ac:dyDescent="0.25">
      <c r="A350" s="7" t="s">
        <v>28</v>
      </c>
      <c r="B350" s="8" t="s">
        <v>17</v>
      </c>
      <c r="C350" s="9" t="s">
        <v>21</v>
      </c>
      <c r="D350" s="10">
        <v>0</v>
      </c>
      <c r="E350" s="10">
        <v>0</v>
      </c>
      <c r="F350" s="10">
        <v>0</v>
      </c>
      <c r="G350" s="10">
        <v>0</v>
      </c>
      <c r="H350" s="11">
        <v>0</v>
      </c>
      <c r="I350" s="12">
        <v>0</v>
      </c>
      <c r="J350" s="10">
        <v>0</v>
      </c>
      <c r="K350" s="10">
        <v>0</v>
      </c>
      <c r="L350" s="10">
        <v>0</v>
      </c>
      <c r="M350" s="10">
        <v>0</v>
      </c>
      <c r="N350" s="10">
        <v>0</v>
      </c>
      <c r="O350" s="10">
        <v>0</v>
      </c>
      <c r="P350" s="10">
        <v>0</v>
      </c>
      <c r="Q350" s="10">
        <v>0</v>
      </c>
      <c r="R350" s="10">
        <v>0</v>
      </c>
      <c r="S350" s="10">
        <v>0</v>
      </c>
      <c r="T350" s="13">
        <v>0</v>
      </c>
      <c r="U350" s="14">
        <v>1.175</v>
      </c>
      <c r="W350" s="39">
        <f t="shared" si="34"/>
        <v>0</v>
      </c>
      <c r="AB350" s="37" t="str">
        <f t="shared" ref="AB350:AB356" si="41">B350</f>
        <v>Parts-OTC</v>
      </c>
      <c r="AC350" s="36">
        <f t="shared" ref="AC350:AC356" si="42">I350*U350</f>
        <v>0</v>
      </c>
    </row>
    <row r="351" spans="1:29" x14ac:dyDescent="0.25">
      <c r="A351" s="7" t="s">
        <v>28</v>
      </c>
      <c r="B351" s="15" t="s">
        <v>66</v>
      </c>
      <c r="C351" s="7" t="s">
        <v>21</v>
      </c>
      <c r="D351" s="14">
        <v>0</v>
      </c>
      <c r="E351" s="14">
        <v>0</v>
      </c>
      <c r="F351" s="14">
        <v>0</v>
      </c>
      <c r="G351" s="14">
        <v>0</v>
      </c>
      <c r="H351" s="16">
        <v>142</v>
      </c>
      <c r="I351" s="17">
        <v>26</v>
      </c>
      <c r="J351" s="14">
        <v>28</v>
      </c>
      <c r="K351" s="14">
        <v>12</v>
      </c>
      <c r="L351" s="14">
        <v>8</v>
      </c>
      <c r="M351" s="14">
        <v>13</v>
      </c>
      <c r="N351" s="14">
        <v>0</v>
      </c>
      <c r="O351" s="14">
        <v>0</v>
      </c>
      <c r="P351" s="14">
        <v>47</v>
      </c>
      <c r="Q351" s="14">
        <v>0</v>
      </c>
      <c r="R351" s="14">
        <v>8</v>
      </c>
      <c r="S351" s="14">
        <v>0</v>
      </c>
      <c r="T351" s="18">
        <v>0</v>
      </c>
      <c r="U351" s="14">
        <v>1.175</v>
      </c>
      <c r="W351" s="39">
        <f t="shared" si="34"/>
        <v>166.85</v>
      </c>
      <c r="AB351" s="37" t="str">
        <f t="shared" si="41"/>
        <v>CTKS</v>
      </c>
      <c r="AC351" s="36">
        <f t="shared" si="42"/>
        <v>30.55</v>
      </c>
    </row>
    <row r="352" spans="1:29" x14ac:dyDescent="0.25">
      <c r="A352" s="7" t="s">
        <v>28</v>
      </c>
      <c r="B352" s="15" t="s">
        <v>13</v>
      </c>
      <c r="C352" s="7" t="s">
        <v>21</v>
      </c>
      <c r="D352" s="14">
        <v>0</v>
      </c>
      <c r="E352" s="14">
        <v>0</v>
      </c>
      <c r="F352" s="14">
        <v>0</v>
      </c>
      <c r="G352" s="14">
        <v>0</v>
      </c>
      <c r="H352" s="16">
        <v>678</v>
      </c>
      <c r="I352" s="17">
        <v>379</v>
      </c>
      <c r="J352" s="14">
        <v>108</v>
      </c>
      <c r="K352" s="14">
        <v>2</v>
      </c>
      <c r="L352" s="14">
        <v>0</v>
      </c>
      <c r="M352" s="14">
        <v>8</v>
      </c>
      <c r="N352" s="14">
        <v>13</v>
      </c>
      <c r="O352" s="14">
        <v>0</v>
      </c>
      <c r="P352" s="14">
        <v>146</v>
      </c>
      <c r="Q352" s="14">
        <v>0</v>
      </c>
      <c r="R352" s="14">
        <v>0</v>
      </c>
      <c r="S352" s="14">
        <v>12</v>
      </c>
      <c r="T352" s="18">
        <v>10</v>
      </c>
      <c r="U352" s="14">
        <v>1.175</v>
      </c>
      <c r="W352" s="39">
        <f t="shared" si="34"/>
        <v>796.65</v>
      </c>
      <c r="AB352" s="37" t="str">
        <f t="shared" si="41"/>
        <v>Repair</v>
      </c>
      <c r="AC352" s="36">
        <f t="shared" si="42"/>
        <v>445.32499999999999</v>
      </c>
    </row>
    <row r="353" spans="1:29" x14ac:dyDescent="0.25">
      <c r="A353" s="7" t="s">
        <v>28</v>
      </c>
      <c r="B353" s="15" t="s">
        <v>67</v>
      </c>
      <c r="C353" s="7" t="s">
        <v>21</v>
      </c>
      <c r="D353" s="14">
        <v>0</v>
      </c>
      <c r="E353" s="14">
        <v>0</v>
      </c>
      <c r="F353" s="14">
        <v>0</v>
      </c>
      <c r="G353" s="14">
        <v>0</v>
      </c>
      <c r="H353" s="16">
        <v>3009</v>
      </c>
      <c r="I353" s="17">
        <v>649</v>
      </c>
      <c r="J353" s="14">
        <v>622</v>
      </c>
      <c r="K353" s="14">
        <v>384</v>
      </c>
      <c r="L353" s="14">
        <v>337</v>
      </c>
      <c r="M353" s="14">
        <v>298</v>
      </c>
      <c r="N353" s="14">
        <v>219</v>
      </c>
      <c r="O353" s="14">
        <v>145</v>
      </c>
      <c r="P353" s="14">
        <v>141</v>
      </c>
      <c r="Q353" s="14">
        <v>58</v>
      </c>
      <c r="R353" s="14">
        <v>51</v>
      </c>
      <c r="S353" s="14">
        <v>52</v>
      </c>
      <c r="T353" s="18">
        <v>53</v>
      </c>
      <c r="U353" s="14">
        <v>1.175</v>
      </c>
      <c r="W353" s="39">
        <f t="shared" si="34"/>
        <v>3535.5750000000003</v>
      </c>
      <c r="AB353" s="37" t="str">
        <f t="shared" si="41"/>
        <v>Rental</v>
      </c>
      <c r="AC353" s="36">
        <f t="shared" si="42"/>
        <v>762.57500000000005</v>
      </c>
    </row>
    <row r="354" spans="1:29" x14ac:dyDescent="0.25">
      <c r="A354" s="7" t="s">
        <v>28</v>
      </c>
      <c r="B354" s="15" t="s">
        <v>73</v>
      </c>
      <c r="C354" s="7" t="s">
        <v>21</v>
      </c>
      <c r="D354" s="14">
        <v>0</v>
      </c>
      <c r="E354" s="14">
        <v>0</v>
      </c>
      <c r="F354" s="14">
        <v>0</v>
      </c>
      <c r="G354" s="14">
        <v>0</v>
      </c>
      <c r="H354" s="16">
        <v>803</v>
      </c>
      <c r="I354" s="17">
        <v>364</v>
      </c>
      <c r="J354" s="14">
        <v>159</v>
      </c>
      <c r="K354" s="14">
        <v>7</v>
      </c>
      <c r="L354" s="14">
        <v>2</v>
      </c>
      <c r="M354" s="14">
        <v>1</v>
      </c>
      <c r="N354" s="14">
        <v>22</v>
      </c>
      <c r="O354" s="14">
        <v>15</v>
      </c>
      <c r="P354" s="14">
        <v>220</v>
      </c>
      <c r="Q354" s="14">
        <v>0</v>
      </c>
      <c r="R354" s="14">
        <v>13</v>
      </c>
      <c r="S354" s="14">
        <v>0</v>
      </c>
      <c r="T354" s="18">
        <v>0</v>
      </c>
      <c r="U354" s="14">
        <v>1.175</v>
      </c>
      <c r="W354" s="39">
        <f t="shared" si="34"/>
        <v>943.52500000000009</v>
      </c>
      <c r="AB354" s="37"/>
    </row>
    <row r="355" spans="1:29" x14ac:dyDescent="0.25">
      <c r="A355" s="7" t="s">
        <v>28</v>
      </c>
      <c r="B355" s="15" t="s">
        <v>19</v>
      </c>
      <c r="C355" s="7" t="s">
        <v>21</v>
      </c>
      <c r="D355" s="14">
        <v>0</v>
      </c>
      <c r="E355" s="14">
        <v>0</v>
      </c>
      <c r="F355" s="14">
        <v>0</v>
      </c>
      <c r="G355" s="14">
        <v>0</v>
      </c>
      <c r="H355" s="16">
        <v>3310</v>
      </c>
      <c r="I355" s="17">
        <v>667</v>
      </c>
      <c r="J355" s="14">
        <v>420</v>
      </c>
      <c r="K355" s="14">
        <v>136</v>
      </c>
      <c r="L355" s="14">
        <v>170</v>
      </c>
      <c r="M355" s="14">
        <v>444</v>
      </c>
      <c r="N355" s="14">
        <v>531</v>
      </c>
      <c r="O355" s="14">
        <v>591</v>
      </c>
      <c r="P355" s="14">
        <v>284</v>
      </c>
      <c r="Q355" s="14">
        <v>15</v>
      </c>
      <c r="R355" s="14">
        <v>9</v>
      </c>
      <c r="S355" s="14">
        <v>7</v>
      </c>
      <c r="T355" s="18">
        <v>36</v>
      </c>
      <c r="U355" s="14">
        <v>1.175</v>
      </c>
      <c r="W355" s="39">
        <f t="shared" si="34"/>
        <v>3889.25</v>
      </c>
      <c r="AB355" s="37" t="str">
        <f t="shared" si="41"/>
        <v>Maintenance</v>
      </c>
      <c r="AC355" s="36">
        <f t="shared" si="42"/>
        <v>783.72500000000002</v>
      </c>
    </row>
    <row r="356" spans="1:29" ht="13" thickBot="1" x14ac:dyDescent="0.3">
      <c r="A356" s="7" t="s">
        <v>28</v>
      </c>
      <c r="B356" s="19" t="s">
        <v>20</v>
      </c>
      <c r="C356" s="20" t="s">
        <v>21</v>
      </c>
      <c r="D356" s="21">
        <v>0</v>
      </c>
      <c r="E356" s="21">
        <v>0</v>
      </c>
      <c r="F356" s="21">
        <v>0</v>
      </c>
      <c r="G356" s="21">
        <v>0</v>
      </c>
      <c r="H356" s="22">
        <v>144</v>
      </c>
      <c r="I356" s="23">
        <v>61</v>
      </c>
      <c r="J356" s="21">
        <v>26</v>
      </c>
      <c r="K356" s="21">
        <v>11</v>
      </c>
      <c r="L356" s="21">
        <v>0</v>
      </c>
      <c r="M356" s="21">
        <v>0</v>
      </c>
      <c r="N356" s="21">
        <v>0</v>
      </c>
      <c r="O356" s="21">
        <v>0</v>
      </c>
      <c r="P356" s="21">
        <v>46</v>
      </c>
      <c r="Q356" s="21">
        <v>0</v>
      </c>
      <c r="R356" s="21">
        <v>0</v>
      </c>
      <c r="S356" s="21">
        <v>0</v>
      </c>
      <c r="T356" s="24">
        <v>0</v>
      </c>
      <c r="U356" s="14">
        <v>1.175</v>
      </c>
      <c r="W356" s="39">
        <f t="shared" ref="W356:W419" si="43">SUM(I356:T356)*U356</f>
        <v>169.20000000000002</v>
      </c>
      <c r="AB356" s="37" t="str">
        <f t="shared" si="41"/>
        <v>Startup</v>
      </c>
      <c r="AC356" s="36">
        <f t="shared" si="42"/>
        <v>71.674999999999997</v>
      </c>
    </row>
    <row r="357" spans="1:29" ht="13" thickBot="1" x14ac:dyDescent="0.3">
      <c r="A357" s="20" t="s">
        <v>28</v>
      </c>
      <c r="B357" s="25" t="s">
        <v>12</v>
      </c>
      <c r="C357" s="26" t="s">
        <v>21</v>
      </c>
      <c r="D357" s="27">
        <v>0</v>
      </c>
      <c r="E357" s="27">
        <v>0</v>
      </c>
      <c r="F357" s="27">
        <v>0</v>
      </c>
      <c r="G357" s="27">
        <v>0</v>
      </c>
      <c r="H357" s="28">
        <v>8086</v>
      </c>
      <c r="I357" s="29">
        <v>2145</v>
      </c>
      <c r="J357" s="27">
        <v>1363</v>
      </c>
      <c r="K357" s="27">
        <v>552</v>
      </c>
      <c r="L357" s="27">
        <v>517</v>
      </c>
      <c r="M357" s="27">
        <v>764</v>
      </c>
      <c r="N357" s="27">
        <v>785</v>
      </c>
      <c r="O357" s="27">
        <v>750</v>
      </c>
      <c r="P357" s="27">
        <v>886</v>
      </c>
      <c r="Q357" s="27">
        <v>73</v>
      </c>
      <c r="R357" s="27">
        <v>82</v>
      </c>
      <c r="S357" s="27">
        <v>70</v>
      </c>
      <c r="T357" s="29">
        <v>99</v>
      </c>
      <c r="U357" s="14">
        <v>1.175</v>
      </c>
      <c r="W357" s="39">
        <f t="shared" si="43"/>
        <v>9501.0500000000011</v>
      </c>
      <c r="X357" s="35">
        <f>W356+W355+W352</f>
        <v>4855.0999999999995</v>
      </c>
      <c r="Y357" s="35">
        <f>W350</f>
        <v>0</v>
      </c>
      <c r="Z357" s="40">
        <f>V348/X357</f>
        <v>0</v>
      </c>
      <c r="AA357" s="40">
        <f>IF((Y357=0),0,Y349/Y357)</f>
        <v>0</v>
      </c>
      <c r="AB357" s="48"/>
      <c r="AC357" s="48"/>
    </row>
    <row r="358" spans="1:29" ht="13" thickBot="1" x14ac:dyDescent="0.3">
      <c r="A358" s="9" t="s">
        <v>29</v>
      </c>
      <c r="B358" s="30" t="s">
        <v>15</v>
      </c>
      <c r="C358" s="31" t="s">
        <v>46</v>
      </c>
      <c r="D358" s="32" t="s">
        <v>47</v>
      </c>
      <c r="E358" s="53">
        <v>45689</v>
      </c>
      <c r="F358" s="53">
        <v>45717</v>
      </c>
      <c r="G358" s="53">
        <v>45748</v>
      </c>
      <c r="H358" s="28" t="s">
        <v>12</v>
      </c>
      <c r="I358" s="54">
        <v>45778</v>
      </c>
      <c r="J358" s="53">
        <v>45809</v>
      </c>
      <c r="K358" s="53">
        <v>45839</v>
      </c>
      <c r="L358" s="53">
        <v>45870</v>
      </c>
      <c r="M358" s="53">
        <v>45901</v>
      </c>
      <c r="N358" s="53">
        <v>45931</v>
      </c>
      <c r="O358" s="53">
        <v>45962</v>
      </c>
      <c r="P358" s="53">
        <v>45992</v>
      </c>
      <c r="Q358" s="53">
        <v>46023</v>
      </c>
      <c r="R358" s="53">
        <v>46054</v>
      </c>
      <c r="S358" s="53">
        <v>46082</v>
      </c>
      <c r="T358" s="55">
        <v>46113</v>
      </c>
      <c r="U358" s="14">
        <v>1.175</v>
      </c>
      <c r="V358" s="14" t="s">
        <v>183</v>
      </c>
      <c r="W358" s="39">
        <f t="shared" si="43"/>
        <v>647840.95000000007</v>
      </c>
      <c r="X358" s="14" t="s">
        <v>37</v>
      </c>
      <c r="Y358" s="14" t="s">
        <v>38</v>
      </c>
      <c r="AB358" s="48"/>
      <c r="AC358" s="48"/>
    </row>
    <row r="359" spans="1:29" x14ac:dyDescent="0.25">
      <c r="A359" s="7" t="s">
        <v>29</v>
      </c>
      <c r="B359" s="8" t="s">
        <v>17</v>
      </c>
      <c r="C359" s="9" t="s">
        <v>18</v>
      </c>
      <c r="D359" s="10">
        <v>0</v>
      </c>
      <c r="E359" s="10">
        <v>0</v>
      </c>
      <c r="F359" s="10">
        <v>0</v>
      </c>
      <c r="G359" s="10">
        <v>0</v>
      </c>
      <c r="H359" s="11">
        <v>0</v>
      </c>
      <c r="I359" s="12">
        <v>0</v>
      </c>
      <c r="J359" s="10">
        <v>0</v>
      </c>
      <c r="K359" s="10">
        <v>0</v>
      </c>
      <c r="L359" s="10">
        <v>0</v>
      </c>
      <c r="M359" s="10">
        <v>0</v>
      </c>
      <c r="N359" s="10">
        <v>0</v>
      </c>
      <c r="O359" s="10">
        <v>0</v>
      </c>
      <c r="P359" s="10">
        <v>0</v>
      </c>
      <c r="Q359" s="10">
        <v>0</v>
      </c>
      <c r="R359" s="10">
        <v>0</v>
      </c>
      <c r="S359" s="10">
        <v>0</v>
      </c>
      <c r="T359" s="13">
        <v>0</v>
      </c>
      <c r="U359" s="14">
        <v>1.175</v>
      </c>
      <c r="V359" s="42" t="e">
        <f>SUM(I359:T359)/H359</f>
        <v>#DIV/0!</v>
      </c>
      <c r="W359" s="39">
        <f t="shared" si="43"/>
        <v>0</v>
      </c>
    </row>
    <row r="360" spans="1:29" x14ac:dyDescent="0.25">
      <c r="A360" s="7" t="s">
        <v>29</v>
      </c>
      <c r="B360" s="15" t="s">
        <v>66</v>
      </c>
      <c r="C360" s="7" t="s">
        <v>18</v>
      </c>
      <c r="D360" s="14">
        <v>124</v>
      </c>
      <c r="E360" s="14">
        <v>0</v>
      </c>
      <c r="F360" s="14">
        <v>0</v>
      </c>
      <c r="G360" s="14">
        <v>0</v>
      </c>
      <c r="H360" s="16">
        <v>186</v>
      </c>
      <c r="I360" s="17">
        <v>7</v>
      </c>
      <c r="J360" s="14">
        <v>0</v>
      </c>
      <c r="K360" s="14">
        <v>0</v>
      </c>
      <c r="L360" s="14">
        <v>0</v>
      </c>
      <c r="M360" s="14">
        <v>0</v>
      </c>
      <c r="N360" s="14">
        <v>0</v>
      </c>
      <c r="O360" s="14">
        <v>0</v>
      </c>
      <c r="P360" s="14">
        <v>55</v>
      </c>
      <c r="Q360" s="14">
        <v>0</v>
      </c>
      <c r="R360" s="14">
        <v>0</v>
      </c>
      <c r="S360" s="14">
        <v>0</v>
      </c>
      <c r="T360" s="18">
        <v>0</v>
      </c>
      <c r="U360" s="14">
        <v>1.175</v>
      </c>
      <c r="V360" s="44"/>
      <c r="W360" s="39">
        <f t="shared" si="43"/>
        <v>72.850000000000009</v>
      </c>
    </row>
    <row r="361" spans="1:29" x14ac:dyDescent="0.25">
      <c r="A361" s="7" t="s">
        <v>29</v>
      </c>
      <c r="B361" s="15" t="s">
        <v>13</v>
      </c>
      <c r="C361" s="7" t="s">
        <v>18</v>
      </c>
      <c r="D361" s="14">
        <v>710</v>
      </c>
      <c r="E361" s="14">
        <v>0</v>
      </c>
      <c r="F361" s="14">
        <v>0</v>
      </c>
      <c r="G361" s="14">
        <v>521</v>
      </c>
      <c r="H361" s="16">
        <v>4796</v>
      </c>
      <c r="I361" s="17">
        <v>2057</v>
      </c>
      <c r="J361" s="14">
        <v>681</v>
      </c>
      <c r="K361" s="14">
        <v>179</v>
      </c>
      <c r="L361" s="14">
        <v>86</v>
      </c>
      <c r="M361" s="14">
        <v>228</v>
      </c>
      <c r="N361" s="14">
        <v>101</v>
      </c>
      <c r="O361" s="14">
        <v>25</v>
      </c>
      <c r="P361" s="14">
        <v>194</v>
      </c>
      <c r="Q361" s="14">
        <v>0</v>
      </c>
      <c r="R361" s="14">
        <v>0</v>
      </c>
      <c r="S361" s="14">
        <v>14</v>
      </c>
      <c r="T361" s="18">
        <v>0</v>
      </c>
      <c r="U361" s="14">
        <v>1.175</v>
      </c>
      <c r="V361" s="41"/>
      <c r="W361" s="39">
        <f t="shared" si="43"/>
        <v>4188.875</v>
      </c>
    </row>
    <row r="362" spans="1:29" x14ac:dyDescent="0.25">
      <c r="A362" s="7" t="s">
        <v>29</v>
      </c>
      <c r="B362" s="15" t="s">
        <v>67</v>
      </c>
      <c r="C362" s="7" t="s">
        <v>18</v>
      </c>
      <c r="D362" s="14">
        <v>0</v>
      </c>
      <c r="E362" s="14">
        <v>0</v>
      </c>
      <c r="F362" s="14">
        <v>0</v>
      </c>
      <c r="G362" s="14">
        <v>91</v>
      </c>
      <c r="H362" s="16">
        <v>580</v>
      </c>
      <c r="I362" s="17">
        <v>313</v>
      </c>
      <c r="J362" s="14">
        <v>95</v>
      </c>
      <c r="K362" s="14">
        <v>0</v>
      </c>
      <c r="L362" s="14">
        <v>9</v>
      </c>
      <c r="M362" s="14">
        <v>33</v>
      </c>
      <c r="N362" s="14">
        <v>0</v>
      </c>
      <c r="O362" s="14">
        <v>0</v>
      </c>
      <c r="P362" s="14">
        <v>30</v>
      </c>
      <c r="Q362" s="14">
        <v>9</v>
      </c>
      <c r="R362" s="14">
        <v>0</v>
      </c>
      <c r="S362" s="14">
        <v>0</v>
      </c>
      <c r="T362" s="18">
        <v>0</v>
      </c>
      <c r="U362" s="14">
        <v>1.175</v>
      </c>
      <c r="V362" s="41"/>
      <c r="W362" s="39">
        <f t="shared" si="43"/>
        <v>574.57500000000005</v>
      </c>
    </row>
    <row r="363" spans="1:29" x14ac:dyDescent="0.25">
      <c r="A363" s="7" t="s">
        <v>29</v>
      </c>
      <c r="B363" s="15" t="s">
        <v>73</v>
      </c>
      <c r="C363" s="7" t="s">
        <v>18</v>
      </c>
      <c r="D363" s="14">
        <v>0</v>
      </c>
      <c r="E363" s="14">
        <v>0</v>
      </c>
      <c r="F363" s="14">
        <v>0</v>
      </c>
      <c r="G363" s="14">
        <v>422</v>
      </c>
      <c r="H363" s="16">
        <v>6735</v>
      </c>
      <c r="I363" s="17">
        <v>1978</v>
      </c>
      <c r="J363" s="14">
        <v>1076</v>
      </c>
      <c r="K363" s="14">
        <v>98</v>
      </c>
      <c r="L363" s="14">
        <v>66</v>
      </c>
      <c r="M363" s="14">
        <v>1798</v>
      </c>
      <c r="N363" s="14">
        <v>537</v>
      </c>
      <c r="O363" s="14">
        <v>136</v>
      </c>
      <c r="P363" s="14">
        <v>501</v>
      </c>
      <c r="Q363" s="14">
        <v>123</v>
      </c>
      <c r="R363" s="14">
        <v>0</v>
      </c>
      <c r="S363" s="14">
        <v>0</v>
      </c>
      <c r="T363" s="18">
        <v>0</v>
      </c>
      <c r="U363" s="14">
        <v>1.175</v>
      </c>
      <c r="V363" s="41"/>
      <c r="W363" s="39">
        <f t="shared" si="43"/>
        <v>7417.7750000000005</v>
      </c>
    </row>
    <row r="364" spans="1:29" x14ac:dyDescent="0.25">
      <c r="A364" s="7" t="s">
        <v>29</v>
      </c>
      <c r="B364" s="15" t="s">
        <v>19</v>
      </c>
      <c r="C364" s="7" t="s">
        <v>18</v>
      </c>
      <c r="D364" s="14">
        <v>139</v>
      </c>
      <c r="E364" s="14">
        <v>0</v>
      </c>
      <c r="F364" s="14">
        <v>0</v>
      </c>
      <c r="G364" s="14">
        <v>382</v>
      </c>
      <c r="H364" s="16">
        <v>2483</v>
      </c>
      <c r="I364" s="17">
        <v>1126</v>
      </c>
      <c r="J364" s="14">
        <v>133</v>
      </c>
      <c r="K364" s="14">
        <v>70</v>
      </c>
      <c r="L364" s="14">
        <v>67</v>
      </c>
      <c r="M364" s="14">
        <v>204</v>
      </c>
      <c r="N364" s="14">
        <v>51</v>
      </c>
      <c r="O364" s="14">
        <v>114</v>
      </c>
      <c r="P364" s="14">
        <v>197</v>
      </c>
      <c r="Q364" s="14">
        <v>0</v>
      </c>
      <c r="R364" s="14">
        <v>0</v>
      </c>
      <c r="S364" s="14">
        <v>0</v>
      </c>
      <c r="T364" s="18">
        <v>0</v>
      </c>
      <c r="U364" s="14">
        <v>1.175</v>
      </c>
      <c r="V364" s="41"/>
      <c r="W364" s="39">
        <f t="shared" si="43"/>
        <v>2305.35</v>
      </c>
    </row>
    <row r="365" spans="1:29" ht="13" thickBot="1" x14ac:dyDescent="0.3">
      <c r="A365" s="7" t="s">
        <v>29</v>
      </c>
      <c r="B365" s="19" t="s">
        <v>20</v>
      </c>
      <c r="C365" s="20" t="s">
        <v>18</v>
      </c>
      <c r="D365" s="21">
        <v>0</v>
      </c>
      <c r="E365" s="21">
        <v>0</v>
      </c>
      <c r="F365" s="21">
        <v>0</v>
      </c>
      <c r="G365" s="21">
        <v>0</v>
      </c>
      <c r="H365" s="22">
        <v>0</v>
      </c>
      <c r="I365" s="23">
        <v>0</v>
      </c>
      <c r="J365" s="21">
        <v>0</v>
      </c>
      <c r="K365" s="21">
        <v>0</v>
      </c>
      <c r="L365" s="21">
        <v>0</v>
      </c>
      <c r="M365" s="21">
        <v>0</v>
      </c>
      <c r="N365" s="21">
        <v>0</v>
      </c>
      <c r="O365" s="21">
        <v>0</v>
      </c>
      <c r="P365" s="21">
        <v>0</v>
      </c>
      <c r="Q365" s="21">
        <v>0</v>
      </c>
      <c r="R365" s="21">
        <v>0</v>
      </c>
      <c r="S365" s="21">
        <v>0</v>
      </c>
      <c r="T365" s="24">
        <v>0</v>
      </c>
      <c r="U365" s="14">
        <v>1.175</v>
      </c>
      <c r="V365" s="44"/>
      <c r="W365" s="39">
        <f t="shared" si="43"/>
        <v>0</v>
      </c>
    </row>
    <row r="366" spans="1:29" ht="13" thickBot="1" x14ac:dyDescent="0.3">
      <c r="A366" s="7" t="s">
        <v>29</v>
      </c>
      <c r="B366" s="25" t="s">
        <v>12</v>
      </c>
      <c r="C366" s="26" t="s">
        <v>18</v>
      </c>
      <c r="D366" s="27">
        <v>972</v>
      </c>
      <c r="E366" s="27">
        <v>0</v>
      </c>
      <c r="F366" s="27">
        <v>0</v>
      </c>
      <c r="G366" s="27">
        <v>1415</v>
      </c>
      <c r="H366" s="28">
        <v>14779</v>
      </c>
      <c r="I366" s="29">
        <v>5482</v>
      </c>
      <c r="J366" s="27">
        <v>1985</v>
      </c>
      <c r="K366" s="27">
        <v>347</v>
      </c>
      <c r="L366" s="27">
        <v>228</v>
      </c>
      <c r="M366" s="27">
        <v>2263</v>
      </c>
      <c r="N366" s="27">
        <v>689</v>
      </c>
      <c r="O366" s="27">
        <v>275</v>
      </c>
      <c r="P366" s="27">
        <v>977</v>
      </c>
      <c r="Q366" s="27">
        <v>132</v>
      </c>
      <c r="R366" s="27">
        <v>0</v>
      </c>
      <c r="S366" s="27">
        <v>14</v>
      </c>
      <c r="T366" s="29">
        <v>0</v>
      </c>
      <c r="U366" s="14">
        <v>1.175</v>
      </c>
      <c r="V366" s="43">
        <f>SUM(I361:T364)/SUM(H361:H364)</f>
        <v>0.84479923256132661</v>
      </c>
      <c r="W366" s="39">
        <f t="shared" si="43"/>
        <v>14560.6</v>
      </c>
      <c r="X366" s="35">
        <f>W364+W361</f>
        <v>6494.2250000000004</v>
      </c>
      <c r="Y366" s="35">
        <f>W359</f>
        <v>0</v>
      </c>
    </row>
    <row r="367" spans="1:29" x14ac:dyDescent="0.25">
      <c r="A367" s="7" t="s">
        <v>29</v>
      </c>
      <c r="B367" s="8" t="s">
        <v>17</v>
      </c>
      <c r="C367" s="9" t="s">
        <v>21</v>
      </c>
      <c r="D367" s="10">
        <v>0</v>
      </c>
      <c r="E367" s="10">
        <v>0</v>
      </c>
      <c r="F367" s="10">
        <v>0</v>
      </c>
      <c r="G367" s="10">
        <v>0</v>
      </c>
      <c r="H367" s="11">
        <v>0</v>
      </c>
      <c r="I367" s="12">
        <v>0</v>
      </c>
      <c r="J367" s="10">
        <v>0</v>
      </c>
      <c r="K367" s="10">
        <v>0</v>
      </c>
      <c r="L367" s="10">
        <v>0</v>
      </c>
      <c r="M367" s="10">
        <v>0</v>
      </c>
      <c r="N367" s="10">
        <v>0</v>
      </c>
      <c r="O367" s="10">
        <v>0</v>
      </c>
      <c r="P367" s="10">
        <v>0</v>
      </c>
      <c r="Q367" s="10">
        <v>0</v>
      </c>
      <c r="R367" s="10">
        <v>0</v>
      </c>
      <c r="S367" s="10">
        <v>0</v>
      </c>
      <c r="T367" s="13">
        <v>0</v>
      </c>
      <c r="U367" s="14">
        <v>1.175</v>
      </c>
      <c r="W367" s="39">
        <f t="shared" si="43"/>
        <v>0</v>
      </c>
      <c r="AB367" s="37" t="str">
        <f t="shared" ref="AB367:AB373" si="44">B367</f>
        <v>Parts-OTC</v>
      </c>
      <c r="AC367" s="36">
        <f t="shared" ref="AC367:AC373" si="45">I367*U367</f>
        <v>0</v>
      </c>
    </row>
    <row r="368" spans="1:29" x14ac:dyDescent="0.25">
      <c r="A368" s="7" t="s">
        <v>29</v>
      </c>
      <c r="B368" s="15" t="s">
        <v>66</v>
      </c>
      <c r="C368" s="7" t="s">
        <v>21</v>
      </c>
      <c r="D368" s="14">
        <v>0</v>
      </c>
      <c r="E368" s="14">
        <v>0</v>
      </c>
      <c r="F368" s="14">
        <v>0</v>
      </c>
      <c r="G368" s="14">
        <v>0</v>
      </c>
      <c r="H368" s="16">
        <v>208</v>
      </c>
      <c r="I368" s="17">
        <v>24</v>
      </c>
      <c r="J368" s="14">
        <v>18</v>
      </c>
      <c r="K368" s="14">
        <v>27</v>
      </c>
      <c r="L368" s="14">
        <v>0</v>
      </c>
      <c r="M368" s="14">
        <v>48</v>
      </c>
      <c r="N368" s="14">
        <v>0</v>
      </c>
      <c r="O368" s="14">
        <v>19</v>
      </c>
      <c r="P368" s="14">
        <v>52</v>
      </c>
      <c r="Q368" s="14">
        <v>20</v>
      </c>
      <c r="R368" s="14">
        <v>0</v>
      </c>
      <c r="S368" s="14">
        <v>0</v>
      </c>
      <c r="T368" s="18">
        <v>0</v>
      </c>
      <c r="U368" s="14">
        <v>1.175</v>
      </c>
      <c r="W368" s="39">
        <f t="shared" si="43"/>
        <v>244.4</v>
      </c>
      <c r="AB368" s="37" t="str">
        <f t="shared" si="44"/>
        <v>CTKS</v>
      </c>
      <c r="AC368" s="36">
        <f t="shared" si="45"/>
        <v>28.200000000000003</v>
      </c>
    </row>
    <row r="369" spans="1:29" x14ac:dyDescent="0.25">
      <c r="A369" s="7" t="s">
        <v>29</v>
      </c>
      <c r="B369" s="15" t="s">
        <v>13</v>
      </c>
      <c r="C369" s="7" t="s">
        <v>21</v>
      </c>
      <c r="D369" s="14">
        <v>0</v>
      </c>
      <c r="E369" s="14">
        <v>0</v>
      </c>
      <c r="F369" s="14">
        <v>0</v>
      </c>
      <c r="G369" s="14">
        <v>0</v>
      </c>
      <c r="H369" s="16">
        <v>992</v>
      </c>
      <c r="I369" s="17">
        <v>421</v>
      </c>
      <c r="J369" s="14">
        <v>104</v>
      </c>
      <c r="K369" s="14">
        <v>3</v>
      </c>
      <c r="L369" s="14">
        <v>15</v>
      </c>
      <c r="M369" s="14">
        <v>30</v>
      </c>
      <c r="N369" s="14">
        <v>0</v>
      </c>
      <c r="O369" s="14">
        <v>0</v>
      </c>
      <c r="P369" s="14">
        <v>91</v>
      </c>
      <c r="Q369" s="14">
        <v>328</v>
      </c>
      <c r="R369" s="14">
        <v>0</v>
      </c>
      <c r="S369" s="14">
        <v>0</v>
      </c>
      <c r="T369" s="18">
        <v>0</v>
      </c>
      <c r="U369" s="14">
        <v>1.175</v>
      </c>
      <c r="W369" s="39">
        <f t="shared" si="43"/>
        <v>1165.6000000000001</v>
      </c>
      <c r="AB369" s="37" t="str">
        <f t="shared" si="44"/>
        <v>Repair</v>
      </c>
      <c r="AC369" s="36">
        <f t="shared" si="45"/>
        <v>494.67500000000001</v>
      </c>
    </row>
    <row r="370" spans="1:29" x14ac:dyDescent="0.25">
      <c r="A370" s="7" t="s">
        <v>29</v>
      </c>
      <c r="B370" s="15" t="s">
        <v>67</v>
      </c>
      <c r="C370" s="7" t="s">
        <v>21</v>
      </c>
      <c r="D370" s="14">
        <v>0</v>
      </c>
      <c r="E370" s="14">
        <v>0</v>
      </c>
      <c r="F370" s="14">
        <v>0</v>
      </c>
      <c r="G370" s="14">
        <v>0</v>
      </c>
      <c r="H370" s="16">
        <v>666</v>
      </c>
      <c r="I370" s="17">
        <v>181</v>
      </c>
      <c r="J370" s="14">
        <v>204</v>
      </c>
      <c r="K370" s="14">
        <v>93</v>
      </c>
      <c r="L370" s="14">
        <v>67</v>
      </c>
      <c r="M370" s="14">
        <v>31</v>
      </c>
      <c r="N370" s="14">
        <v>26</v>
      </c>
      <c r="O370" s="14">
        <v>34</v>
      </c>
      <c r="P370" s="14">
        <v>19</v>
      </c>
      <c r="Q370" s="14">
        <v>3</v>
      </c>
      <c r="R370" s="14">
        <v>3</v>
      </c>
      <c r="S370" s="14">
        <v>3</v>
      </c>
      <c r="T370" s="18">
        <v>2</v>
      </c>
      <c r="U370" s="14">
        <v>1.175</v>
      </c>
      <c r="W370" s="39">
        <f t="shared" si="43"/>
        <v>782.55000000000007</v>
      </c>
      <c r="AB370" s="37" t="str">
        <f t="shared" si="44"/>
        <v>Rental</v>
      </c>
      <c r="AC370" s="36">
        <f t="shared" si="45"/>
        <v>212.67500000000001</v>
      </c>
    </row>
    <row r="371" spans="1:29" x14ac:dyDescent="0.25">
      <c r="A371" s="7" t="s">
        <v>29</v>
      </c>
      <c r="B371" s="15" t="s">
        <v>73</v>
      </c>
      <c r="C371" s="7" t="s">
        <v>21</v>
      </c>
      <c r="D371" s="14">
        <v>0</v>
      </c>
      <c r="E371" s="14">
        <v>0</v>
      </c>
      <c r="F371" s="14">
        <v>0</v>
      </c>
      <c r="G371" s="14">
        <v>0</v>
      </c>
      <c r="H371" s="16">
        <v>902</v>
      </c>
      <c r="I371" s="17">
        <v>179</v>
      </c>
      <c r="J371" s="14">
        <v>54</v>
      </c>
      <c r="K371" s="14">
        <v>285</v>
      </c>
      <c r="L371" s="14">
        <v>0</v>
      </c>
      <c r="M371" s="14">
        <v>34</v>
      </c>
      <c r="N371" s="14">
        <v>150</v>
      </c>
      <c r="O371" s="14">
        <v>62</v>
      </c>
      <c r="P371" s="14">
        <v>134</v>
      </c>
      <c r="Q371" s="14">
        <v>4</v>
      </c>
      <c r="R371" s="14">
        <v>0</v>
      </c>
      <c r="S371" s="14">
        <v>0</v>
      </c>
      <c r="T371" s="18">
        <v>0</v>
      </c>
      <c r="U371" s="14">
        <v>1.175</v>
      </c>
      <c r="W371" s="39">
        <f t="shared" si="43"/>
        <v>1059.8500000000001</v>
      </c>
      <c r="AB371" s="37"/>
    </row>
    <row r="372" spans="1:29" x14ac:dyDescent="0.25">
      <c r="A372" s="7" t="s">
        <v>29</v>
      </c>
      <c r="B372" s="15" t="s">
        <v>19</v>
      </c>
      <c r="C372" s="7" t="s">
        <v>21</v>
      </c>
      <c r="D372" s="14">
        <v>0</v>
      </c>
      <c r="E372" s="14">
        <v>0</v>
      </c>
      <c r="F372" s="14">
        <v>0</v>
      </c>
      <c r="G372" s="14">
        <v>0</v>
      </c>
      <c r="H372" s="16">
        <v>1673</v>
      </c>
      <c r="I372" s="17">
        <v>54</v>
      </c>
      <c r="J372" s="14">
        <v>171</v>
      </c>
      <c r="K372" s="14">
        <v>733</v>
      </c>
      <c r="L372" s="14">
        <v>91</v>
      </c>
      <c r="M372" s="14">
        <v>240</v>
      </c>
      <c r="N372" s="14">
        <v>176</v>
      </c>
      <c r="O372" s="14">
        <v>19</v>
      </c>
      <c r="P372" s="14">
        <v>121</v>
      </c>
      <c r="Q372" s="14">
        <v>52</v>
      </c>
      <c r="R372" s="14">
        <v>5</v>
      </c>
      <c r="S372" s="14">
        <v>11</v>
      </c>
      <c r="T372" s="18">
        <v>0</v>
      </c>
      <c r="U372" s="14">
        <v>1.175</v>
      </c>
      <c r="W372" s="39">
        <f t="shared" si="43"/>
        <v>1965.7750000000001</v>
      </c>
      <c r="AB372" s="37" t="str">
        <f t="shared" si="44"/>
        <v>Maintenance</v>
      </c>
      <c r="AC372" s="36">
        <f t="shared" si="45"/>
        <v>63.45</v>
      </c>
    </row>
    <row r="373" spans="1:29" ht="13" thickBot="1" x14ac:dyDescent="0.3">
      <c r="A373" s="7" t="s">
        <v>29</v>
      </c>
      <c r="B373" s="19" t="s">
        <v>20</v>
      </c>
      <c r="C373" s="20" t="s">
        <v>21</v>
      </c>
      <c r="D373" s="21">
        <v>0</v>
      </c>
      <c r="E373" s="21">
        <v>0</v>
      </c>
      <c r="F373" s="21">
        <v>0</v>
      </c>
      <c r="G373" s="21">
        <v>0</v>
      </c>
      <c r="H373" s="22">
        <v>103</v>
      </c>
      <c r="I373" s="23">
        <v>30</v>
      </c>
      <c r="J373" s="21">
        <v>18</v>
      </c>
      <c r="K373" s="21">
        <v>2</v>
      </c>
      <c r="L373" s="21">
        <v>0</v>
      </c>
      <c r="M373" s="21">
        <v>0</v>
      </c>
      <c r="N373" s="21">
        <v>0</v>
      </c>
      <c r="O373" s="21">
        <v>0</v>
      </c>
      <c r="P373" s="21">
        <v>53</v>
      </c>
      <c r="Q373" s="21">
        <v>0</v>
      </c>
      <c r="R373" s="21">
        <v>0</v>
      </c>
      <c r="S373" s="21">
        <v>0</v>
      </c>
      <c r="T373" s="24">
        <v>0</v>
      </c>
      <c r="U373" s="14">
        <v>1.175</v>
      </c>
      <c r="W373" s="39">
        <f t="shared" si="43"/>
        <v>121.02500000000001</v>
      </c>
      <c r="AB373" s="37" t="str">
        <f t="shared" si="44"/>
        <v>Startup</v>
      </c>
      <c r="AC373" s="36">
        <f t="shared" si="45"/>
        <v>35.25</v>
      </c>
    </row>
    <row r="374" spans="1:29" ht="13" thickBot="1" x14ac:dyDescent="0.3">
      <c r="A374" s="20" t="s">
        <v>29</v>
      </c>
      <c r="B374" s="25" t="s">
        <v>12</v>
      </c>
      <c r="C374" s="26" t="s">
        <v>21</v>
      </c>
      <c r="D374" s="27">
        <v>0</v>
      </c>
      <c r="E374" s="27">
        <v>0</v>
      </c>
      <c r="F374" s="27">
        <v>0</v>
      </c>
      <c r="G374" s="27">
        <v>0</v>
      </c>
      <c r="H374" s="28">
        <v>4545</v>
      </c>
      <c r="I374" s="29">
        <v>889</v>
      </c>
      <c r="J374" s="27">
        <v>569</v>
      </c>
      <c r="K374" s="27">
        <v>1143</v>
      </c>
      <c r="L374" s="27">
        <v>174</v>
      </c>
      <c r="M374" s="27">
        <v>383</v>
      </c>
      <c r="N374" s="27">
        <v>352</v>
      </c>
      <c r="O374" s="27">
        <v>134</v>
      </c>
      <c r="P374" s="27">
        <v>469</v>
      </c>
      <c r="Q374" s="27">
        <v>408</v>
      </c>
      <c r="R374" s="27">
        <v>8</v>
      </c>
      <c r="S374" s="27">
        <v>14</v>
      </c>
      <c r="T374" s="29">
        <v>2</v>
      </c>
      <c r="U374" s="14">
        <v>1.175</v>
      </c>
      <c r="W374" s="39">
        <f t="shared" si="43"/>
        <v>5340.375</v>
      </c>
      <c r="X374" s="35">
        <f>W373+W372+W369</f>
        <v>3252.4000000000005</v>
      </c>
      <c r="Y374" s="35">
        <f>W367</f>
        <v>0</v>
      </c>
      <c r="Z374" s="40">
        <f>V365/X374</f>
        <v>0</v>
      </c>
      <c r="AA374" s="40">
        <f>IF((Y374=0),0,Y366/Y374)</f>
        <v>0</v>
      </c>
      <c r="AB374" s="48"/>
      <c r="AC374" s="48"/>
    </row>
    <row r="375" spans="1:29" ht="13" thickBot="1" x14ac:dyDescent="0.3">
      <c r="A375" s="9" t="s">
        <v>23</v>
      </c>
      <c r="B375" s="30" t="s">
        <v>15</v>
      </c>
      <c r="C375" s="31" t="s">
        <v>46</v>
      </c>
      <c r="D375" s="32" t="s">
        <v>47</v>
      </c>
      <c r="E375" s="53">
        <v>45689</v>
      </c>
      <c r="F375" s="53">
        <v>45717</v>
      </c>
      <c r="G375" s="53">
        <v>45748</v>
      </c>
      <c r="H375" s="28" t="s">
        <v>12</v>
      </c>
      <c r="I375" s="54">
        <v>45778</v>
      </c>
      <c r="J375" s="53">
        <v>45809</v>
      </c>
      <c r="K375" s="53">
        <v>45839</v>
      </c>
      <c r="L375" s="53">
        <v>45870</v>
      </c>
      <c r="M375" s="53">
        <v>45901</v>
      </c>
      <c r="N375" s="53">
        <v>45931</v>
      </c>
      <c r="O375" s="53">
        <v>45962</v>
      </c>
      <c r="P375" s="53">
        <v>45992</v>
      </c>
      <c r="Q375" s="53">
        <v>46023</v>
      </c>
      <c r="R375" s="53">
        <v>46054</v>
      </c>
      <c r="S375" s="53">
        <v>46082</v>
      </c>
      <c r="T375" s="55">
        <v>46113</v>
      </c>
      <c r="U375" s="14">
        <v>1.175</v>
      </c>
      <c r="V375" s="14" t="s">
        <v>183</v>
      </c>
      <c r="W375" s="39">
        <f t="shared" si="43"/>
        <v>647840.95000000007</v>
      </c>
      <c r="X375" s="14" t="s">
        <v>37</v>
      </c>
      <c r="Y375" s="14" t="s">
        <v>38</v>
      </c>
      <c r="AB375" s="48"/>
      <c r="AC375" s="48"/>
    </row>
    <row r="376" spans="1:29" x14ac:dyDescent="0.25">
      <c r="A376" s="7" t="s">
        <v>23</v>
      </c>
      <c r="B376" s="8" t="s">
        <v>17</v>
      </c>
      <c r="C376" s="9" t="s">
        <v>18</v>
      </c>
      <c r="D376" s="10">
        <v>5679</v>
      </c>
      <c r="E376" s="10">
        <v>1293</v>
      </c>
      <c r="F376" s="10">
        <v>1265</v>
      </c>
      <c r="G376" s="10">
        <v>1497</v>
      </c>
      <c r="H376" s="11">
        <v>10250</v>
      </c>
      <c r="I376" s="12">
        <v>516</v>
      </c>
      <c r="J376" s="10">
        <v>0</v>
      </c>
      <c r="K376" s="10">
        <v>0</v>
      </c>
      <c r="L376" s="10">
        <v>0</v>
      </c>
      <c r="M376" s="10">
        <v>0</v>
      </c>
      <c r="N376" s="10">
        <v>0</v>
      </c>
      <c r="O376" s="10">
        <v>0</v>
      </c>
      <c r="P376" s="10">
        <v>0</v>
      </c>
      <c r="Q376" s="10">
        <v>0</v>
      </c>
      <c r="R376" s="10">
        <v>0</v>
      </c>
      <c r="S376" s="10">
        <v>0</v>
      </c>
      <c r="T376" s="13">
        <v>0</v>
      </c>
      <c r="U376" s="14">
        <v>1.175</v>
      </c>
      <c r="V376" s="42">
        <f>SUM(I376:T376)/H376</f>
        <v>5.0341463414634149E-2</v>
      </c>
      <c r="W376" s="39">
        <f t="shared" si="43"/>
        <v>606.30000000000007</v>
      </c>
    </row>
    <row r="377" spans="1:29" x14ac:dyDescent="0.25">
      <c r="A377" s="7" t="s">
        <v>23</v>
      </c>
      <c r="B377" s="15" t="s">
        <v>66</v>
      </c>
      <c r="C377" s="7" t="s">
        <v>18</v>
      </c>
      <c r="D377" s="14">
        <v>0</v>
      </c>
      <c r="E377" s="14">
        <v>0</v>
      </c>
      <c r="F377" s="14">
        <v>0</v>
      </c>
      <c r="G377" s="14">
        <v>0</v>
      </c>
      <c r="H377" s="16">
        <v>0</v>
      </c>
      <c r="I377" s="17">
        <v>0</v>
      </c>
      <c r="J377" s="14">
        <v>0</v>
      </c>
      <c r="K377" s="14">
        <v>0</v>
      </c>
      <c r="L377" s="14">
        <v>0</v>
      </c>
      <c r="M377" s="14">
        <v>0</v>
      </c>
      <c r="N377" s="14">
        <v>0</v>
      </c>
      <c r="O377" s="14">
        <v>0</v>
      </c>
      <c r="P377" s="14">
        <v>0</v>
      </c>
      <c r="Q377" s="14">
        <v>0</v>
      </c>
      <c r="R377" s="14">
        <v>0</v>
      </c>
      <c r="S377" s="14">
        <v>0</v>
      </c>
      <c r="T377" s="18">
        <v>0</v>
      </c>
      <c r="U377" s="14">
        <v>1.175</v>
      </c>
      <c r="V377" s="44"/>
      <c r="W377" s="39">
        <f t="shared" si="43"/>
        <v>0</v>
      </c>
    </row>
    <row r="378" spans="1:29" x14ac:dyDescent="0.25">
      <c r="A378" s="7" t="s">
        <v>23</v>
      </c>
      <c r="B378" s="15" t="s">
        <v>13</v>
      </c>
      <c r="C378" s="7" t="s">
        <v>18</v>
      </c>
      <c r="D378" s="14">
        <v>0</v>
      </c>
      <c r="E378" s="14">
        <v>0</v>
      </c>
      <c r="F378" s="14">
        <v>0</v>
      </c>
      <c r="G378" s="14">
        <v>0</v>
      </c>
      <c r="H378" s="16">
        <v>0</v>
      </c>
      <c r="I378" s="17">
        <v>0</v>
      </c>
      <c r="J378" s="14">
        <v>0</v>
      </c>
      <c r="K378" s="14">
        <v>0</v>
      </c>
      <c r="L378" s="14">
        <v>0</v>
      </c>
      <c r="M378" s="14">
        <v>0</v>
      </c>
      <c r="N378" s="14">
        <v>0</v>
      </c>
      <c r="O378" s="14">
        <v>0</v>
      </c>
      <c r="P378" s="14">
        <v>0</v>
      </c>
      <c r="Q378" s="14">
        <v>0</v>
      </c>
      <c r="R378" s="14">
        <v>0</v>
      </c>
      <c r="S378" s="14">
        <v>0</v>
      </c>
      <c r="T378" s="18">
        <v>0</v>
      </c>
      <c r="U378" s="14">
        <v>1.175</v>
      </c>
      <c r="V378" s="41"/>
      <c r="W378" s="39">
        <f t="shared" si="43"/>
        <v>0</v>
      </c>
    </row>
    <row r="379" spans="1:29" x14ac:dyDescent="0.25">
      <c r="A379" s="7" t="s">
        <v>23</v>
      </c>
      <c r="B379" s="15" t="s">
        <v>67</v>
      </c>
      <c r="C379" s="7" t="s">
        <v>18</v>
      </c>
      <c r="D379" s="14">
        <v>0</v>
      </c>
      <c r="E379" s="14">
        <v>0</v>
      </c>
      <c r="F379" s="14">
        <v>0</v>
      </c>
      <c r="G379" s="14">
        <v>0</v>
      </c>
      <c r="H379" s="16">
        <v>0</v>
      </c>
      <c r="I379" s="17">
        <v>0</v>
      </c>
      <c r="J379" s="14">
        <v>0</v>
      </c>
      <c r="K379" s="14">
        <v>0</v>
      </c>
      <c r="L379" s="14">
        <v>0</v>
      </c>
      <c r="M379" s="14">
        <v>0</v>
      </c>
      <c r="N379" s="14">
        <v>0</v>
      </c>
      <c r="O379" s="14">
        <v>0</v>
      </c>
      <c r="P379" s="14">
        <v>0</v>
      </c>
      <c r="Q379" s="14">
        <v>0</v>
      </c>
      <c r="R379" s="14">
        <v>0</v>
      </c>
      <c r="S379" s="14">
        <v>0</v>
      </c>
      <c r="T379" s="18">
        <v>0</v>
      </c>
      <c r="U379" s="14">
        <v>1.175</v>
      </c>
      <c r="V379" s="41"/>
      <c r="W379" s="39">
        <f t="shared" si="43"/>
        <v>0</v>
      </c>
    </row>
    <row r="380" spans="1:29" x14ac:dyDescent="0.25">
      <c r="A380" s="7" t="s">
        <v>23</v>
      </c>
      <c r="B380" s="15" t="s">
        <v>73</v>
      </c>
      <c r="C380" s="7" t="s">
        <v>18</v>
      </c>
      <c r="D380" s="14">
        <v>0</v>
      </c>
      <c r="E380" s="14">
        <v>0</v>
      </c>
      <c r="F380" s="14">
        <v>0</v>
      </c>
      <c r="G380" s="14">
        <v>0</v>
      </c>
      <c r="H380" s="16">
        <v>0</v>
      </c>
      <c r="I380" s="17">
        <v>0</v>
      </c>
      <c r="J380" s="14">
        <v>0</v>
      </c>
      <c r="K380" s="14">
        <v>0</v>
      </c>
      <c r="L380" s="14">
        <v>0</v>
      </c>
      <c r="M380" s="14">
        <v>0</v>
      </c>
      <c r="N380" s="14">
        <v>0</v>
      </c>
      <c r="O380" s="14">
        <v>0</v>
      </c>
      <c r="P380" s="14">
        <v>0</v>
      </c>
      <c r="Q380" s="14">
        <v>0</v>
      </c>
      <c r="R380" s="14">
        <v>0</v>
      </c>
      <c r="S380" s="14">
        <v>0</v>
      </c>
      <c r="T380" s="18">
        <v>0</v>
      </c>
      <c r="U380" s="14">
        <v>1.175</v>
      </c>
      <c r="V380" s="41"/>
      <c r="W380" s="39">
        <f t="shared" si="43"/>
        <v>0</v>
      </c>
    </row>
    <row r="381" spans="1:29" x14ac:dyDescent="0.25">
      <c r="A381" s="7" t="s">
        <v>23</v>
      </c>
      <c r="B381" s="15" t="s">
        <v>19</v>
      </c>
      <c r="C381" s="7" t="s">
        <v>18</v>
      </c>
      <c r="D381" s="14">
        <v>0</v>
      </c>
      <c r="E381" s="14">
        <v>0</v>
      </c>
      <c r="F381" s="14">
        <v>0</v>
      </c>
      <c r="G381" s="14">
        <v>0</v>
      </c>
      <c r="H381" s="16">
        <v>0</v>
      </c>
      <c r="I381" s="17">
        <v>0</v>
      </c>
      <c r="J381" s="14">
        <v>0</v>
      </c>
      <c r="K381" s="14">
        <v>0</v>
      </c>
      <c r="L381" s="14">
        <v>0</v>
      </c>
      <c r="M381" s="14">
        <v>0</v>
      </c>
      <c r="N381" s="14">
        <v>0</v>
      </c>
      <c r="O381" s="14">
        <v>0</v>
      </c>
      <c r="P381" s="14">
        <v>0</v>
      </c>
      <c r="Q381" s="14">
        <v>0</v>
      </c>
      <c r="R381" s="14">
        <v>0</v>
      </c>
      <c r="S381" s="14">
        <v>0</v>
      </c>
      <c r="T381" s="18">
        <v>0</v>
      </c>
      <c r="U381" s="14">
        <v>1.175</v>
      </c>
      <c r="V381" s="41"/>
      <c r="W381" s="39">
        <f t="shared" si="43"/>
        <v>0</v>
      </c>
    </row>
    <row r="382" spans="1:29" ht="13" thickBot="1" x14ac:dyDescent="0.3">
      <c r="A382" s="7" t="s">
        <v>23</v>
      </c>
      <c r="B382" s="19" t="s">
        <v>20</v>
      </c>
      <c r="C382" s="20" t="s">
        <v>18</v>
      </c>
      <c r="D382" s="21">
        <v>0</v>
      </c>
      <c r="E382" s="21">
        <v>0</v>
      </c>
      <c r="F382" s="21">
        <v>0</v>
      </c>
      <c r="G382" s="21">
        <v>0</v>
      </c>
      <c r="H382" s="22">
        <v>0</v>
      </c>
      <c r="I382" s="23">
        <v>0</v>
      </c>
      <c r="J382" s="21">
        <v>0</v>
      </c>
      <c r="K382" s="21">
        <v>0</v>
      </c>
      <c r="L382" s="21">
        <v>0</v>
      </c>
      <c r="M382" s="21">
        <v>0</v>
      </c>
      <c r="N382" s="21">
        <v>0</v>
      </c>
      <c r="O382" s="21">
        <v>0</v>
      </c>
      <c r="P382" s="21">
        <v>0</v>
      </c>
      <c r="Q382" s="21">
        <v>0</v>
      </c>
      <c r="R382" s="21">
        <v>0</v>
      </c>
      <c r="S382" s="21">
        <v>0</v>
      </c>
      <c r="T382" s="24">
        <v>0</v>
      </c>
      <c r="U382" s="14">
        <v>1.175</v>
      </c>
      <c r="V382" s="44"/>
      <c r="W382" s="39">
        <f t="shared" si="43"/>
        <v>0</v>
      </c>
    </row>
    <row r="383" spans="1:29" ht="13" thickBot="1" x14ac:dyDescent="0.3">
      <c r="A383" s="7" t="s">
        <v>23</v>
      </c>
      <c r="B383" s="25" t="s">
        <v>12</v>
      </c>
      <c r="C383" s="26" t="s">
        <v>18</v>
      </c>
      <c r="D383" s="27">
        <v>5679</v>
      </c>
      <c r="E383" s="27">
        <v>1293</v>
      </c>
      <c r="F383" s="27">
        <v>1265</v>
      </c>
      <c r="G383" s="27">
        <v>1497</v>
      </c>
      <c r="H383" s="28">
        <v>10250</v>
      </c>
      <c r="I383" s="29">
        <v>516</v>
      </c>
      <c r="J383" s="27">
        <v>0</v>
      </c>
      <c r="K383" s="27">
        <v>0</v>
      </c>
      <c r="L383" s="27">
        <v>0</v>
      </c>
      <c r="M383" s="27">
        <v>0</v>
      </c>
      <c r="N383" s="27">
        <v>0</v>
      </c>
      <c r="O383" s="27">
        <v>0</v>
      </c>
      <c r="P383" s="27">
        <v>0</v>
      </c>
      <c r="Q383" s="27">
        <v>0</v>
      </c>
      <c r="R383" s="27">
        <v>0</v>
      </c>
      <c r="S383" s="27">
        <v>0</v>
      </c>
      <c r="T383" s="29">
        <v>0</v>
      </c>
      <c r="U383" s="14">
        <v>1.175</v>
      </c>
      <c r="V383" s="43" t="e">
        <f>SUM(I378:T381)/SUM(H378:H381)</f>
        <v>#DIV/0!</v>
      </c>
      <c r="W383" s="39">
        <f t="shared" si="43"/>
        <v>606.30000000000007</v>
      </c>
      <c r="X383" s="35">
        <f>W381+W378</f>
        <v>0</v>
      </c>
      <c r="Y383" s="35">
        <f>W376</f>
        <v>606.30000000000007</v>
      </c>
    </row>
    <row r="384" spans="1:29" x14ac:dyDescent="0.25">
      <c r="A384" s="7" t="s">
        <v>23</v>
      </c>
      <c r="B384" s="8" t="s">
        <v>17</v>
      </c>
      <c r="C384" s="9" t="s">
        <v>21</v>
      </c>
      <c r="D384" s="10">
        <v>0</v>
      </c>
      <c r="E384" s="10">
        <v>0</v>
      </c>
      <c r="F384" s="10">
        <v>0</v>
      </c>
      <c r="G384" s="10">
        <v>0</v>
      </c>
      <c r="H384" s="11">
        <v>175</v>
      </c>
      <c r="I384" s="12">
        <v>175</v>
      </c>
      <c r="J384" s="10">
        <v>0</v>
      </c>
      <c r="K384" s="10">
        <v>0</v>
      </c>
      <c r="L384" s="10">
        <v>0</v>
      </c>
      <c r="M384" s="10">
        <v>0</v>
      </c>
      <c r="N384" s="10">
        <v>0</v>
      </c>
      <c r="O384" s="10">
        <v>0</v>
      </c>
      <c r="P384" s="10">
        <v>0</v>
      </c>
      <c r="Q384" s="10">
        <v>0</v>
      </c>
      <c r="R384" s="10">
        <v>0</v>
      </c>
      <c r="S384" s="10">
        <v>0</v>
      </c>
      <c r="T384" s="13">
        <v>0</v>
      </c>
      <c r="U384" s="14">
        <v>1.175</v>
      </c>
      <c r="W384" s="39">
        <f t="shared" si="43"/>
        <v>205.625</v>
      </c>
      <c r="AB384" s="37" t="str">
        <f t="shared" ref="AB384:AB390" si="46">B384</f>
        <v>Parts-OTC</v>
      </c>
      <c r="AC384" s="36">
        <f t="shared" ref="AC384:AC390" si="47">I384*U384</f>
        <v>205.625</v>
      </c>
    </row>
    <row r="385" spans="1:29" x14ac:dyDescent="0.25">
      <c r="A385" s="7" t="s">
        <v>23</v>
      </c>
      <c r="B385" s="15" t="s">
        <v>66</v>
      </c>
      <c r="C385" s="7" t="s">
        <v>21</v>
      </c>
      <c r="D385" s="14">
        <v>0</v>
      </c>
      <c r="E385" s="14">
        <v>0</v>
      </c>
      <c r="F385" s="14">
        <v>0</v>
      </c>
      <c r="G385" s="14">
        <v>0</v>
      </c>
      <c r="H385" s="16">
        <v>0</v>
      </c>
      <c r="I385" s="17">
        <v>0</v>
      </c>
      <c r="J385" s="14">
        <v>0</v>
      </c>
      <c r="K385" s="14">
        <v>0</v>
      </c>
      <c r="L385" s="14">
        <v>0</v>
      </c>
      <c r="M385" s="14">
        <v>0</v>
      </c>
      <c r="N385" s="14">
        <v>0</v>
      </c>
      <c r="O385" s="14">
        <v>0</v>
      </c>
      <c r="P385" s="14">
        <v>0</v>
      </c>
      <c r="Q385" s="14">
        <v>0</v>
      </c>
      <c r="R385" s="14">
        <v>0</v>
      </c>
      <c r="S385" s="14">
        <v>0</v>
      </c>
      <c r="T385" s="18">
        <v>0</v>
      </c>
      <c r="U385" s="14">
        <v>1.175</v>
      </c>
      <c r="W385" s="39">
        <f t="shared" si="43"/>
        <v>0</v>
      </c>
      <c r="AB385" s="37" t="str">
        <f t="shared" si="46"/>
        <v>CTKS</v>
      </c>
      <c r="AC385" s="36">
        <f t="shared" si="47"/>
        <v>0</v>
      </c>
    </row>
    <row r="386" spans="1:29" x14ac:dyDescent="0.25">
      <c r="A386" s="7" t="s">
        <v>23</v>
      </c>
      <c r="B386" s="15" t="s">
        <v>13</v>
      </c>
      <c r="C386" s="7" t="s">
        <v>21</v>
      </c>
      <c r="D386" s="14">
        <v>0</v>
      </c>
      <c r="E386" s="14">
        <v>0</v>
      </c>
      <c r="F386" s="14">
        <v>0</v>
      </c>
      <c r="G386" s="14">
        <v>0</v>
      </c>
      <c r="H386" s="16">
        <v>0</v>
      </c>
      <c r="I386" s="17">
        <v>0</v>
      </c>
      <c r="J386" s="14">
        <v>0</v>
      </c>
      <c r="K386" s="14">
        <v>0</v>
      </c>
      <c r="L386" s="14">
        <v>0</v>
      </c>
      <c r="M386" s="14">
        <v>0</v>
      </c>
      <c r="N386" s="14">
        <v>0</v>
      </c>
      <c r="O386" s="14">
        <v>0</v>
      </c>
      <c r="P386" s="14">
        <v>0</v>
      </c>
      <c r="Q386" s="14">
        <v>0</v>
      </c>
      <c r="R386" s="14">
        <v>0</v>
      </c>
      <c r="S386" s="14">
        <v>0</v>
      </c>
      <c r="T386" s="18">
        <v>0</v>
      </c>
      <c r="U386" s="14">
        <v>1.175</v>
      </c>
      <c r="W386" s="39">
        <f t="shared" si="43"/>
        <v>0</v>
      </c>
      <c r="AB386" s="37" t="str">
        <f t="shared" si="46"/>
        <v>Repair</v>
      </c>
      <c r="AC386" s="36">
        <f t="shared" si="47"/>
        <v>0</v>
      </c>
    </row>
    <row r="387" spans="1:29" x14ac:dyDescent="0.25">
      <c r="A387" s="7" t="s">
        <v>23</v>
      </c>
      <c r="B387" s="15" t="s">
        <v>67</v>
      </c>
      <c r="C387" s="7" t="s">
        <v>21</v>
      </c>
      <c r="D387" s="14">
        <v>0</v>
      </c>
      <c r="E387" s="14">
        <v>0</v>
      </c>
      <c r="F387" s="14">
        <v>0</v>
      </c>
      <c r="G387" s="14">
        <v>0</v>
      </c>
      <c r="H387" s="16">
        <v>0</v>
      </c>
      <c r="I387" s="17">
        <v>0</v>
      </c>
      <c r="J387" s="14">
        <v>0</v>
      </c>
      <c r="K387" s="14">
        <v>0</v>
      </c>
      <c r="L387" s="14">
        <v>0</v>
      </c>
      <c r="M387" s="14">
        <v>0</v>
      </c>
      <c r="N387" s="14">
        <v>0</v>
      </c>
      <c r="O387" s="14">
        <v>0</v>
      </c>
      <c r="P387" s="14">
        <v>0</v>
      </c>
      <c r="Q387" s="14">
        <v>0</v>
      </c>
      <c r="R387" s="14">
        <v>0</v>
      </c>
      <c r="S387" s="14">
        <v>0</v>
      </c>
      <c r="T387" s="18">
        <v>0</v>
      </c>
      <c r="U387" s="14">
        <v>1.175</v>
      </c>
      <c r="W387" s="39">
        <f t="shared" si="43"/>
        <v>0</v>
      </c>
      <c r="AB387" s="37" t="str">
        <f t="shared" si="46"/>
        <v>Rental</v>
      </c>
      <c r="AC387" s="36">
        <f t="shared" si="47"/>
        <v>0</v>
      </c>
    </row>
    <row r="388" spans="1:29" x14ac:dyDescent="0.25">
      <c r="A388" s="7" t="s">
        <v>23</v>
      </c>
      <c r="B388" s="15" t="s">
        <v>73</v>
      </c>
      <c r="C388" s="7" t="s">
        <v>21</v>
      </c>
      <c r="D388" s="14">
        <v>0</v>
      </c>
      <c r="E388" s="14">
        <v>0</v>
      </c>
      <c r="F388" s="14">
        <v>0</v>
      </c>
      <c r="G388" s="14">
        <v>0</v>
      </c>
      <c r="H388" s="16">
        <v>0</v>
      </c>
      <c r="I388" s="17">
        <v>0</v>
      </c>
      <c r="J388" s="14">
        <v>0</v>
      </c>
      <c r="K388" s="14">
        <v>0</v>
      </c>
      <c r="L388" s="14">
        <v>0</v>
      </c>
      <c r="M388" s="14">
        <v>0</v>
      </c>
      <c r="N388" s="14">
        <v>0</v>
      </c>
      <c r="O388" s="14">
        <v>0</v>
      </c>
      <c r="P388" s="14">
        <v>0</v>
      </c>
      <c r="Q388" s="14">
        <v>0</v>
      </c>
      <c r="R388" s="14">
        <v>0</v>
      </c>
      <c r="S388" s="14">
        <v>0</v>
      </c>
      <c r="T388" s="18">
        <v>0</v>
      </c>
      <c r="U388" s="14">
        <v>1.175</v>
      </c>
      <c r="W388" s="39">
        <f t="shared" si="43"/>
        <v>0</v>
      </c>
      <c r="AB388" s="37"/>
    </row>
    <row r="389" spans="1:29" x14ac:dyDescent="0.25">
      <c r="A389" s="7" t="s">
        <v>23</v>
      </c>
      <c r="B389" s="15" t="s">
        <v>19</v>
      </c>
      <c r="C389" s="7" t="s">
        <v>21</v>
      </c>
      <c r="D389" s="14">
        <v>0</v>
      </c>
      <c r="E389" s="14">
        <v>0</v>
      </c>
      <c r="F389" s="14">
        <v>0</v>
      </c>
      <c r="G389" s="14">
        <v>0</v>
      </c>
      <c r="H389" s="16">
        <v>0</v>
      </c>
      <c r="I389" s="17">
        <v>0</v>
      </c>
      <c r="J389" s="14">
        <v>0</v>
      </c>
      <c r="K389" s="14">
        <v>0</v>
      </c>
      <c r="L389" s="14">
        <v>0</v>
      </c>
      <c r="M389" s="14">
        <v>0</v>
      </c>
      <c r="N389" s="14">
        <v>0</v>
      </c>
      <c r="O389" s="14">
        <v>0</v>
      </c>
      <c r="P389" s="14">
        <v>0</v>
      </c>
      <c r="Q389" s="14">
        <v>0</v>
      </c>
      <c r="R389" s="14">
        <v>0</v>
      </c>
      <c r="S389" s="14">
        <v>0</v>
      </c>
      <c r="T389" s="18">
        <v>0</v>
      </c>
      <c r="U389" s="14">
        <v>1.175</v>
      </c>
      <c r="W389" s="39">
        <f t="shared" si="43"/>
        <v>0</v>
      </c>
      <c r="AB389" s="37" t="str">
        <f t="shared" si="46"/>
        <v>Maintenance</v>
      </c>
      <c r="AC389" s="36">
        <f t="shared" si="47"/>
        <v>0</v>
      </c>
    </row>
    <row r="390" spans="1:29" ht="13" thickBot="1" x14ac:dyDescent="0.3">
      <c r="A390" s="7" t="s">
        <v>23</v>
      </c>
      <c r="B390" s="19" t="s">
        <v>20</v>
      </c>
      <c r="C390" s="20" t="s">
        <v>21</v>
      </c>
      <c r="D390" s="21">
        <v>0</v>
      </c>
      <c r="E390" s="21">
        <v>0</v>
      </c>
      <c r="F390" s="21">
        <v>0</v>
      </c>
      <c r="G390" s="21">
        <v>0</v>
      </c>
      <c r="H390" s="22">
        <v>0</v>
      </c>
      <c r="I390" s="23">
        <v>0</v>
      </c>
      <c r="J390" s="21">
        <v>0</v>
      </c>
      <c r="K390" s="21">
        <v>0</v>
      </c>
      <c r="L390" s="21">
        <v>0</v>
      </c>
      <c r="M390" s="21">
        <v>0</v>
      </c>
      <c r="N390" s="21">
        <v>0</v>
      </c>
      <c r="O390" s="21">
        <v>0</v>
      </c>
      <c r="P390" s="21">
        <v>0</v>
      </c>
      <c r="Q390" s="21">
        <v>0</v>
      </c>
      <c r="R390" s="21">
        <v>0</v>
      </c>
      <c r="S390" s="21">
        <v>0</v>
      </c>
      <c r="T390" s="24">
        <v>0</v>
      </c>
      <c r="U390" s="14">
        <v>1.175</v>
      </c>
      <c r="W390" s="39">
        <f t="shared" si="43"/>
        <v>0</v>
      </c>
      <c r="AB390" s="37" t="str">
        <f t="shared" si="46"/>
        <v>Startup</v>
      </c>
      <c r="AC390" s="36">
        <f t="shared" si="47"/>
        <v>0</v>
      </c>
    </row>
    <row r="391" spans="1:29" ht="13" thickBot="1" x14ac:dyDescent="0.3">
      <c r="A391" s="20" t="s">
        <v>23</v>
      </c>
      <c r="B391" s="25" t="s">
        <v>12</v>
      </c>
      <c r="C391" s="26" t="s">
        <v>21</v>
      </c>
      <c r="D391" s="27">
        <v>0</v>
      </c>
      <c r="E391" s="27">
        <v>0</v>
      </c>
      <c r="F391" s="27">
        <v>0</v>
      </c>
      <c r="G391" s="27">
        <v>0</v>
      </c>
      <c r="H391" s="28">
        <v>175</v>
      </c>
      <c r="I391" s="29">
        <v>175</v>
      </c>
      <c r="J391" s="27">
        <v>0</v>
      </c>
      <c r="K391" s="27">
        <v>0</v>
      </c>
      <c r="L391" s="27">
        <v>0</v>
      </c>
      <c r="M391" s="27">
        <v>0</v>
      </c>
      <c r="N391" s="27">
        <v>0</v>
      </c>
      <c r="O391" s="27">
        <v>0</v>
      </c>
      <c r="P391" s="27">
        <v>0</v>
      </c>
      <c r="Q391" s="27">
        <v>0</v>
      </c>
      <c r="R391" s="27">
        <v>0</v>
      </c>
      <c r="S391" s="27">
        <v>0</v>
      </c>
      <c r="T391" s="29">
        <v>0</v>
      </c>
      <c r="U391" s="14">
        <v>1.175</v>
      </c>
      <c r="W391" s="39">
        <f t="shared" si="43"/>
        <v>205.625</v>
      </c>
      <c r="X391" s="35">
        <f>W390+W389+W386</f>
        <v>0</v>
      </c>
      <c r="Y391" s="35">
        <f>W384</f>
        <v>205.625</v>
      </c>
      <c r="Z391" s="40" t="e">
        <f>V382/X391</f>
        <v>#DIV/0!</v>
      </c>
      <c r="AA391" s="40">
        <f>IF((Y391=0),0,Y383/Y391)</f>
        <v>2.9485714285714288</v>
      </c>
      <c r="AB391" s="48"/>
      <c r="AC391" s="48"/>
    </row>
    <row r="392" spans="1:29" ht="13" thickBot="1" x14ac:dyDescent="0.3">
      <c r="A392" s="9" t="s">
        <v>6</v>
      </c>
      <c r="B392" s="30" t="s">
        <v>15</v>
      </c>
      <c r="C392" s="31" t="s">
        <v>94</v>
      </c>
      <c r="D392" s="32" t="s">
        <v>47</v>
      </c>
      <c r="E392" s="53" t="s">
        <v>116</v>
      </c>
      <c r="F392" s="53" t="s">
        <v>117</v>
      </c>
      <c r="G392" s="53" t="s">
        <v>118</v>
      </c>
      <c r="H392" s="28" t="s">
        <v>12</v>
      </c>
      <c r="I392" s="54" t="s">
        <v>119</v>
      </c>
      <c r="J392" s="53" t="s">
        <v>174</v>
      </c>
      <c r="K392" s="53" t="s">
        <v>175</v>
      </c>
      <c r="L392" s="53" t="s">
        <v>99</v>
      </c>
      <c r="M392" s="53" t="s">
        <v>100</v>
      </c>
      <c r="N392" s="53" t="s">
        <v>101</v>
      </c>
      <c r="O392" s="53" t="s">
        <v>102</v>
      </c>
      <c r="P392" s="53" t="s">
        <v>103</v>
      </c>
      <c r="Q392" s="53" t="s">
        <v>104</v>
      </c>
      <c r="R392" s="53" t="s">
        <v>105</v>
      </c>
      <c r="S392" s="53" t="s">
        <v>106</v>
      </c>
      <c r="T392" s="55" t="s">
        <v>107</v>
      </c>
      <c r="U392" s="14">
        <v>1.175</v>
      </c>
      <c r="V392" s="14" t="s">
        <v>183</v>
      </c>
      <c r="W392" s="39">
        <f t="shared" si="43"/>
        <v>0</v>
      </c>
      <c r="X392" s="14" t="s">
        <v>37</v>
      </c>
      <c r="Y392" s="14" t="s">
        <v>38</v>
      </c>
      <c r="AB392" s="48"/>
      <c r="AC392" s="48"/>
    </row>
    <row r="393" spans="1:29" x14ac:dyDescent="0.25">
      <c r="A393" s="7" t="s">
        <v>6</v>
      </c>
      <c r="B393" s="8" t="s">
        <v>17</v>
      </c>
      <c r="C393" s="9" t="s">
        <v>18</v>
      </c>
      <c r="D393" s="10">
        <v>0</v>
      </c>
      <c r="E393" s="10">
        <v>0</v>
      </c>
      <c r="F393" s="10">
        <v>10</v>
      </c>
      <c r="G393" s="10">
        <v>164</v>
      </c>
      <c r="H393" s="11">
        <v>175</v>
      </c>
      <c r="I393" s="12">
        <v>1</v>
      </c>
      <c r="J393" s="10">
        <v>0</v>
      </c>
      <c r="K393" s="10">
        <v>0</v>
      </c>
      <c r="L393" s="10">
        <v>0</v>
      </c>
      <c r="M393" s="10">
        <v>0</v>
      </c>
      <c r="N393" s="10">
        <v>0</v>
      </c>
      <c r="O393" s="10">
        <v>0</v>
      </c>
      <c r="P393" s="10">
        <v>0</v>
      </c>
      <c r="Q393" s="10">
        <v>0</v>
      </c>
      <c r="R393" s="10">
        <v>0</v>
      </c>
      <c r="S393" s="10">
        <v>0</v>
      </c>
      <c r="T393" s="13">
        <v>0</v>
      </c>
      <c r="U393" s="14">
        <v>1.175</v>
      </c>
      <c r="V393" s="42">
        <f>SUM(I393:T393)/H393</f>
        <v>5.7142857142857143E-3</v>
      </c>
      <c r="W393" s="39">
        <f t="shared" si="43"/>
        <v>1.175</v>
      </c>
    </row>
    <row r="394" spans="1:29" x14ac:dyDescent="0.25">
      <c r="A394" s="7" t="s">
        <v>6</v>
      </c>
      <c r="B394" s="15" t="s">
        <v>66</v>
      </c>
      <c r="C394" s="7" t="s">
        <v>18</v>
      </c>
      <c r="D394" s="14">
        <v>0</v>
      </c>
      <c r="E394" s="14">
        <v>0</v>
      </c>
      <c r="F394" s="14">
        <v>114</v>
      </c>
      <c r="G394" s="14">
        <v>0</v>
      </c>
      <c r="H394" s="16">
        <v>114</v>
      </c>
      <c r="I394" s="17">
        <v>0</v>
      </c>
      <c r="J394" s="14">
        <v>0</v>
      </c>
      <c r="K394" s="14">
        <v>0</v>
      </c>
      <c r="L394" s="14">
        <v>0</v>
      </c>
      <c r="M394" s="14">
        <v>0</v>
      </c>
      <c r="N394" s="14">
        <v>0</v>
      </c>
      <c r="O394" s="14">
        <v>0</v>
      </c>
      <c r="P394" s="14">
        <v>0</v>
      </c>
      <c r="Q394" s="14">
        <v>0</v>
      </c>
      <c r="R394" s="14">
        <v>0</v>
      </c>
      <c r="S394" s="14">
        <v>0</v>
      </c>
      <c r="T394" s="18">
        <v>0</v>
      </c>
      <c r="U394" s="14">
        <v>1.175</v>
      </c>
      <c r="V394" s="44"/>
      <c r="W394" s="39">
        <f t="shared" si="43"/>
        <v>0</v>
      </c>
    </row>
    <row r="395" spans="1:29" x14ac:dyDescent="0.25">
      <c r="A395" s="7" t="s">
        <v>6</v>
      </c>
      <c r="B395" s="15" t="s">
        <v>13</v>
      </c>
      <c r="C395" s="7" t="s">
        <v>18</v>
      </c>
      <c r="D395" s="14">
        <v>19</v>
      </c>
      <c r="E395" s="14">
        <v>46</v>
      </c>
      <c r="F395" s="14">
        <v>50</v>
      </c>
      <c r="G395" s="14">
        <v>55</v>
      </c>
      <c r="H395" s="16">
        <v>515</v>
      </c>
      <c r="I395" s="17">
        <v>345</v>
      </c>
      <c r="J395" s="14">
        <v>0</v>
      </c>
      <c r="K395" s="14">
        <v>0</v>
      </c>
      <c r="L395" s="14">
        <v>0</v>
      </c>
      <c r="M395" s="14">
        <v>0</v>
      </c>
      <c r="N395" s="14">
        <v>0</v>
      </c>
      <c r="O395" s="14">
        <v>0</v>
      </c>
      <c r="P395" s="14">
        <v>0</v>
      </c>
      <c r="Q395" s="14">
        <v>0</v>
      </c>
      <c r="R395" s="14">
        <v>0</v>
      </c>
      <c r="S395" s="14">
        <v>0</v>
      </c>
      <c r="T395" s="18">
        <v>0</v>
      </c>
      <c r="U395" s="14">
        <v>1.175</v>
      </c>
      <c r="V395" s="41"/>
      <c r="W395" s="39">
        <f t="shared" si="43"/>
        <v>405.375</v>
      </c>
    </row>
    <row r="396" spans="1:29" x14ac:dyDescent="0.25">
      <c r="A396" s="7" t="s">
        <v>6</v>
      </c>
      <c r="B396" s="15" t="s">
        <v>67</v>
      </c>
      <c r="C396" s="7" t="s">
        <v>18</v>
      </c>
      <c r="D396" s="14">
        <v>7</v>
      </c>
      <c r="E396" s="14">
        <v>0</v>
      </c>
      <c r="F396" s="14">
        <v>29</v>
      </c>
      <c r="G396" s="14">
        <v>219</v>
      </c>
      <c r="H396" s="16">
        <v>445</v>
      </c>
      <c r="I396" s="17">
        <v>16</v>
      </c>
      <c r="J396" s="14">
        <v>0</v>
      </c>
      <c r="K396" s="14">
        <v>52</v>
      </c>
      <c r="L396" s="14">
        <v>122</v>
      </c>
      <c r="M396" s="14">
        <v>0</v>
      </c>
      <c r="N396" s="14">
        <v>0</v>
      </c>
      <c r="O396" s="14">
        <v>0</v>
      </c>
      <c r="P396" s="14">
        <v>0</v>
      </c>
      <c r="Q396" s="14">
        <v>0</v>
      </c>
      <c r="R396" s="14">
        <v>0</v>
      </c>
      <c r="S396" s="14">
        <v>0</v>
      </c>
      <c r="T396" s="18">
        <v>0</v>
      </c>
      <c r="U396" s="14">
        <v>1.175</v>
      </c>
      <c r="V396" s="41"/>
      <c r="W396" s="39">
        <f t="shared" si="43"/>
        <v>223.25</v>
      </c>
    </row>
    <row r="397" spans="1:29" x14ac:dyDescent="0.25">
      <c r="A397" s="7" t="s">
        <v>6</v>
      </c>
      <c r="B397" s="15" t="s">
        <v>73</v>
      </c>
      <c r="C397" s="7" t="s">
        <v>18</v>
      </c>
      <c r="D397" s="14">
        <v>7</v>
      </c>
      <c r="E397" s="14">
        <v>557</v>
      </c>
      <c r="F397" s="14">
        <v>341</v>
      </c>
      <c r="G397" s="14">
        <v>19</v>
      </c>
      <c r="H397" s="16">
        <v>946</v>
      </c>
      <c r="I397" s="17">
        <v>13</v>
      </c>
      <c r="J397" s="14">
        <v>0</v>
      </c>
      <c r="K397" s="14">
        <v>9</v>
      </c>
      <c r="L397" s="14">
        <v>0</v>
      </c>
      <c r="M397" s="14">
        <v>0</v>
      </c>
      <c r="N397" s="14">
        <v>0</v>
      </c>
      <c r="O397" s="14">
        <v>0</v>
      </c>
      <c r="P397" s="14">
        <v>0</v>
      </c>
      <c r="Q397" s="14">
        <v>0</v>
      </c>
      <c r="R397" s="14">
        <v>0</v>
      </c>
      <c r="S397" s="14">
        <v>0</v>
      </c>
      <c r="T397" s="18">
        <v>0</v>
      </c>
      <c r="U397" s="14">
        <v>1.175</v>
      </c>
      <c r="V397" s="41"/>
      <c r="W397" s="39">
        <f t="shared" si="43"/>
        <v>25.85</v>
      </c>
    </row>
    <row r="398" spans="1:29" x14ac:dyDescent="0.25">
      <c r="A398" s="7" t="s">
        <v>6</v>
      </c>
      <c r="B398" s="15" t="s">
        <v>19</v>
      </c>
      <c r="C398" s="7" t="s">
        <v>18</v>
      </c>
      <c r="D398" s="14">
        <v>40</v>
      </c>
      <c r="E398" s="14">
        <v>129</v>
      </c>
      <c r="F398" s="14">
        <v>79</v>
      </c>
      <c r="G398" s="14">
        <v>37</v>
      </c>
      <c r="H398" s="16">
        <v>295</v>
      </c>
      <c r="I398" s="17">
        <v>0</v>
      </c>
      <c r="J398" s="14">
        <v>10</v>
      </c>
      <c r="K398" s="14">
        <v>0</v>
      </c>
      <c r="L398" s="14">
        <v>0</v>
      </c>
      <c r="M398" s="14">
        <v>0</v>
      </c>
      <c r="N398" s="14">
        <v>0</v>
      </c>
      <c r="O398" s="14">
        <v>0</v>
      </c>
      <c r="P398" s="14">
        <v>0</v>
      </c>
      <c r="Q398" s="14">
        <v>0</v>
      </c>
      <c r="R398" s="14">
        <v>0</v>
      </c>
      <c r="S398" s="14">
        <v>0</v>
      </c>
      <c r="T398" s="18">
        <v>0</v>
      </c>
      <c r="U398" s="14">
        <v>1.175</v>
      </c>
      <c r="V398" s="41"/>
      <c r="W398" s="39">
        <f t="shared" si="43"/>
        <v>11.75</v>
      </c>
    </row>
    <row r="399" spans="1:29" ht="13" thickBot="1" x14ac:dyDescent="0.3">
      <c r="A399" s="7" t="s">
        <v>6</v>
      </c>
      <c r="B399" s="19" t="s">
        <v>20</v>
      </c>
      <c r="C399" s="20" t="s">
        <v>18</v>
      </c>
      <c r="D399" s="21">
        <v>0</v>
      </c>
      <c r="E399" s="21">
        <v>0</v>
      </c>
      <c r="F399" s="21">
        <v>0</v>
      </c>
      <c r="G399" s="21">
        <v>0</v>
      </c>
      <c r="H399" s="22">
        <v>0</v>
      </c>
      <c r="I399" s="23">
        <v>0</v>
      </c>
      <c r="J399" s="21">
        <v>0</v>
      </c>
      <c r="K399" s="21">
        <v>0</v>
      </c>
      <c r="L399" s="21">
        <v>0</v>
      </c>
      <c r="M399" s="21">
        <v>0</v>
      </c>
      <c r="N399" s="21">
        <v>0</v>
      </c>
      <c r="O399" s="21">
        <v>0</v>
      </c>
      <c r="P399" s="21">
        <v>0</v>
      </c>
      <c r="Q399" s="21">
        <v>0</v>
      </c>
      <c r="R399" s="21">
        <v>0</v>
      </c>
      <c r="S399" s="21">
        <v>0</v>
      </c>
      <c r="T399" s="24">
        <v>0</v>
      </c>
      <c r="U399" s="14">
        <v>1.175</v>
      </c>
      <c r="V399" s="44"/>
      <c r="W399" s="39">
        <f t="shared" si="43"/>
        <v>0</v>
      </c>
    </row>
    <row r="400" spans="1:29" ht="13" thickBot="1" x14ac:dyDescent="0.3">
      <c r="A400" s="7" t="s">
        <v>6</v>
      </c>
      <c r="B400" s="25" t="s">
        <v>12</v>
      </c>
      <c r="C400" s="26" t="s">
        <v>18</v>
      </c>
      <c r="D400" s="27">
        <v>73</v>
      </c>
      <c r="E400" s="27">
        <v>732</v>
      </c>
      <c r="F400" s="27">
        <v>623</v>
      </c>
      <c r="G400" s="27">
        <v>494</v>
      </c>
      <c r="H400" s="28">
        <v>2490</v>
      </c>
      <c r="I400" s="29">
        <v>375</v>
      </c>
      <c r="J400" s="27">
        <v>10</v>
      </c>
      <c r="K400" s="27">
        <v>61</v>
      </c>
      <c r="L400" s="27">
        <v>122</v>
      </c>
      <c r="M400" s="27">
        <v>0</v>
      </c>
      <c r="N400" s="27">
        <v>0</v>
      </c>
      <c r="O400" s="27">
        <v>0</v>
      </c>
      <c r="P400" s="27">
        <v>0</v>
      </c>
      <c r="Q400" s="27">
        <v>0</v>
      </c>
      <c r="R400" s="27">
        <v>0</v>
      </c>
      <c r="S400" s="27">
        <v>0</v>
      </c>
      <c r="T400" s="29">
        <v>0</v>
      </c>
      <c r="U400" s="14">
        <v>1.175</v>
      </c>
      <c r="V400" s="43">
        <f>SUM(I395:T398)/SUM(H395:H398)</f>
        <v>0.25761017719218537</v>
      </c>
      <c r="W400" s="39">
        <f t="shared" si="43"/>
        <v>667.4</v>
      </c>
      <c r="X400" s="35">
        <f>W398+W395</f>
        <v>417.125</v>
      </c>
      <c r="Y400" s="35">
        <f>W393</f>
        <v>1.175</v>
      </c>
    </row>
    <row r="401" spans="1:29" x14ac:dyDescent="0.25">
      <c r="A401" s="7" t="s">
        <v>6</v>
      </c>
      <c r="B401" s="8" t="s">
        <v>17</v>
      </c>
      <c r="C401" s="9" t="s">
        <v>21</v>
      </c>
      <c r="D401" s="10">
        <v>0</v>
      </c>
      <c r="E401" s="10">
        <v>0</v>
      </c>
      <c r="F401" s="10">
        <v>0</v>
      </c>
      <c r="G401" s="10">
        <v>0</v>
      </c>
      <c r="H401" s="11">
        <v>10</v>
      </c>
      <c r="I401" s="12">
        <v>10</v>
      </c>
      <c r="J401" s="10">
        <v>0</v>
      </c>
      <c r="K401" s="10">
        <v>0</v>
      </c>
      <c r="L401" s="10">
        <v>0</v>
      </c>
      <c r="M401" s="10">
        <v>0</v>
      </c>
      <c r="N401" s="10">
        <v>0</v>
      </c>
      <c r="O401" s="10">
        <v>0</v>
      </c>
      <c r="P401" s="10">
        <v>0</v>
      </c>
      <c r="Q401" s="10">
        <v>0</v>
      </c>
      <c r="R401" s="10">
        <v>0</v>
      </c>
      <c r="S401" s="10">
        <v>0</v>
      </c>
      <c r="T401" s="13">
        <v>0</v>
      </c>
      <c r="U401" s="14">
        <v>1.175</v>
      </c>
      <c r="W401" s="39">
        <f t="shared" si="43"/>
        <v>11.75</v>
      </c>
      <c r="AB401" s="37" t="str">
        <f t="shared" ref="AB401:AB407" si="48">B401</f>
        <v>Parts-OTC</v>
      </c>
      <c r="AC401" s="36">
        <f t="shared" ref="AC401:AC407" si="49">I401*U401</f>
        <v>11.75</v>
      </c>
    </row>
    <row r="402" spans="1:29" x14ac:dyDescent="0.25">
      <c r="A402" s="7" t="s">
        <v>6</v>
      </c>
      <c r="B402" s="15" t="s">
        <v>66</v>
      </c>
      <c r="C402" s="7" t="s">
        <v>21</v>
      </c>
      <c r="D402" s="14">
        <v>0</v>
      </c>
      <c r="E402" s="14">
        <v>0</v>
      </c>
      <c r="F402" s="14">
        <v>0</v>
      </c>
      <c r="G402" s="14">
        <v>0</v>
      </c>
      <c r="H402" s="16">
        <v>0</v>
      </c>
      <c r="I402" s="17">
        <v>0</v>
      </c>
      <c r="J402" s="14">
        <v>0</v>
      </c>
      <c r="K402" s="14">
        <v>0</v>
      </c>
      <c r="L402" s="14">
        <v>0</v>
      </c>
      <c r="M402" s="14">
        <v>0</v>
      </c>
      <c r="N402" s="14">
        <v>0</v>
      </c>
      <c r="O402" s="14">
        <v>0</v>
      </c>
      <c r="P402" s="14">
        <v>0</v>
      </c>
      <c r="Q402" s="14">
        <v>0</v>
      </c>
      <c r="R402" s="14">
        <v>0</v>
      </c>
      <c r="S402" s="14">
        <v>0</v>
      </c>
      <c r="T402" s="18">
        <v>0</v>
      </c>
      <c r="U402" s="14">
        <v>1.175</v>
      </c>
      <c r="W402" s="39">
        <f t="shared" si="43"/>
        <v>0</v>
      </c>
      <c r="AB402" s="37" t="str">
        <f t="shared" si="48"/>
        <v>CTKS</v>
      </c>
      <c r="AC402" s="36">
        <f t="shared" si="49"/>
        <v>0</v>
      </c>
    </row>
    <row r="403" spans="1:29" x14ac:dyDescent="0.25">
      <c r="A403" s="7" t="s">
        <v>6</v>
      </c>
      <c r="B403" s="15" t="s">
        <v>13</v>
      </c>
      <c r="C403" s="7" t="s">
        <v>21</v>
      </c>
      <c r="D403" s="14">
        <v>0</v>
      </c>
      <c r="E403" s="14">
        <v>0</v>
      </c>
      <c r="F403" s="14">
        <v>0</v>
      </c>
      <c r="G403" s="14">
        <v>0</v>
      </c>
      <c r="H403" s="16">
        <v>154</v>
      </c>
      <c r="I403" s="17">
        <v>110</v>
      </c>
      <c r="J403" s="14">
        <v>45</v>
      </c>
      <c r="K403" s="14">
        <v>0</v>
      </c>
      <c r="L403" s="14">
        <v>0</v>
      </c>
      <c r="M403" s="14">
        <v>0</v>
      </c>
      <c r="N403" s="14">
        <v>0</v>
      </c>
      <c r="O403" s="14">
        <v>0</v>
      </c>
      <c r="P403" s="14">
        <v>0</v>
      </c>
      <c r="Q403" s="14">
        <v>0</v>
      </c>
      <c r="R403" s="14">
        <v>0</v>
      </c>
      <c r="S403" s="14">
        <v>0</v>
      </c>
      <c r="T403" s="18">
        <v>0</v>
      </c>
      <c r="U403" s="14">
        <v>1.175</v>
      </c>
      <c r="W403" s="39">
        <f t="shared" si="43"/>
        <v>182.125</v>
      </c>
      <c r="AB403" s="37" t="str">
        <f t="shared" si="48"/>
        <v>Repair</v>
      </c>
      <c r="AC403" s="36">
        <f t="shared" si="49"/>
        <v>129.25</v>
      </c>
    </row>
    <row r="404" spans="1:29" x14ac:dyDescent="0.25">
      <c r="A404" s="7" t="s">
        <v>6</v>
      </c>
      <c r="B404" s="15" t="s">
        <v>67</v>
      </c>
      <c r="C404" s="7" t="s">
        <v>21</v>
      </c>
      <c r="D404" s="14">
        <v>0</v>
      </c>
      <c r="E404" s="14">
        <v>0</v>
      </c>
      <c r="F404" s="14">
        <v>0</v>
      </c>
      <c r="G404" s="14">
        <v>0</v>
      </c>
      <c r="H404" s="16">
        <v>407</v>
      </c>
      <c r="I404" s="17">
        <v>146</v>
      </c>
      <c r="J404" s="14">
        <v>83</v>
      </c>
      <c r="K404" s="14">
        <v>44</v>
      </c>
      <c r="L404" s="14">
        <v>46</v>
      </c>
      <c r="M404" s="14">
        <v>24</v>
      </c>
      <c r="N404" s="14">
        <v>24</v>
      </c>
      <c r="O404" s="14">
        <v>21</v>
      </c>
      <c r="P404" s="14">
        <v>20</v>
      </c>
      <c r="Q404" s="14">
        <v>0</v>
      </c>
      <c r="R404" s="14">
        <v>0</v>
      </c>
      <c r="S404" s="14">
        <v>0</v>
      </c>
      <c r="T404" s="18">
        <v>0</v>
      </c>
      <c r="U404" s="14">
        <v>1.175</v>
      </c>
      <c r="W404" s="39">
        <f t="shared" si="43"/>
        <v>479.40000000000003</v>
      </c>
      <c r="AB404" s="37" t="str">
        <f t="shared" si="48"/>
        <v>Rental</v>
      </c>
      <c r="AC404" s="36">
        <f t="shared" si="49"/>
        <v>171.55</v>
      </c>
    </row>
    <row r="405" spans="1:29" x14ac:dyDescent="0.25">
      <c r="A405" s="7" t="s">
        <v>6</v>
      </c>
      <c r="B405" s="15" t="s">
        <v>73</v>
      </c>
      <c r="C405" s="7" t="s">
        <v>21</v>
      </c>
      <c r="D405" s="14">
        <v>0</v>
      </c>
      <c r="E405" s="14">
        <v>0</v>
      </c>
      <c r="F405" s="14">
        <v>0</v>
      </c>
      <c r="G405" s="14">
        <v>0</v>
      </c>
      <c r="H405" s="16">
        <v>185</v>
      </c>
      <c r="I405" s="17">
        <v>159</v>
      </c>
      <c r="J405" s="14">
        <v>0</v>
      </c>
      <c r="K405" s="14">
        <v>18</v>
      </c>
      <c r="L405" s="14">
        <v>0</v>
      </c>
      <c r="M405" s="14">
        <v>0</v>
      </c>
      <c r="N405" s="14">
        <v>0</v>
      </c>
      <c r="O405" s="14">
        <v>8</v>
      </c>
      <c r="P405" s="14">
        <v>0</v>
      </c>
      <c r="Q405" s="14">
        <v>0</v>
      </c>
      <c r="R405" s="14">
        <v>0</v>
      </c>
      <c r="S405" s="14">
        <v>0</v>
      </c>
      <c r="T405" s="18">
        <v>0</v>
      </c>
      <c r="U405" s="14">
        <v>1.175</v>
      </c>
      <c r="W405" s="39">
        <f t="shared" si="43"/>
        <v>217.375</v>
      </c>
      <c r="AB405" s="37"/>
    </row>
    <row r="406" spans="1:29" x14ac:dyDescent="0.25">
      <c r="A406" s="7" t="s">
        <v>6</v>
      </c>
      <c r="B406" s="15" t="s">
        <v>19</v>
      </c>
      <c r="C406" s="7" t="s">
        <v>21</v>
      </c>
      <c r="D406" s="14">
        <v>0</v>
      </c>
      <c r="E406" s="14">
        <v>0</v>
      </c>
      <c r="F406" s="14">
        <v>0</v>
      </c>
      <c r="G406" s="14">
        <v>0</v>
      </c>
      <c r="H406" s="16">
        <v>1306</v>
      </c>
      <c r="I406" s="17">
        <v>448</v>
      </c>
      <c r="J406" s="14">
        <v>243</v>
      </c>
      <c r="K406" s="14">
        <v>78</v>
      </c>
      <c r="L406" s="14">
        <v>49</v>
      </c>
      <c r="M406" s="14">
        <v>95</v>
      </c>
      <c r="N406" s="14">
        <v>217</v>
      </c>
      <c r="O406" s="14">
        <v>81</v>
      </c>
      <c r="P406" s="14">
        <v>76</v>
      </c>
      <c r="Q406" s="14">
        <v>0</v>
      </c>
      <c r="R406" s="14">
        <v>0</v>
      </c>
      <c r="S406" s="14">
        <v>0</v>
      </c>
      <c r="T406" s="18">
        <v>20</v>
      </c>
      <c r="U406" s="14">
        <v>1.175</v>
      </c>
      <c r="W406" s="39">
        <f t="shared" si="43"/>
        <v>1535.7250000000001</v>
      </c>
      <c r="AB406" s="37" t="str">
        <f t="shared" si="48"/>
        <v>Maintenance</v>
      </c>
      <c r="AC406" s="36">
        <f t="shared" si="49"/>
        <v>526.4</v>
      </c>
    </row>
    <row r="407" spans="1:29" ht="13" thickBot="1" x14ac:dyDescent="0.3">
      <c r="A407" s="7" t="s">
        <v>6</v>
      </c>
      <c r="B407" s="19" t="s">
        <v>20</v>
      </c>
      <c r="C407" s="20" t="s">
        <v>21</v>
      </c>
      <c r="D407" s="21">
        <v>0</v>
      </c>
      <c r="E407" s="21">
        <v>0</v>
      </c>
      <c r="F407" s="21">
        <v>0</v>
      </c>
      <c r="G407" s="21">
        <v>0</v>
      </c>
      <c r="H407" s="22">
        <v>38</v>
      </c>
      <c r="I407" s="23">
        <v>28</v>
      </c>
      <c r="J407" s="21">
        <v>10</v>
      </c>
      <c r="K407" s="21">
        <v>0</v>
      </c>
      <c r="L407" s="21">
        <v>0</v>
      </c>
      <c r="M407" s="21">
        <v>0</v>
      </c>
      <c r="N407" s="21">
        <v>0</v>
      </c>
      <c r="O407" s="21">
        <v>0</v>
      </c>
      <c r="P407" s="21">
        <v>0</v>
      </c>
      <c r="Q407" s="21">
        <v>0</v>
      </c>
      <c r="R407" s="21">
        <v>0</v>
      </c>
      <c r="S407" s="21">
        <v>0</v>
      </c>
      <c r="T407" s="24">
        <v>0</v>
      </c>
      <c r="U407" s="14">
        <v>1.175</v>
      </c>
      <c r="W407" s="39">
        <f t="shared" si="43"/>
        <v>44.65</v>
      </c>
      <c r="AB407" s="37" t="str">
        <f t="shared" si="48"/>
        <v>Startup</v>
      </c>
      <c r="AC407" s="36">
        <f t="shared" si="49"/>
        <v>32.9</v>
      </c>
    </row>
    <row r="408" spans="1:29" ht="13" thickBot="1" x14ac:dyDescent="0.3">
      <c r="A408" s="20" t="s">
        <v>6</v>
      </c>
      <c r="B408" s="25" t="s">
        <v>12</v>
      </c>
      <c r="C408" s="26" t="s">
        <v>21</v>
      </c>
      <c r="D408" s="27">
        <v>0</v>
      </c>
      <c r="E408" s="27">
        <v>0</v>
      </c>
      <c r="F408" s="27">
        <v>0</v>
      </c>
      <c r="G408" s="27">
        <v>0</v>
      </c>
      <c r="H408" s="28">
        <v>2100</v>
      </c>
      <c r="I408" s="29">
        <v>901</v>
      </c>
      <c r="J408" s="27">
        <v>381</v>
      </c>
      <c r="K408" s="27">
        <v>140</v>
      </c>
      <c r="L408" s="27">
        <v>95</v>
      </c>
      <c r="M408" s="27">
        <v>119</v>
      </c>
      <c r="N408" s="27">
        <v>241</v>
      </c>
      <c r="O408" s="27">
        <v>110</v>
      </c>
      <c r="P408" s="27">
        <v>96</v>
      </c>
      <c r="Q408" s="27">
        <v>0</v>
      </c>
      <c r="R408" s="27">
        <v>0</v>
      </c>
      <c r="S408" s="27">
        <v>0</v>
      </c>
      <c r="T408" s="29">
        <v>20</v>
      </c>
      <c r="U408" s="14">
        <v>1.175</v>
      </c>
      <c r="W408" s="39">
        <f t="shared" si="43"/>
        <v>2471.0250000000001</v>
      </c>
      <c r="X408" s="35">
        <f>W407+W406+W403</f>
        <v>1762.5000000000002</v>
      </c>
      <c r="Y408" s="35">
        <f>W401</f>
        <v>11.75</v>
      </c>
      <c r="Z408" s="40">
        <f>V399/X408</f>
        <v>0</v>
      </c>
      <c r="AA408" s="40">
        <f>IF((Y408=0),0,Y400/Y408)</f>
        <v>0.1</v>
      </c>
      <c r="AB408" s="48"/>
      <c r="AC408" s="48"/>
    </row>
    <row r="409" spans="1:29" ht="13" thickBot="1" x14ac:dyDescent="0.3">
      <c r="A409" s="9" t="s">
        <v>5</v>
      </c>
      <c r="B409" s="30" t="s">
        <v>15</v>
      </c>
      <c r="C409" s="31" t="s">
        <v>46</v>
      </c>
      <c r="D409" s="32" t="s">
        <v>47</v>
      </c>
      <c r="E409" s="53">
        <v>45689</v>
      </c>
      <c r="F409" s="53">
        <v>45717</v>
      </c>
      <c r="G409" s="53">
        <v>45748</v>
      </c>
      <c r="H409" s="28" t="s">
        <v>12</v>
      </c>
      <c r="I409" s="54">
        <v>45778</v>
      </c>
      <c r="J409" s="53">
        <v>45809</v>
      </c>
      <c r="K409" s="53">
        <v>45839</v>
      </c>
      <c r="L409" s="53">
        <v>45870</v>
      </c>
      <c r="M409" s="53">
        <v>45901</v>
      </c>
      <c r="N409" s="53">
        <v>45931</v>
      </c>
      <c r="O409" s="53">
        <v>45962</v>
      </c>
      <c r="P409" s="53">
        <v>45992</v>
      </c>
      <c r="Q409" s="53">
        <v>46023</v>
      </c>
      <c r="R409" s="53">
        <v>46054</v>
      </c>
      <c r="S409" s="53">
        <v>46082</v>
      </c>
      <c r="T409" s="55">
        <v>46113</v>
      </c>
      <c r="U409" s="14">
        <v>1.175</v>
      </c>
      <c r="V409" s="14" t="s">
        <v>183</v>
      </c>
      <c r="W409" s="39">
        <f t="shared" si="43"/>
        <v>647840.95000000007</v>
      </c>
      <c r="X409" s="14" t="s">
        <v>37</v>
      </c>
      <c r="Y409" s="14" t="s">
        <v>38</v>
      </c>
      <c r="AB409" s="48"/>
      <c r="AC409" s="48"/>
    </row>
    <row r="410" spans="1:29" x14ac:dyDescent="0.25">
      <c r="A410" s="7" t="s">
        <v>5</v>
      </c>
      <c r="B410" s="8" t="s">
        <v>17</v>
      </c>
      <c r="C410" s="9" t="s">
        <v>18</v>
      </c>
      <c r="D410" s="10">
        <v>0</v>
      </c>
      <c r="E410" s="10">
        <v>0</v>
      </c>
      <c r="F410" s="10">
        <v>0</v>
      </c>
      <c r="G410" s="10">
        <v>2</v>
      </c>
      <c r="H410" s="11">
        <v>3097</v>
      </c>
      <c r="I410" s="12">
        <v>3013</v>
      </c>
      <c r="J410" s="10">
        <v>82</v>
      </c>
      <c r="K410" s="10">
        <v>0</v>
      </c>
      <c r="L410" s="10">
        <v>0</v>
      </c>
      <c r="M410" s="10">
        <v>0</v>
      </c>
      <c r="N410" s="10">
        <v>0</v>
      </c>
      <c r="O410" s="10">
        <v>0</v>
      </c>
      <c r="P410" s="10">
        <v>0</v>
      </c>
      <c r="Q410" s="10">
        <v>0</v>
      </c>
      <c r="R410" s="10">
        <v>0</v>
      </c>
      <c r="S410" s="10">
        <v>0</v>
      </c>
      <c r="T410" s="13">
        <v>0</v>
      </c>
      <c r="U410" s="14">
        <v>1.175</v>
      </c>
      <c r="V410" s="42">
        <f>SUM(I410:T410)/H410</f>
        <v>0.99935421375524702</v>
      </c>
      <c r="W410" s="39">
        <f t="shared" si="43"/>
        <v>3636.625</v>
      </c>
    </row>
    <row r="411" spans="1:29" x14ac:dyDescent="0.25">
      <c r="A411" s="7" t="s">
        <v>5</v>
      </c>
      <c r="B411" s="15" t="s">
        <v>66</v>
      </c>
      <c r="C411" s="7" t="s">
        <v>18</v>
      </c>
      <c r="D411" s="14">
        <v>0</v>
      </c>
      <c r="E411" s="14">
        <v>0</v>
      </c>
      <c r="F411" s="14">
        <v>8</v>
      </c>
      <c r="G411" s="14">
        <v>73</v>
      </c>
      <c r="H411" s="16">
        <v>242</v>
      </c>
      <c r="I411" s="17">
        <v>42</v>
      </c>
      <c r="J411" s="14">
        <v>57</v>
      </c>
      <c r="K411" s="14">
        <v>62</v>
      </c>
      <c r="L411" s="14">
        <v>0</v>
      </c>
      <c r="M411" s="14">
        <v>0</v>
      </c>
      <c r="N411" s="14">
        <v>0</v>
      </c>
      <c r="O411" s="14">
        <v>0</v>
      </c>
      <c r="P411" s="14">
        <v>0</v>
      </c>
      <c r="Q411" s="14">
        <v>0</v>
      </c>
      <c r="R411" s="14">
        <v>0</v>
      </c>
      <c r="S411" s="14">
        <v>0</v>
      </c>
      <c r="T411" s="18">
        <v>0</v>
      </c>
      <c r="U411" s="14">
        <v>1.175</v>
      </c>
      <c r="V411" s="44"/>
      <c r="W411" s="39">
        <f t="shared" si="43"/>
        <v>189.17500000000001</v>
      </c>
    </row>
    <row r="412" spans="1:29" x14ac:dyDescent="0.25">
      <c r="A412" s="7" t="s">
        <v>5</v>
      </c>
      <c r="B412" s="15" t="s">
        <v>13</v>
      </c>
      <c r="C412" s="7" t="s">
        <v>18</v>
      </c>
      <c r="D412" s="14">
        <v>1356</v>
      </c>
      <c r="E412" s="14">
        <v>274</v>
      </c>
      <c r="F412" s="14">
        <v>744</v>
      </c>
      <c r="G412" s="14">
        <v>501</v>
      </c>
      <c r="H412" s="16">
        <v>5689</v>
      </c>
      <c r="I412" s="17">
        <v>1565</v>
      </c>
      <c r="J412" s="14">
        <v>643</v>
      </c>
      <c r="K412" s="14">
        <v>256</v>
      </c>
      <c r="L412" s="14">
        <v>158</v>
      </c>
      <c r="M412" s="14">
        <v>149</v>
      </c>
      <c r="N412" s="14">
        <v>32</v>
      </c>
      <c r="O412" s="14">
        <v>11</v>
      </c>
      <c r="P412" s="14">
        <v>0</v>
      </c>
      <c r="Q412" s="14">
        <v>0</v>
      </c>
      <c r="R412" s="14">
        <v>0</v>
      </c>
      <c r="S412" s="14">
        <v>0</v>
      </c>
      <c r="T412" s="18">
        <v>0</v>
      </c>
      <c r="U412" s="14">
        <v>1.175</v>
      </c>
      <c r="V412" s="41"/>
      <c r="W412" s="39">
        <f t="shared" si="43"/>
        <v>3306.4500000000003</v>
      </c>
    </row>
    <row r="413" spans="1:29" x14ac:dyDescent="0.25">
      <c r="A413" s="7" t="s">
        <v>5</v>
      </c>
      <c r="B413" s="15" t="s">
        <v>67</v>
      </c>
      <c r="C413" s="7" t="s">
        <v>18</v>
      </c>
      <c r="D413" s="14">
        <v>0</v>
      </c>
      <c r="E413" s="14">
        <v>206</v>
      </c>
      <c r="F413" s="14">
        <v>0</v>
      </c>
      <c r="G413" s="14">
        <v>727</v>
      </c>
      <c r="H413" s="16">
        <v>7584</v>
      </c>
      <c r="I413" s="17">
        <v>3556</v>
      </c>
      <c r="J413" s="14">
        <v>2143</v>
      </c>
      <c r="K413" s="14">
        <v>83</v>
      </c>
      <c r="L413" s="14">
        <v>124</v>
      </c>
      <c r="M413" s="14">
        <v>251</v>
      </c>
      <c r="N413" s="14">
        <v>54</v>
      </c>
      <c r="O413" s="14">
        <v>76</v>
      </c>
      <c r="P413" s="14">
        <v>6</v>
      </c>
      <c r="Q413" s="14">
        <v>0</v>
      </c>
      <c r="R413" s="14">
        <v>11</v>
      </c>
      <c r="S413" s="14">
        <v>347</v>
      </c>
      <c r="T413" s="18">
        <v>0</v>
      </c>
      <c r="U413" s="14">
        <v>1.175</v>
      </c>
      <c r="V413" s="41"/>
      <c r="W413" s="39">
        <f t="shared" si="43"/>
        <v>7814.9250000000002</v>
      </c>
    </row>
    <row r="414" spans="1:29" x14ac:dyDescent="0.25">
      <c r="A414" s="7" t="s">
        <v>5</v>
      </c>
      <c r="B414" s="15" t="s">
        <v>73</v>
      </c>
      <c r="C414" s="7" t="s">
        <v>18</v>
      </c>
      <c r="D414" s="14">
        <v>620</v>
      </c>
      <c r="E414" s="14">
        <v>369</v>
      </c>
      <c r="F414" s="14">
        <v>943</v>
      </c>
      <c r="G414" s="14">
        <v>192</v>
      </c>
      <c r="H414" s="16">
        <v>10295</v>
      </c>
      <c r="I414" s="17">
        <v>3355</v>
      </c>
      <c r="J414" s="14">
        <v>2008</v>
      </c>
      <c r="K414" s="14">
        <v>776</v>
      </c>
      <c r="L414" s="14">
        <v>251</v>
      </c>
      <c r="M414" s="14">
        <v>586</v>
      </c>
      <c r="N414" s="14">
        <v>568</v>
      </c>
      <c r="O414" s="14">
        <v>135</v>
      </c>
      <c r="P414" s="14">
        <v>332</v>
      </c>
      <c r="Q414" s="14">
        <v>21</v>
      </c>
      <c r="R414" s="14">
        <v>0</v>
      </c>
      <c r="S414" s="14">
        <v>139</v>
      </c>
      <c r="T414" s="18">
        <v>0</v>
      </c>
      <c r="U414" s="14">
        <v>1.175</v>
      </c>
      <c r="V414" s="41"/>
      <c r="W414" s="39">
        <f t="shared" si="43"/>
        <v>9600.9250000000011</v>
      </c>
    </row>
    <row r="415" spans="1:29" x14ac:dyDescent="0.25">
      <c r="A415" s="7" t="s">
        <v>5</v>
      </c>
      <c r="B415" s="15" t="s">
        <v>19</v>
      </c>
      <c r="C415" s="7" t="s">
        <v>18</v>
      </c>
      <c r="D415" s="14">
        <v>637</v>
      </c>
      <c r="E415" s="14">
        <v>250</v>
      </c>
      <c r="F415" s="14">
        <v>299</v>
      </c>
      <c r="G415" s="14">
        <v>85</v>
      </c>
      <c r="H415" s="16">
        <v>3851</v>
      </c>
      <c r="I415" s="17">
        <v>1356</v>
      </c>
      <c r="J415" s="14">
        <v>518</v>
      </c>
      <c r="K415" s="14">
        <v>206</v>
      </c>
      <c r="L415" s="14">
        <v>152</v>
      </c>
      <c r="M415" s="14">
        <v>110</v>
      </c>
      <c r="N415" s="14">
        <v>31</v>
      </c>
      <c r="O415" s="14">
        <v>8</v>
      </c>
      <c r="P415" s="14">
        <v>55</v>
      </c>
      <c r="Q415" s="14">
        <v>137</v>
      </c>
      <c r="R415" s="14">
        <v>7</v>
      </c>
      <c r="S415" s="14">
        <v>0</v>
      </c>
      <c r="T415" s="18">
        <v>0</v>
      </c>
      <c r="U415" s="14">
        <v>1.175</v>
      </c>
      <c r="V415" s="41"/>
      <c r="W415" s="39">
        <f t="shared" si="43"/>
        <v>3031.5</v>
      </c>
    </row>
    <row r="416" spans="1:29" ht="13" thickBot="1" x14ac:dyDescent="0.3">
      <c r="A416" s="7" t="s">
        <v>5</v>
      </c>
      <c r="B416" s="19" t="s">
        <v>20</v>
      </c>
      <c r="C416" s="20" t="s">
        <v>18</v>
      </c>
      <c r="D416" s="21">
        <v>1</v>
      </c>
      <c r="E416" s="21">
        <v>0</v>
      </c>
      <c r="F416" s="21">
        <v>0</v>
      </c>
      <c r="G416" s="21">
        <v>0</v>
      </c>
      <c r="H416" s="22">
        <v>112</v>
      </c>
      <c r="I416" s="23">
        <v>3</v>
      </c>
      <c r="J416" s="21">
        <v>51</v>
      </c>
      <c r="K416" s="21">
        <v>24</v>
      </c>
      <c r="L416" s="21">
        <v>25</v>
      </c>
      <c r="M416" s="21">
        <v>5</v>
      </c>
      <c r="N416" s="21">
        <v>3</v>
      </c>
      <c r="O416" s="21">
        <v>0</v>
      </c>
      <c r="P416" s="21">
        <v>0</v>
      </c>
      <c r="Q416" s="21">
        <v>0</v>
      </c>
      <c r="R416" s="21">
        <v>0</v>
      </c>
      <c r="S416" s="21">
        <v>0</v>
      </c>
      <c r="T416" s="24">
        <v>0</v>
      </c>
      <c r="U416" s="14">
        <v>1.175</v>
      </c>
      <c r="V416" s="44"/>
      <c r="W416" s="39">
        <f t="shared" si="43"/>
        <v>130.42500000000001</v>
      </c>
    </row>
    <row r="417" spans="1:29" ht="13" thickBot="1" x14ac:dyDescent="0.3">
      <c r="A417" s="7" t="s">
        <v>5</v>
      </c>
      <c r="B417" s="25" t="s">
        <v>12</v>
      </c>
      <c r="C417" s="26" t="s">
        <v>18</v>
      </c>
      <c r="D417" s="27">
        <v>2615</v>
      </c>
      <c r="E417" s="27">
        <v>1099</v>
      </c>
      <c r="F417" s="27">
        <v>1994</v>
      </c>
      <c r="G417" s="27">
        <v>1578</v>
      </c>
      <c r="H417" s="28">
        <v>30867</v>
      </c>
      <c r="I417" s="29">
        <v>12889</v>
      </c>
      <c r="J417" s="27">
        <v>5502</v>
      </c>
      <c r="K417" s="27">
        <v>1406</v>
      </c>
      <c r="L417" s="27">
        <v>709</v>
      </c>
      <c r="M417" s="27">
        <v>1101</v>
      </c>
      <c r="N417" s="27">
        <v>688</v>
      </c>
      <c r="O417" s="27">
        <v>230</v>
      </c>
      <c r="P417" s="27">
        <v>394</v>
      </c>
      <c r="Q417" s="27">
        <v>158</v>
      </c>
      <c r="R417" s="27">
        <v>19</v>
      </c>
      <c r="S417" s="27">
        <v>485</v>
      </c>
      <c r="T417" s="29">
        <v>0</v>
      </c>
      <c r="U417" s="14">
        <v>1.175</v>
      </c>
      <c r="V417" s="43">
        <f>SUM(I412:T415)/SUM(H412:H415)</f>
        <v>0.73729895328057182</v>
      </c>
      <c r="W417" s="39">
        <f t="shared" si="43"/>
        <v>27707.674999999999</v>
      </c>
      <c r="X417" s="35">
        <f>W415+W412</f>
        <v>6337.9500000000007</v>
      </c>
      <c r="Y417" s="35">
        <f>W410</f>
        <v>3636.625</v>
      </c>
    </row>
    <row r="418" spans="1:29" x14ac:dyDescent="0.25">
      <c r="A418" s="7" t="s">
        <v>5</v>
      </c>
      <c r="B418" s="8" t="s">
        <v>17</v>
      </c>
      <c r="C418" s="9" t="s">
        <v>21</v>
      </c>
      <c r="D418" s="10">
        <v>0</v>
      </c>
      <c r="E418" s="10">
        <v>0</v>
      </c>
      <c r="F418" s="10">
        <v>0</v>
      </c>
      <c r="G418" s="10">
        <v>0</v>
      </c>
      <c r="H418" s="11">
        <v>73</v>
      </c>
      <c r="I418" s="12">
        <v>58</v>
      </c>
      <c r="J418" s="10">
        <v>8</v>
      </c>
      <c r="K418" s="10">
        <v>7</v>
      </c>
      <c r="L418" s="10">
        <v>0</v>
      </c>
      <c r="M418" s="10">
        <v>0</v>
      </c>
      <c r="N418" s="10">
        <v>0</v>
      </c>
      <c r="O418" s="10">
        <v>0</v>
      </c>
      <c r="P418" s="10">
        <v>0</v>
      </c>
      <c r="Q418" s="10">
        <v>0</v>
      </c>
      <c r="R418" s="10">
        <v>0</v>
      </c>
      <c r="S418" s="10">
        <v>0</v>
      </c>
      <c r="T418" s="13">
        <v>0</v>
      </c>
      <c r="U418" s="14">
        <v>1.175</v>
      </c>
      <c r="W418" s="39">
        <f t="shared" si="43"/>
        <v>85.775000000000006</v>
      </c>
      <c r="AB418" s="37" t="str">
        <f t="shared" ref="AB418:AB424" si="50">B418</f>
        <v>Parts-OTC</v>
      </c>
      <c r="AC418" s="36">
        <f t="shared" ref="AC418:AC424" si="51">I418*U418</f>
        <v>68.150000000000006</v>
      </c>
    </row>
    <row r="419" spans="1:29" x14ac:dyDescent="0.25">
      <c r="A419" s="7" t="s">
        <v>5</v>
      </c>
      <c r="B419" s="15" t="s">
        <v>66</v>
      </c>
      <c r="C419" s="7" t="s">
        <v>21</v>
      </c>
      <c r="D419" s="14">
        <v>0</v>
      </c>
      <c r="E419" s="14">
        <v>0</v>
      </c>
      <c r="F419" s="14">
        <v>0</v>
      </c>
      <c r="G419" s="14">
        <v>0</v>
      </c>
      <c r="H419" s="16">
        <v>347</v>
      </c>
      <c r="I419" s="17">
        <v>10</v>
      </c>
      <c r="J419" s="14">
        <v>26</v>
      </c>
      <c r="K419" s="14">
        <v>299</v>
      </c>
      <c r="L419" s="14">
        <v>12</v>
      </c>
      <c r="M419" s="14">
        <v>0</v>
      </c>
      <c r="N419" s="14">
        <v>0</v>
      </c>
      <c r="O419" s="14">
        <v>0</v>
      </c>
      <c r="P419" s="14">
        <v>0</v>
      </c>
      <c r="Q419" s="14">
        <v>0</v>
      </c>
      <c r="R419" s="14">
        <v>0</v>
      </c>
      <c r="S419" s="14">
        <v>0</v>
      </c>
      <c r="T419" s="18">
        <v>0</v>
      </c>
      <c r="U419" s="14">
        <v>1.175</v>
      </c>
      <c r="W419" s="39">
        <f t="shared" si="43"/>
        <v>407.72500000000002</v>
      </c>
      <c r="AB419" s="37" t="str">
        <f t="shared" si="50"/>
        <v>CTKS</v>
      </c>
      <c r="AC419" s="36">
        <f t="shared" si="51"/>
        <v>11.75</v>
      </c>
    </row>
    <row r="420" spans="1:29" x14ac:dyDescent="0.25">
      <c r="A420" s="7" t="s">
        <v>5</v>
      </c>
      <c r="B420" s="15" t="s">
        <v>13</v>
      </c>
      <c r="C420" s="7" t="s">
        <v>21</v>
      </c>
      <c r="D420" s="14">
        <v>0</v>
      </c>
      <c r="E420" s="14">
        <v>0</v>
      </c>
      <c r="F420" s="14">
        <v>0</v>
      </c>
      <c r="G420" s="14">
        <v>0</v>
      </c>
      <c r="H420" s="16">
        <v>1364</v>
      </c>
      <c r="I420" s="17">
        <v>984</v>
      </c>
      <c r="J420" s="14">
        <v>249</v>
      </c>
      <c r="K420" s="14">
        <v>76</v>
      </c>
      <c r="L420" s="14">
        <v>36</v>
      </c>
      <c r="M420" s="14">
        <v>18</v>
      </c>
      <c r="N420" s="14">
        <v>0</v>
      </c>
      <c r="O420" s="14">
        <v>1</v>
      </c>
      <c r="P420" s="14">
        <v>0</v>
      </c>
      <c r="Q420" s="14">
        <v>0</v>
      </c>
      <c r="R420" s="14">
        <v>0</v>
      </c>
      <c r="S420" s="14">
        <v>0</v>
      </c>
      <c r="T420" s="18">
        <v>0</v>
      </c>
      <c r="U420" s="14">
        <v>1.175</v>
      </c>
      <c r="W420" s="39">
        <f t="shared" ref="W420:W483" si="52">SUM(I420:T420)*U420</f>
        <v>1602.7</v>
      </c>
      <c r="AB420" s="37" t="str">
        <f t="shared" si="50"/>
        <v>Repair</v>
      </c>
      <c r="AC420" s="36">
        <f t="shared" si="51"/>
        <v>1156.2</v>
      </c>
    </row>
    <row r="421" spans="1:29" x14ac:dyDescent="0.25">
      <c r="A421" s="7" t="s">
        <v>5</v>
      </c>
      <c r="B421" s="15" t="s">
        <v>67</v>
      </c>
      <c r="C421" s="7" t="s">
        <v>21</v>
      </c>
      <c r="D421" s="14">
        <v>0</v>
      </c>
      <c r="E421" s="14">
        <v>0</v>
      </c>
      <c r="F421" s="14">
        <v>0</v>
      </c>
      <c r="G421" s="14">
        <v>0</v>
      </c>
      <c r="H421" s="16">
        <v>6659</v>
      </c>
      <c r="I421" s="17">
        <v>1307</v>
      </c>
      <c r="J421" s="14">
        <v>1148</v>
      </c>
      <c r="K421" s="14">
        <v>1124</v>
      </c>
      <c r="L421" s="14">
        <v>1157</v>
      </c>
      <c r="M421" s="14">
        <v>909</v>
      </c>
      <c r="N421" s="14">
        <v>412</v>
      </c>
      <c r="O421" s="14">
        <v>137</v>
      </c>
      <c r="P421" s="14">
        <v>149</v>
      </c>
      <c r="Q421" s="14">
        <v>83</v>
      </c>
      <c r="R421" s="14">
        <v>78</v>
      </c>
      <c r="S421" s="14">
        <v>80</v>
      </c>
      <c r="T421" s="18">
        <v>75</v>
      </c>
      <c r="U421" s="14">
        <v>1.175</v>
      </c>
      <c r="W421" s="39">
        <f t="shared" si="52"/>
        <v>7824.3250000000007</v>
      </c>
      <c r="AB421" s="37" t="str">
        <f t="shared" si="50"/>
        <v>Rental</v>
      </c>
      <c r="AC421" s="36">
        <f t="shared" si="51"/>
        <v>1535.7250000000001</v>
      </c>
    </row>
    <row r="422" spans="1:29" x14ac:dyDescent="0.25">
      <c r="A422" s="7" t="s">
        <v>5</v>
      </c>
      <c r="B422" s="15" t="s">
        <v>73</v>
      </c>
      <c r="C422" s="7" t="s">
        <v>21</v>
      </c>
      <c r="D422" s="14">
        <v>0</v>
      </c>
      <c r="E422" s="14">
        <v>0</v>
      </c>
      <c r="F422" s="14">
        <v>0</v>
      </c>
      <c r="G422" s="14">
        <v>0</v>
      </c>
      <c r="H422" s="16">
        <v>2397</v>
      </c>
      <c r="I422" s="17">
        <v>988</v>
      </c>
      <c r="J422" s="14">
        <v>521</v>
      </c>
      <c r="K422" s="14">
        <v>293</v>
      </c>
      <c r="L422" s="14">
        <v>466</v>
      </c>
      <c r="M422" s="14">
        <v>24</v>
      </c>
      <c r="N422" s="14">
        <v>12</v>
      </c>
      <c r="O422" s="14">
        <v>1</v>
      </c>
      <c r="P422" s="14">
        <v>92</v>
      </c>
      <c r="Q422" s="14">
        <v>0</v>
      </c>
      <c r="R422" s="14">
        <v>0</v>
      </c>
      <c r="S422" s="14">
        <v>0</v>
      </c>
      <c r="T422" s="18">
        <v>0</v>
      </c>
      <c r="U422" s="14">
        <v>1.175</v>
      </c>
      <c r="W422" s="39">
        <f t="shared" si="52"/>
        <v>2816.4749999999999</v>
      </c>
      <c r="AB422" s="37"/>
    </row>
    <row r="423" spans="1:29" x14ac:dyDescent="0.25">
      <c r="A423" s="7" t="s">
        <v>5</v>
      </c>
      <c r="B423" s="15" t="s">
        <v>19</v>
      </c>
      <c r="C423" s="7" t="s">
        <v>21</v>
      </c>
      <c r="D423" s="14">
        <v>0</v>
      </c>
      <c r="E423" s="14">
        <v>0</v>
      </c>
      <c r="F423" s="14">
        <v>0</v>
      </c>
      <c r="G423" s="14">
        <v>0</v>
      </c>
      <c r="H423" s="16">
        <v>6755</v>
      </c>
      <c r="I423" s="17">
        <v>1595</v>
      </c>
      <c r="J423" s="14">
        <v>859</v>
      </c>
      <c r="K423" s="14">
        <v>573</v>
      </c>
      <c r="L423" s="14">
        <v>570</v>
      </c>
      <c r="M423" s="14">
        <v>757</v>
      </c>
      <c r="N423" s="14">
        <v>1376</v>
      </c>
      <c r="O423" s="14">
        <v>714</v>
      </c>
      <c r="P423" s="14">
        <v>284</v>
      </c>
      <c r="Q423" s="14">
        <v>1</v>
      </c>
      <c r="R423" s="14">
        <v>6</v>
      </c>
      <c r="S423" s="14">
        <v>3</v>
      </c>
      <c r="T423" s="18">
        <v>17</v>
      </c>
      <c r="U423" s="14">
        <v>1.175</v>
      </c>
      <c r="W423" s="39">
        <f t="shared" si="52"/>
        <v>7937.125</v>
      </c>
      <c r="AB423" s="37" t="str">
        <f t="shared" si="50"/>
        <v>Maintenance</v>
      </c>
      <c r="AC423" s="36">
        <f t="shared" si="51"/>
        <v>1874.125</v>
      </c>
    </row>
    <row r="424" spans="1:29" ht="13" thickBot="1" x14ac:dyDescent="0.3">
      <c r="A424" s="7" t="s">
        <v>5</v>
      </c>
      <c r="B424" s="19" t="s">
        <v>20</v>
      </c>
      <c r="C424" s="20" t="s">
        <v>21</v>
      </c>
      <c r="D424" s="21">
        <v>0</v>
      </c>
      <c r="E424" s="21">
        <v>0</v>
      </c>
      <c r="F424" s="21">
        <v>0</v>
      </c>
      <c r="G424" s="21">
        <v>0</v>
      </c>
      <c r="H424" s="22">
        <v>557</v>
      </c>
      <c r="I424" s="23">
        <v>182</v>
      </c>
      <c r="J424" s="21">
        <v>228</v>
      </c>
      <c r="K424" s="21">
        <v>70</v>
      </c>
      <c r="L424" s="21">
        <v>20</v>
      </c>
      <c r="M424" s="21">
        <v>12</v>
      </c>
      <c r="N424" s="21">
        <v>0</v>
      </c>
      <c r="O424" s="21">
        <v>0</v>
      </c>
      <c r="P424" s="21">
        <v>42</v>
      </c>
      <c r="Q424" s="21">
        <v>0</v>
      </c>
      <c r="R424" s="21">
        <v>3</v>
      </c>
      <c r="S424" s="21">
        <v>0</v>
      </c>
      <c r="T424" s="24">
        <v>0</v>
      </c>
      <c r="U424" s="14">
        <v>1.175</v>
      </c>
      <c r="W424" s="39">
        <f t="shared" si="52"/>
        <v>654.47500000000002</v>
      </c>
      <c r="AB424" s="37" t="str">
        <f t="shared" si="50"/>
        <v>Startup</v>
      </c>
      <c r="AC424" s="36">
        <f t="shared" si="51"/>
        <v>213.85</v>
      </c>
    </row>
    <row r="425" spans="1:29" ht="13" thickBot="1" x14ac:dyDescent="0.3">
      <c r="A425" s="20" t="s">
        <v>5</v>
      </c>
      <c r="B425" s="25" t="s">
        <v>12</v>
      </c>
      <c r="C425" s="26" t="s">
        <v>21</v>
      </c>
      <c r="D425" s="27">
        <v>0</v>
      </c>
      <c r="E425" s="27">
        <v>0</v>
      </c>
      <c r="F425" s="27">
        <v>0</v>
      </c>
      <c r="G425" s="27">
        <v>0</v>
      </c>
      <c r="H425" s="28">
        <v>18152</v>
      </c>
      <c r="I425" s="29">
        <v>5124</v>
      </c>
      <c r="J425" s="27">
        <v>3039</v>
      </c>
      <c r="K425" s="27">
        <v>2442</v>
      </c>
      <c r="L425" s="27">
        <v>2262</v>
      </c>
      <c r="M425" s="27">
        <v>1720</v>
      </c>
      <c r="N425" s="27">
        <v>1799</v>
      </c>
      <c r="O425" s="27">
        <v>854</v>
      </c>
      <c r="P425" s="27">
        <v>567</v>
      </c>
      <c r="Q425" s="27">
        <v>83</v>
      </c>
      <c r="R425" s="27">
        <v>87</v>
      </c>
      <c r="S425" s="27">
        <v>83</v>
      </c>
      <c r="T425" s="29">
        <v>92</v>
      </c>
      <c r="U425" s="14">
        <v>1.175</v>
      </c>
      <c r="W425" s="39">
        <f t="shared" si="52"/>
        <v>21328.600000000002</v>
      </c>
      <c r="X425" s="35">
        <f>W424+W423+W420</f>
        <v>10194.300000000001</v>
      </c>
      <c r="Y425" s="35">
        <f>W418</f>
        <v>85.775000000000006</v>
      </c>
      <c r="Z425" s="40">
        <f>V416/X425</f>
        <v>0</v>
      </c>
      <c r="AA425" s="40">
        <f>IF((Y425=0),0,Y417/Y425)</f>
        <v>42.397260273972599</v>
      </c>
      <c r="AB425" s="48"/>
      <c r="AC425" s="48"/>
    </row>
    <row r="426" spans="1:29" ht="13" thickBot="1" x14ac:dyDescent="0.3">
      <c r="A426" s="9" t="s">
        <v>30</v>
      </c>
      <c r="B426" s="30" t="s">
        <v>15</v>
      </c>
      <c r="C426" s="31" t="s">
        <v>46</v>
      </c>
      <c r="D426" s="32" t="s">
        <v>47</v>
      </c>
      <c r="E426" s="53" t="s">
        <v>116</v>
      </c>
      <c r="F426" s="53" t="s">
        <v>117</v>
      </c>
      <c r="G426" s="53" t="s">
        <v>118</v>
      </c>
      <c r="H426" s="28" t="s">
        <v>12</v>
      </c>
      <c r="I426" s="54" t="s">
        <v>119</v>
      </c>
      <c r="J426" s="53" t="s">
        <v>174</v>
      </c>
      <c r="K426" s="53" t="s">
        <v>175</v>
      </c>
      <c r="L426" s="53" t="s">
        <v>99</v>
      </c>
      <c r="M426" s="53" t="s">
        <v>100</v>
      </c>
      <c r="N426" s="53" t="s">
        <v>101</v>
      </c>
      <c r="O426" s="53" t="s">
        <v>102</v>
      </c>
      <c r="P426" s="53" t="s">
        <v>103</v>
      </c>
      <c r="Q426" s="53" t="s">
        <v>104</v>
      </c>
      <c r="R426" s="53" t="s">
        <v>105</v>
      </c>
      <c r="S426" s="53" t="s">
        <v>106</v>
      </c>
      <c r="T426" s="55" t="s">
        <v>107</v>
      </c>
      <c r="U426" s="14">
        <v>1.2543345350999999</v>
      </c>
      <c r="V426" s="14" t="s">
        <v>183</v>
      </c>
      <c r="W426" s="39">
        <f t="shared" si="52"/>
        <v>0</v>
      </c>
      <c r="X426" s="14" t="s">
        <v>37</v>
      </c>
      <c r="Y426" s="14" t="s">
        <v>38</v>
      </c>
      <c r="AB426" s="48"/>
      <c r="AC426" s="48"/>
    </row>
    <row r="427" spans="1:29" x14ac:dyDescent="0.25">
      <c r="A427" s="7" t="s">
        <v>30</v>
      </c>
      <c r="B427" s="8" t="s">
        <v>17</v>
      </c>
      <c r="C427" s="9" t="s">
        <v>18</v>
      </c>
      <c r="D427" s="10">
        <v>0</v>
      </c>
      <c r="E427" s="10">
        <v>0</v>
      </c>
      <c r="F427" s="10">
        <v>0</v>
      </c>
      <c r="G427" s="10">
        <v>88</v>
      </c>
      <c r="H427" s="11">
        <v>327</v>
      </c>
      <c r="I427" s="12">
        <v>172</v>
      </c>
      <c r="J427" s="10">
        <v>43</v>
      </c>
      <c r="K427" s="10">
        <v>19</v>
      </c>
      <c r="L427" s="10">
        <v>2</v>
      </c>
      <c r="M427" s="10">
        <v>3</v>
      </c>
      <c r="N427" s="10">
        <v>0</v>
      </c>
      <c r="O427" s="10">
        <v>0</v>
      </c>
      <c r="P427" s="10">
        <v>0</v>
      </c>
      <c r="Q427" s="10">
        <v>0</v>
      </c>
      <c r="R427" s="10">
        <v>0</v>
      </c>
      <c r="S427" s="10">
        <v>0</v>
      </c>
      <c r="T427" s="13">
        <v>0</v>
      </c>
      <c r="U427" s="14">
        <v>1.2543345350999999</v>
      </c>
      <c r="V427" s="42">
        <f>SUM(I427:T427)/H427</f>
        <v>0.73088685015290522</v>
      </c>
      <c r="W427" s="39">
        <f t="shared" si="52"/>
        <v>299.7859538889</v>
      </c>
    </row>
    <row r="428" spans="1:29" x14ac:dyDescent="0.25">
      <c r="A428" s="7" t="s">
        <v>30</v>
      </c>
      <c r="B428" s="15" t="s">
        <v>66</v>
      </c>
      <c r="C428" s="7" t="s">
        <v>18</v>
      </c>
      <c r="D428" s="14">
        <v>0</v>
      </c>
      <c r="E428" s="14">
        <v>0</v>
      </c>
      <c r="F428" s="14">
        <v>0</v>
      </c>
      <c r="G428" s="14">
        <v>40</v>
      </c>
      <c r="H428" s="16">
        <v>40</v>
      </c>
      <c r="I428" s="17">
        <v>0</v>
      </c>
      <c r="J428" s="14">
        <v>0</v>
      </c>
      <c r="K428" s="14">
        <v>0</v>
      </c>
      <c r="L428" s="14">
        <v>0</v>
      </c>
      <c r="M428" s="14">
        <v>0</v>
      </c>
      <c r="N428" s="14">
        <v>0</v>
      </c>
      <c r="O428" s="14">
        <v>0</v>
      </c>
      <c r="P428" s="14">
        <v>0</v>
      </c>
      <c r="Q428" s="14">
        <v>0</v>
      </c>
      <c r="R428" s="14">
        <v>0</v>
      </c>
      <c r="S428" s="14">
        <v>0</v>
      </c>
      <c r="T428" s="18">
        <v>0</v>
      </c>
      <c r="U428" s="14">
        <v>1.2543345350999999</v>
      </c>
      <c r="V428" s="44"/>
      <c r="W428" s="39">
        <f t="shared" si="52"/>
        <v>0</v>
      </c>
    </row>
    <row r="429" spans="1:29" x14ac:dyDescent="0.25">
      <c r="A429" s="7" t="s">
        <v>30</v>
      </c>
      <c r="B429" s="15" t="s">
        <v>13</v>
      </c>
      <c r="C429" s="7" t="s">
        <v>18</v>
      </c>
      <c r="D429" s="14">
        <v>13</v>
      </c>
      <c r="E429" s="14">
        <v>0</v>
      </c>
      <c r="F429" s="14">
        <v>0</v>
      </c>
      <c r="G429" s="14">
        <v>836</v>
      </c>
      <c r="H429" s="16">
        <v>908</v>
      </c>
      <c r="I429" s="17">
        <v>40</v>
      </c>
      <c r="J429" s="14">
        <v>0</v>
      </c>
      <c r="K429" s="14">
        <v>0</v>
      </c>
      <c r="L429" s="14">
        <v>0</v>
      </c>
      <c r="M429" s="14">
        <v>20</v>
      </c>
      <c r="N429" s="14">
        <v>0</v>
      </c>
      <c r="O429" s="14">
        <v>0</v>
      </c>
      <c r="P429" s="14">
        <v>0</v>
      </c>
      <c r="Q429" s="14">
        <v>0</v>
      </c>
      <c r="R429" s="14">
        <v>0</v>
      </c>
      <c r="S429" s="14">
        <v>0</v>
      </c>
      <c r="T429" s="18">
        <v>0</v>
      </c>
      <c r="U429" s="14">
        <v>1.2543345350999999</v>
      </c>
      <c r="V429" s="41"/>
      <c r="W429" s="39">
        <f t="shared" si="52"/>
        <v>75.260072105999996</v>
      </c>
    </row>
    <row r="430" spans="1:29" x14ac:dyDescent="0.25">
      <c r="A430" s="7" t="s">
        <v>30</v>
      </c>
      <c r="B430" s="15" t="s">
        <v>67</v>
      </c>
      <c r="C430" s="7" t="s">
        <v>18</v>
      </c>
      <c r="D430" s="14">
        <v>62</v>
      </c>
      <c r="E430" s="14">
        <v>0</v>
      </c>
      <c r="F430" s="14">
        <v>0</v>
      </c>
      <c r="G430" s="14">
        <v>1660</v>
      </c>
      <c r="H430" s="16">
        <v>2577</v>
      </c>
      <c r="I430" s="17">
        <v>151</v>
      </c>
      <c r="J430" s="14">
        <v>487</v>
      </c>
      <c r="K430" s="14">
        <v>92</v>
      </c>
      <c r="L430" s="14">
        <v>0</v>
      </c>
      <c r="M430" s="14">
        <v>0</v>
      </c>
      <c r="N430" s="14">
        <v>22</v>
      </c>
      <c r="O430" s="14">
        <v>0</v>
      </c>
      <c r="P430" s="14">
        <v>0</v>
      </c>
      <c r="Q430" s="14">
        <v>0</v>
      </c>
      <c r="R430" s="14">
        <v>103</v>
      </c>
      <c r="S430" s="14">
        <v>0</v>
      </c>
      <c r="T430" s="18">
        <v>0</v>
      </c>
      <c r="U430" s="14">
        <v>1.2543345350999999</v>
      </c>
      <c r="V430" s="41"/>
      <c r="W430" s="39">
        <f t="shared" si="52"/>
        <v>1072.4560275105</v>
      </c>
    </row>
    <row r="431" spans="1:29" x14ac:dyDescent="0.25">
      <c r="A431" s="7" t="s">
        <v>30</v>
      </c>
      <c r="B431" s="15" t="s">
        <v>73</v>
      </c>
      <c r="C431" s="7" t="s">
        <v>18</v>
      </c>
      <c r="D431" s="14">
        <v>10</v>
      </c>
      <c r="E431" s="14">
        <v>0</v>
      </c>
      <c r="F431" s="14">
        <v>0</v>
      </c>
      <c r="G431" s="14">
        <v>529</v>
      </c>
      <c r="H431" s="16">
        <v>856</v>
      </c>
      <c r="I431" s="17">
        <v>81</v>
      </c>
      <c r="J431" s="14">
        <v>62</v>
      </c>
      <c r="K431" s="14">
        <v>13</v>
      </c>
      <c r="L431" s="14">
        <v>0</v>
      </c>
      <c r="M431" s="14">
        <v>95</v>
      </c>
      <c r="N431" s="14">
        <v>0</v>
      </c>
      <c r="O431" s="14">
        <v>42</v>
      </c>
      <c r="P431" s="14">
        <v>0</v>
      </c>
      <c r="Q431" s="14">
        <v>24</v>
      </c>
      <c r="R431" s="14">
        <v>0</v>
      </c>
      <c r="S431" s="14">
        <v>0</v>
      </c>
      <c r="T431" s="18">
        <v>0</v>
      </c>
      <c r="U431" s="14">
        <v>1.2543345350999999</v>
      </c>
      <c r="V431" s="41"/>
      <c r="W431" s="39">
        <f t="shared" si="52"/>
        <v>397.62404762669996</v>
      </c>
    </row>
    <row r="432" spans="1:29" x14ac:dyDescent="0.25">
      <c r="A432" s="7" t="s">
        <v>30</v>
      </c>
      <c r="B432" s="15" t="s">
        <v>19</v>
      </c>
      <c r="C432" s="7" t="s">
        <v>18</v>
      </c>
      <c r="D432" s="14">
        <v>8</v>
      </c>
      <c r="E432" s="14">
        <v>0</v>
      </c>
      <c r="F432" s="14">
        <v>3</v>
      </c>
      <c r="G432" s="14">
        <v>179</v>
      </c>
      <c r="H432" s="16">
        <v>242</v>
      </c>
      <c r="I432" s="17">
        <v>9</v>
      </c>
      <c r="J432" s="14">
        <v>0</v>
      </c>
      <c r="K432" s="14">
        <v>0</v>
      </c>
      <c r="L432" s="14">
        <v>43</v>
      </c>
      <c r="M432" s="14">
        <v>0</v>
      </c>
      <c r="N432" s="14">
        <v>0</v>
      </c>
      <c r="O432" s="14">
        <v>0</v>
      </c>
      <c r="P432" s="14">
        <v>0</v>
      </c>
      <c r="Q432" s="14">
        <v>0</v>
      </c>
      <c r="R432" s="14">
        <v>0</v>
      </c>
      <c r="S432" s="14">
        <v>0</v>
      </c>
      <c r="T432" s="18">
        <v>0</v>
      </c>
      <c r="U432" s="14">
        <v>1.2543345350999999</v>
      </c>
      <c r="V432" s="41"/>
      <c r="W432" s="39">
        <f t="shared" si="52"/>
        <v>65.225395825199996</v>
      </c>
    </row>
    <row r="433" spans="1:29" ht="13" thickBot="1" x14ac:dyDescent="0.3">
      <c r="A433" s="7" t="s">
        <v>30</v>
      </c>
      <c r="B433" s="19" t="s">
        <v>20</v>
      </c>
      <c r="C433" s="20" t="s">
        <v>18</v>
      </c>
      <c r="D433" s="21">
        <v>0</v>
      </c>
      <c r="E433" s="21">
        <v>0</v>
      </c>
      <c r="F433" s="21">
        <v>0</v>
      </c>
      <c r="G433" s="21">
        <v>0</v>
      </c>
      <c r="H433" s="22">
        <v>0</v>
      </c>
      <c r="I433" s="23">
        <v>0</v>
      </c>
      <c r="J433" s="21">
        <v>0</v>
      </c>
      <c r="K433" s="21">
        <v>0</v>
      </c>
      <c r="L433" s="21">
        <v>0</v>
      </c>
      <c r="M433" s="21">
        <v>0</v>
      </c>
      <c r="N433" s="21">
        <v>0</v>
      </c>
      <c r="O433" s="21">
        <v>0</v>
      </c>
      <c r="P433" s="21">
        <v>0</v>
      </c>
      <c r="Q433" s="21">
        <v>0</v>
      </c>
      <c r="R433" s="21">
        <v>0</v>
      </c>
      <c r="S433" s="21">
        <v>0</v>
      </c>
      <c r="T433" s="24">
        <v>0</v>
      </c>
      <c r="U433" s="14">
        <v>1.2543345350999999</v>
      </c>
      <c r="V433" s="44"/>
      <c r="W433" s="39">
        <f t="shared" si="52"/>
        <v>0</v>
      </c>
    </row>
    <row r="434" spans="1:29" ht="13" thickBot="1" x14ac:dyDescent="0.3">
      <c r="A434" s="7" t="s">
        <v>30</v>
      </c>
      <c r="B434" s="25" t="s">
        <v>12</v>
      </c>
      <c r="C434" s="26" t="s">
        <v>18</v>
      </c>
      <c r="D434" s="27">
        <v>93</v>
      </c>
      <c r="E434" s="27">
        <v>0</v>
      </c>
      <c r="F434" s="27">
        <v>3</v>
      </c>
      <c r="G434" s="27">
        <v>3332</v>
      </c>
      <c r="H434" s="28">
        <v>4950</v>
      </c>
      <c r="I434" s="29">
        <v>453</v>
      </c>
      <c r="J434" s="27">
        <v>592</v>
      </c>
      <c r="K434" s="27">
        <v>124</v>
      </c>
      <c r="L434" s="27">
        <v>45</v>
      </c>
      <c r="M434" s="27">
        <v>118</v>
      </c>
      <c r="N434" s="27">
        <v>22</v>
      </c>
      <c r="O434" s="27">
        <v>42</v>
      </c>
      <c r="P434" s="27">
        <v>0</v>
      </c>
      <c r="Q434" s="27">
        <v>24</v>
      </c>
      <c r="R434" s="27">
        <v>103</v>
      </c>
      <c r="S434" s="27">
        <v>0</v>
      </c>
      <c r="T434" s="29">
        <v>0</v>
      </c>
      <c r="U434" s="14">
        <v>1.2543345350999999</v>
      </c>
      <c r="V434" s="43">
        <f>SUM(I429:T432)/SUM(H429:H432)</f>
        <v>0.28016583024219943</v>
      </c>
      <c r="W434" s="39">
        <f t="shared" si="52"/>
        <v>1910.3514969572998</v>
      </c>
      <c r="X434" s="35">
        <f>W432+W429</f>
        <v>140.48546793119999</v>
      </c>
      <c r="Y434" s="35">
        <f>W427</f>
        <v>299.7859538889</v>
      </c>
    </row>
    <row r="435" spans="1:29" x14ac:dyDescent="0.25">
      <c r="A435" s="7" t="s">
        <v>30</v>
      </c>
      <c r="B435" s="8" t="s">
        <v>17</v>
      </c>
      <c r="C435" s="9" t="s">
        <v>21</v>
      </c>
      <c r="D435" s="10">
        <v>0</v>
      </c>
      <c r="E435" s="10">
        <v>0</v>
      </c>
      <c r="F435" s="10">
        <v>0</v>
      </c>
      <c r="G435" s="10">
        <v>0</v>
      </c>
      <c r="H435" s="11">
        <v>23</v>
      </c>
      <c r="I435" s="12">
        <v>18</v>
      </c>
      <c r="J435" s="10">
        <v>4</v>
      </c>
      <c r="K435" s="10">
        <v>1</v>
      </c>
      <c r="L435" s="10">
        <v>0</v>
      </c>
      <c r="M435" s="10">
        <v>0</v>
      </c>
      <c r="N435" s="10">
        <v>0</v>
      </c>
      <c r="O435" s="10">
        <v>0</v>
      </c>
      <c r="P435" s="10">
        <v>0</v>
      </c>
      <c r="Q435" s="10">
        <v>0</v>
      </c>
      <c r="R435" s="10">
        <v>0</v>
      </c>
      <c r="S435" s="10">
        <v>0</v>
      </c>
      <c r="T435" s="13">
        <v>0</v>
      </c>
      <c r="U435" s="14">
        <v>1.2543345350999999</v>
      </c>
      <c r="W435" s="39">
        <f t="shared" si="52"/>
        <v>28.849694307299998</v>
      </c>
      <c r="AB435" s="37" t="str">
        <f t="shared" ref="AB435:AB441" si="53">B435</f>
        <v>Parts-OTC</v>
      </c>
      <c r="AC435" s="36">
        <f t="shared" ref="AC435:AC441" si="54">I435*U435</f>
        <v>22.578021631799999</v>
      </c>
    </row>
    <row r="436" spans="1:29" x14ac:dyDescent="0.25">
      <c r="A436" s="7" t="s">
        <v>30</v>
      </c>
      <c r="B436" s="15" t="s">
        <v>66</v>
      </c>
      <c r="C436" s="7" t="s">
        <v>21</v>
      </c>
      <c r="D436" s="14">
        <v>0</v>
      </c>
      <c r="E436" s="14">
        <v>0</v>
      </c>
      <c r="F436" s="14">
        <v>0</v>
      </c>
      <c r="G436" s="14">
        <v>0</v>
      </c>
      <c r="H436" s="16">
        <v>41</v>
      </c>
      <c r="I436" s="17">
        <v>36</v>
      </c>
      <c r="J436" s="14">
        <v>5</v>
      </c>
      <c r="K436" s="14">
        <v>0</v>
      </c>
      <c r="L436" s="14">
        <v>0</v>
      </c>
      <c r="M436" s="14">
        <v>0</v>
      </c>
      <c r="N436" s="14">
        <v>0</v>
      </c>
      <c r="O436" s="14">
        <v>0</v>
      </c>
      <c r="P436" s="14">
        <v>0</v>
      </c>
      <c r="Q436" s="14">
        <v>0</v>
      </c>
      <c r="R436" s="14">
        <v>0</v>
      </c>
      <c r="S436" s="14">
        <v>0</v>
      </c>
      <c r="T436" s="18">
        <v>0</v>
      </c>
      <c r="U436" s="14">
        <v>1.2543345350999999</v>
      </c>
      <c r="W436" s="39">
        <f t="shared" si="52"/>
        <v>51.427715939099997</v>
      </c>
      <c r="AB436" s="37" t="str">
        <f t="shared" si="53"/>
        <v>CTKS</v>
      </c>
      <c r="AC436" s="36">
        <f t="shared" si="54"/>
        <v>45.156043263599997</v>
      </c>
    </row>
    <row r="437" spans="1:29" x14ac:dyDescent="0.25">
      <c r="A437" s="7" t="s">
        <v>30</v>
      </c>
      <c r="B437" s="15" t="s">
        <v>13</v>
      </c>
      <c r="C437" s="7" t="s">
        <v>21</v>
      </c>
      <c r="D437" s="14">
        <v>0</v>
      </c>
      <c r="E437" s="14">
        <v>0</v>
      </c>
      <c r="F437" s="14">
        <v>0</v>
      </c>
      <c r="G437" s="14">
        <v>0</v>
      </c>
      <c r="H437" s="16">
        <v>356</v>
      </c>
      <c r="I437" s="17">
        <v>151</v>
      </c>
      <c r="J437" s="14">
        <v>147</v>
      </c>
      <c r="K437" s="14">
        <v>18</v>
      </c>
      <c r="L437" s="14">
        <v>20</v>
      </c>
      <c r="M437" s="14">
        <v>9</v>
      </c>
      <c r="N437" s="14">
        <v>0</v>
      </c>
      <c r="O437" s="14">
        <v>1</v>
      </c>
      <c r="P437" s="14">
        <v>10</v>
      </c>
      <c r="Q437" s="14">
        <v>0</v>
      </c>
      <c r="R437" s="14">
        <v>0</v>
      </c>
      <c r="S437" s="14">
        <v>0</v>
      </c>
      <c r="T437" s="18">
        <v>0</v>
      </c>
      <c r="U437" s="14">
        <v>1.2543345350999999</v>
      </c>
      <c r="W437" s="39">
        <f t="shared" si="52"/>
        <v>446.54309449559997</v>
      </c>
      <c r="AB437" s="37" t="str">
        <f t="shared" si="53"/>
        <v>Repair</v>
      </c>
      <c r="AC437" s="36">
        <f t="shared" si="54"/>
        <v>189.4045148001</v>
      </c>
    </row>
    <row r="438" spans="1:29" x14ac:dyDescent="0.25">
      <c r="A438" s="7" t="s">
        <v>30</v>
      </c>
      <c r="B438" s="15" t="s">
        <v>67</v>
      </c>
      <c r="C438" s="7" t="s">
        <v>21</v>
      </c>
      <c r="D438" s="14">
        <v>0</v>
      </c>
      <c r="E438" s="14">
        <v>0</v>
      </c>
      <c r="F438" s="14">
        <v>0</v>
      </c>
      <c r="G438" s="14">
        <v>0</v>
      </c>
      <c r="H438" s="16">
        <v>1028</v>
      </c>
      <c r="I438" s="17">
        <v>271</v>
      </c>
      <c r="J438" s="14">
        <v>192</v>
      </c>
      <c r="K438" s="14">
        <v>137</v>
      </c>
      <c r="L438" s="14">
        <v>100</v>
      </c>
      <c r="M438" s="14">
        <v>102</v>
      </c>
      <c r="N438" s="14">
        <v>96</v>
      </c>
      <c r="O438" s="14">
        <v>56</v>
      </c>
      <c r="P438" s="14">
        <v>18</v>
      </c>
      <c r="Q438" s="14">
        <v>14</v>
      </c>
      <c r="R438" s="14">
        <v>13</v>
      </c>
      <c r="S438" s="14">
        <v>13</v>
      </c>
      <c r="T438" s="18">
        <v>16</v>
      </c>
      <c r="U438" s="14">
        <v>1.2543345350999999</v>
      </c>
      <c r="W438" s="39">
        <f t="shared" si="52"/>
        <v>1289.4559020827999</v>
      </c>
      <c r="AB438" s="37" t="str">
        <f t="shared" si="53"/>
        <v>Rental</v>
      </c>
      <c r="AC438" s="36">
        <f t="shared" si="54"/>
        <v>339.92465901209999</v>
      </c>
    </row>
    <row r="439" spans="1:29" x14ac:dyDescent="0.25">
      <c r="A439" s="7" t="s">
        <v>30</v>
      </c>
      <c r="B439" s="15" t="s">
        <v>73</v>
      </c>
      <c r="C439" s="7" t="s">
        <v>21</v>
      </c>
      <c r="D439" s="14">
        <v>0</v>
      </c>
      <c r="E439" s="14">
        <v>0</v>
      </c>
      <c r="F439" s="14">
        <v>0</v>
      </c>
      <c r="G439" s="14">
        <v>0</v>
      </c>
      <c r="H439" s="16">
        <v>266</v>
      </c>
      <c r="I439" s="17">
        <v>62</v>
      </c>
      <c r="J439" s="14">
        <v>151</v>
      </c>
      <c r="K439" s="14">
        <v>0</v>
      </c>
      <c r="L439" s="14">
        <v>0</v>
      </c>
      <c r="M439" s="14">
        <v>0</v>
      </c>
      <c r="N439" s="14">
        <v>0</v>
      </c>
      <c r="O439" s="14">
        <v>12</v>
      </c>
      <c r="P439" s="14">
        <v>42</v>
      </c>
      <c r="Q439" s="14">
        <v>0</v>
      </c>
      <c r="R439" s="14">
        <v>0</v>
      </c>
      <c r="S439" s="14">
        <v>0</v>
      </c>
      <c r="T439" s="18">
        <v>0</v>
      </c>
      <c r="U439" s="14">
        <v>1.2543345350999999</v>
      </c>
      <c r="W439" s="39">
        <f t="shared" si="52"/>
        <v>334.90732087169999</v>
      </c>
      <c r="AB439" s="37"/>
    </row>
    <row r="440" spans="1:29" x14ac:dyDescent="0.25">
      <c r="A440" s="7" t="s">
        <v>30</v>
      </c>
      <c r="B440" s="15" t="s">
        <v>19</v>
      </c>
      <c r="C440" s="7" t="s">
        <v>21</v>
      </c>
      <c r="D440" s="14">
        <v>0</v>
      </c>
      <c r="E440" s="14">
        <v>0</v>
      </c>
      <c r="F440" s="14">
        <v>0</v>
      </c>
      <c r="G440" s="14">
        <v>0</v>
      </c>
      <c r="H440" s="16">
        <v>2658</v>
      </c>
      <c r="I440" s="17">
        <v>723</v>
      </c>
      <c r="J440" s="14">
        <v>526</v>
      </c>
      <c r="K440" s="14">
        <v>150</v>
      </c>
      <c r="L440" s="14">
        <v>98</v>
      </c>
      <c r="M440" s="14">
        <v>377</v>
      </c>
      <c r="N440" s="14">
        <v>564</v>
      </c>
      <c r="O440" s="14">
        <v>144</v>
      </c>
      <c r="P440" s="14">
        <v>29</v>
      </c>
      <c r="Q440" s="14">
        <v>0</v>
      </c>
      <c r="R440" s="14">
        <v>0</v>
      </c>
      <c r="S440" s="14">
        <v>8</v>
      </c>
      <c r="T440" s="18">
        <v>39</v>
      </c>
      <c r="U440" s="14">
        <v>1.2543345350999999</v>
      </c>
      <c r="W440" s="39">
        <f t="shared" si="52"/>
        <v>3334.0211942957999</v>
      </c>
      <c r="AB440" s="37" t="str">
        <f t="shared" si="53"/>
        <v>Maintenance</v>
      </c>
      <c r="AC440" s="36">
        <f t="shared" si="54"/>
        <v>906.88386887729996</v>
      </c>
    </row>
    <row r="441" spans="1:29" ht="13" thickBot="1" x14ac:dyDescent="0.3">
      <c r="A441" s="7" t="s">
        <v>30</v>
      </c>
      <c r="B441" s="19" t="s">
        <v>20</v>
      </c>
      <c r="C441" s="20" t="s">
        <v>21</v>
      </c>
      <c r="D441" s="21">
        <v>0</v>
      </c>
      <c r="E441" s="21">
        <v>0</v>
      </c>
      <c r="F441" s="21">
        <v>0</v>
      </c>
      <c r="G441" s="21">
        <v>0</v>
      </c>
      <c r="H441" s="22">
        <v>108</v>
      </c>
      <c r="I441" s="23">
        <v>64</v>
      </c>
      <c r="J441" s="21">
        <v>20</v>
      </c>
      <c r="K441" s="21">
        <v>0</v>
      </c>
      <c r="L441" s="21">
        <v>14</v>
      </c>
      <c r="M441" s="21">
        <v>1</v>
      </c>
      <c r="N441" s="21">
        <v>7</v>
      </c>
      <c r="O441" s="21">
        <v>0</v>
      </c>
      <c r="P441" s="21">
        <v>0</v>
      </c>
      <c r="Q441" s="21">
        <v>3</v>
      </c>
      <c r="R441" s="21">
        <v>0</v>
      </c>
      <c r="S441" s="21">
        <v>0</v>
      </c>
      <c r="T441" s="24">
        <v>0</v>
      </c>
      <c r="U441" s="14">
        <v>1.2543345350999999</v>
      </c>
      <c r="W441" s="39">
        <f t="shared" si="52"/>
        <v>136.72246432589998</v>
      </c>
      <c r="AB441" s="37" t="str">
        <f t="shared" si="53"/>
        <v>Startup</v>
      </c>
      <c r="AC441" s="36">
        <f t="shared" si="54"/>
        <v>80.277410246399995</v>
      </c>
    </row>
    <row r="442" spans="1:29" ht="13" thickBot="1" x14ac:dyDescent="0.3">
      <c r="A442" s="20" t="s">
        <v>30</v>
      </c>
      <c r="B442" s="25" t="s">
        <v>12</v>
      </c>
      <c r="C442" s="26" t="s">
        <v>21</v>
      </c>
      <c r="D442" s="27">
        <v>0</v>
      </c>
      <c r="E442" s="27">
        <v>0</v>
      </c>
      <c r="F442" s="27">
        <v>0</v>
      </c>
      <c r="G442" s="27">
        <v>0</v>
      </c>
      <c r="H442" s="28">
        <v>4480</v>
      </c>
      <c r="I442" s="29">
        <v>1325</v>
      </c>
      <c r="J442" s="27">
        <v>1045</v>
      </c>
      <c r="K442" s="27">
        <v>306</v>
      </c>
      <c r="L442" s="27">
        <v>232</v>
      </c>
      <c r="M442" s="27">
        <v>489</v>
      </c>
      <c r="N442" s="27">
        <v>667</v>
      </c>
      <c r="O442" s="27">
        <v>213</v>
      </c>
      <c r="P442" s="27">
        <v>99</v>
      </c>
      <c r="Q442" s="27">
        <v>17</v>
      </c>
      <c r="R442" s="27">
        <v>13</v>
      </c>
      <c r="S442" s="27">
        <v>21</v>
      </c>
      <c r="T442" s="29">
        <v>55</v>
      </c>
      <c r="U442" s="14">
        <v>1.2543345350999999</v>
      </c>
      <c r="W442" s="39">
        <f t="shared" si="52"/>
        <v>5621.9273863181998</v>
      </c>
      <c r="X442" s="35">
        <f>W441+W440+W437</f>
        <v>3917.2867531173001</v>
      </c>
      <c r="Y442" s="35">
        <f>W435</f>
        <v>28.849694307299998</v>
      </c>
      <c r="Z442" s="40">
        <f>V433/X442</f>
        <v>0</v>
      </c>
      <c r="AA442" s="40">
        <f>IF((Y442=0),0,Y434/Y442)</f>
        <v>10.391304347826088</v>
      </c>
      <c r="AB442" s="48"/>
      <c r="AC442" s="48"/>
    </row>
    <row r="443" spans="1:29" ht="13" thickBot="1" x14ac:dyDescent="0.3">
      <c r="A443" s="9" t="s">
        <v>65</v>
      </c>
      <c r="B443" s="30" t="s">
        <v>15</v>
      </c>
      <c r="C443" s="31" t="s">
        <v>94</v>
      </c>
      <c r="D443" s="32" t="s">
        <v>47</v>
      </c>
      <c r="E443" s="53" t="s">
        <v>116</v>
      </c>
      <c r="F443" s="53" t="s">
        <v>117</v>
      </c>
      <c r="G443" s="53" t="s">
        <v>118</v>
      </c>
      <c r="H443" s="28" t="s">
        <v>12</v>
      </c>
      <c r="I443" s="54" t="s">
        <v>119</v>
      </c>
      <c r="J443" s="53" t="s">
        <v>174</v>
      </c>
      <c r="K443" s="53" t="s">
        <v>175</v>
      </c>
      <c r="L443" s="53" t="s">
        <v>99</v>
      </c>
      <c r="M443" s="53" t="s">
        <v>100</v>
      </c>
      <c r="N443" s="53" t="s">
        <v>101</v>
      </c>
      <c r="O443" s="53" t="s">
        <v>102</v>
      </c>
      <c r="P443" s="53" t="s">
        <v>103</v>
      </c>
      <c r="Q443" s="53" t="s">
        <v>104</v>
      </c>
      <c r="R443" s="53" t="s">
        <v>105</v>
      </c>
      <c r="S443" s="53" t="s">
        <v>106</v>
      </c>
      <c r="T443" s="55" t="s">
        <v>107</v>
      </c>
      <c r="U443" s="14">
        <v>0.27227135790000001</v>
      </c>
      <c r="V443" s="14" t="s">
        <v>183</v>
      </c>
      <c r="W443" s="39">
        <f t="shared" si="52"/>
        <v>0</v>
      </c>
      <c r="X443" s="14" t="s">
        <v>37</v>
      </c>
      <c r="Y443" s="14" t="s">
        <v>38</v>
      </c>
      <c r="AB443" s="48"/>
      <c r="AC443" s="48"/>
    </row>
    <row r="444" spans="1:29" x14ac:dyDescent="0.25">
      <c r="A444" s="7" t="s">
        <v>65</v>
      </c>
      <c r="B444" s="8" t="s">
        <v>17</v>
      </c>
      <c r="C444" s="9" t="s">
        <v>18</v>
      </c>
      <c r="D444" s="10">
        <v>2813</v>
      </c>
      <c r="E444" s="10">
        <v>232</v>
      </c>
      <c r="F444" s="10">
        <v>151</v>
      </c>
      <c r="G444" s="10">
        <v>7589</v>
      </c>
      <c r="H444" s="11">
        <v>10866</v>
      </c>
      <c r="I444" s="12">
        <v>81</v>
      </c>
      <c r="J444" s="10">
        <v>0</v>
      </c>
      <c r="K444" s="10">
        <v>0</v>
      </c>
      <c r="L444" s="10">
        <v>0</v>
      </c>
      <c r="M444" s="10">
        <v>0</v>
      </c>
      <c r="N444" s="10">
        <v>0</v>
      </c>
      <c r="O444" s="10">
        <v>0</v>
      </c>
      <c r="P444" s="10">
        <v>0</v>
      </c>
      <c r="Q444" s="10">
        <v>0</v>
      </c>
      <c r="R444" s="10">
        <v>0</v>
      </c>
      <c r="S444" s="10">
        <v>0</v>
      </c>
      <c r="T444" s="13">
        <v>0</v>
      </c>
      <c r="U444" s="14">
        <v>0.27227135790000001</v>
      </c>
      <c r="V444" s="42">
        <f>SUM(I444:T444)/H444</f>
        <v>7.4544450579790171E-3</v>
      </c>
      <c r="W444" s="39">
        <f t="shared" si="52"/>
        <v>22.0539799899</v>
      </c>
    </row>
    <row r="445" spans="1:29" x14ac:dyDescent="0.25">
      <c r="A445" s="7" t="s">
        <v>65</v>
      </c>
      <c r="B445" s="15" t="s">
        <v>66</v>
      </c>
      <c r="C445" s="7" t="s">
        <v>18</v>
      </c>
      <c r="D445" s="14">
        <v>0</v>
      </c>
      <c r="E445" s="14">
        <v>0</v>
      </c>
      <c r="F445" s="14">
        <v>859</v>
      </c>
      <c r="G445" s="14">
        <v>30532</v>
      </c>
      <c r="H445" s="16">
        <v>62268</v>
      </c>
      <c r="I445" s="17">
        <v>4868</v>
      </c>
      <c r="J445" s="14">
        <v>5637</v>
      </c>
      <c r="K445" s="14">
        <v>1904</v>
      </c>
      <c r="L445" s="14">
        <v>7570</v>
      </c>
      <c r="M445" s="14">
        <v>845</v>
      </c>
      <c r="N445" s="14">
        <v>4203</v>
      </c>
      <c r="O445" s="14">
        <v>2575</v>
      </c>
      <c r="P445" s="14">
        <v>1926</v>
      </c>
      <c r="Q445" s="14">
        <v>0</v>
      </c>
      <c r="R445" s="14">
        <v>0</v>
      </c>
      <c r="S445" s="14">
        <v>346</v>
      </c>
      <c r="T445" s="18">
        <v>1003</v>
      </c>
      <c r="U445" s="14">
        <v>0.27227135790000001</v>
      </c>
      <c r="V445" s="44"/>
      <c r="W445" s="39">
        <f t="shared" si="52"/>
        <v>8406.9227178783003</v>
      </c>
    </row>
    <row r="446" spans="1:29" x14ac:dyDescent="0.25">
      <c r="A446" s="7" t="s">
        <v>65</v>
      </c>
      <c r="B446" s="15" t="s">
        <v>13</v>
      </c>
      <c r="C446" s="7" t="s">
        <v>18</v>
      </c>
      <c r="D446" s="14">
        <v>0</v>
      </c>
      <c r="E446" s="14">
        <v>9</v>
      </c>
      <c r="F446" s="14">
        <v>7</v>
      </c>
      <c r="G446" s="14">
        <v>7111</v>
      </c>
      <c r="H446" s="16">
        <v>15533</v>
      </c>
      <c r="I446" s="17">
        <v>8362</v>
      </c>
      <c r="J446" s="14">
        <v>44</v>
      </c>
      <c r="K446" s="14">
        <v>0</v>
      </c>
      <c r="L446" s="14">
        <v>0</v>
      </c>
      <c r="M446" s="14">
        <v>0</v>
      </c>
      <c r="N446" s="14">
        <v>0</v>
      </c>
      <c r="O446" s="14">
        <v>0</v>
      </c>
      <c r="P446" s="14">
        <v>0</v>
      </c>
      <c r="Q446" s="14">
        <v>0</v>
      </c>
      <c r="R446" s="14">
        <v>0</v>
      </c>
      <c r="S446" s="14">
        <v>0</v>
      </c>
      <c r="T446" s="18">
        <v>0</v>
      </c>
      <c r="U446" s="14">
        <v>0.27227135790000001</v>
      </c>
      <c r="V446" s="41"/>
      <c r="W446" s="39">
        <f t="shared" si="52"/>
        <v>2288.7130345074002</v>
      </c>
    </row>
    <row r="447" spans="1:29" x14ac:dyDescent="0.25">
      <c r="A447" s="7" t="s">
        <v>65</v>
      </c>
      <c r="B447" s="15" t="s">
        <v>67</v>
      </c>
      <c r="C447" s="7" t="s">
        <v>18</v>
      </c>
      <c r="D447" s="14">
        <v>0</v>
      </c>
      <c r="E447" s="14">
        <v>20</v>
      </c>
      <c r="F447" s="14">
        <v>0</v>
      </c>
      <c r="G447" s="14">
        <v>13691</v>
      </c>
      <c r="H447" s="16">
        <v>20023</v>
      </c>
      <c r="I447" s="17">
        <v>1163</v>
      </c>
      <c r="J447" s="14">
        <v>5105</v>
      </c>
      <c r="K447" s="14">
        <v>45</v>
      </c>
      <c r="L447" s="14">
        <v>0</v>
      </c>
      <c r="M447" s="14">
        <v>0</v>
      </c>
      <c r="N447" s="14">
        <v>0</v>
      </c>
      <c r="O447" s="14">
        <v>0</v>
      </c>
      <c r="P447" s="14">
        <v>0</v>
      </c>
      <c r="Q447" s="14">
        <v>0</v>
      </c>
      <c r="R447" s="14">
        <v>0</v>
      </c>
      <c r="S447" s="14">
        <v>0</v>
      </c>
      <c r="T447" s="18">
        <v>0</v>
      </c>
      <c r="U447" s="14">
        <v>0.27227135790000001</v>
      </c>
      <c r="V447" s="41"/>
      <c r="W447" s="39">
        <f t="shared" si="52"/>
        <v>1718.8490824227001</v>
      </c>
    </row>
    <row r="448" spans="1:29" x14ac:dyDescent="0.25">
      <c r="A448" s="7" t="s">
        <v>65</v>
      </c>
      <c r="B448" s="15" t="s">
        <v>73</v>
      </c>
      <c r="C448" s="7" t="s">
        <v>18</v>
      </c>
      <c r="D448" s="14">
        <v>0</v>
      </c>
      <c r="E448" s="14">
        <v>0</v>
      </c>
      <c r="F448" s="14">
        <v>0</v>
      </c>
      <c r="G448" s="14">
        <v>3006</v>
      </c>
      <c r="H448" s="16">
        <v>7067</v>
      </c>
      <c r="I448" s="17">
        <v>4061</v>
      </c>
      <c r="J448" s="14">
        <v>0</v>
      </c>
      <c r="K448" s="14">
        <v>0</v>
      </c>
      <c r="L448" s="14">
        <v>0</v>
      </c>
      <c r="M448" s="14">
        <v>0</v>
      </c>
      <c r="N448" s="14">
        <v>0</v>
      </c>
      <c r="O448" s="14">
        <v>0</v>
      </c>
      <c r="P448" s="14">
        <v>0</v>
      </c>
      <c r="Q448" s="14">
        <v>0</v>
      </c>
      <c r="R448" s="14">
        <v>0</v>
      </c>
      <c r="S448" s="14">
        <v>0</v>
      </c>
      <c r="T448" s="18">
        <v>0</v>
      </c>
      <c r="U448" s="14">
        <v>0.27227135790000001</v>
      </c>
      <c r="V448" s="41"/>
      <c r="W448" s="39">
        <f t="shared" si="52"/>
        <v>1105.6939844318999</v>
      </c>
    </row>
    <row r="449" spans="1:29" x14ac:dyDescent="0.25">
      <c r="A449" s="7" t="s">
        <v>65</v>
      </c>
      <c r="B449" s="15" t="s">
        <v>19</v>
      </c>
      <c r="C449" s="7" t="s">
        <v>18</v>
      </c>
      <c r="D449" s="14">
        <v>0</v>
      </c>
      <c r="E449" s="14">
        <v>387</v>
      </c>
      <c r="F449" s="14">
        <v>613</v>
      </c>
      <c r="G449" s="14">
        <v>4074</v>
      </c>
      <c r="H449" s="16">
        <v>8581</v>
      </c>
      <c r="I449" s="17">
        <v>3012</v>
      </c>
      <c r="J449" s="14">
        <v>495</v>
      </c>
      <c r="K449" s="14">
        <v>0</v>
      </c>
      <c r="L449" s="14">
        <v>0</v>
      </c>
      <c r="M449" s="14">
        <v>0</v>
      </c>
      <c r="N449" s="14">
        <v>0</v>
      </c>
      <c r="O449" s="14">
        <v>0</v>
      </c>
      <c r="P449" s="14">
        <v>0</v>
      </c>
      <c r="Q449" s="14">
        <v>0</v>
      </c>
      <c r="R449" s="14">
        <v>0</v>
      </c>
      <c r="S449" s="14">
        <v>0</v>
      </c>
      <c r="T449" s="18">
        <v>0</v>
      </c>
      <c r="U449" s="14">
        <v>0.27227135790000001</v>
      </c>
      <c r="V449" s="41"/>
      <c r="W449" s="39">
        <f t="shared" si="52"/>
        <v>954.85565215530005</v>
      </c>
    </row>
    <row r="450" spans="1:29" ht="13" thickBot="1" x14ac:dyDescent="0.3">
      <c r="A450" s="7" t="s">
        <v>65</v>
      </c>
      <c r="B450" s="19" t="s">
        <v>20</v>
      </c>
      <c r="C450" s="20" t="s">
        <v>18</v>
      </c>
      <c r="D450" s="21">
        <v>0</v>
      </c>
      <c r="E450" s="21">
        <v>0</v>
      </c>
      <c r="F450" s="21">
        <v>0</v>
      </c>
      <c r="G450" s="21">
        <v>0</v>
      </c>
      <c r="H450" s="22">
        <v>0</v>
      </c>
      <c r="I450" s="23">
        <v>0</v>
      </c>
      <c r="J450" s="21">
        <v>0</v>
      </c>
      <c r="K450" s="21">
        <v>0</v>
      </c>
      <c r="L450" s="21">
        <v>0</v>
      </c>
      <c r="M450" s="21">
        <v>0</v>
      </c>
      <c r="N450" s="21">
        <v>0</v>
      </c>
      <c r="O450" s="21">
        <v>0</v>
      </c>
      <c r="P450" s="21">
        <v>0</v>
      </c>
      <c r="Q450" s="21">
        <v>0</v>
      </c>
      <c r="R450" s="21">
        <v>0</v>
      </c>
      <c r="S450" s="21">
        <v>0</v>
      </c>
      <c r="T450" s="24">
        <v>0</v>
      </c>
      <c r="U450" s="14">
        <v>0.27227135790000001</v>
      </c>
      <c r="V450" s="44"/>
      <c r="W450" s="39">
        <f t="shared" si="52"/>
        <v>0</v>
      </c>
    </row>
    <row r="451" spans="1:29" ht="13" thickBot="1" x14ac:dyDescent="0.3">
      <c r="A451" s="7" t="s">
        <v>65</v>
      </c>
      <c r="B451" s="25" t="s">
        <v>12</v>
      </c>
      <c r="C451" s="26" t="s">
        <v>18</v>
      </c>
      <c r="D451" s="27">
        <v>2813</v>
      </c>
      <c r="E451" s="27">
        <v>648</v>
      </c>
      <c r="F451" s="27">
        <v>1630</v>
      </c>
      <c r="G451" s="27">
        <v>66003</v>
      </c>
      <c r="H451" s="28">
        <v>124338</v>
      </c>
      <c r="I451" s="29">
        <v>21547</v>
      </c>
      <c r="J451" s="27">
        <v>11281</v>
      </c>
      <c r="K451" s="27">
        <v>1949</v>
      </c>
      <c r="L451" s="27">
        <v>7570</v>
      </c>
      <c r="M451" s="27">
        <v>845</v>
      </c>
      <c r="N451" s="27">
        <v>4203</v>
      </c>
      <c r="O451" s="27">
        <v>2575</v>
      </c>
      <c r="P451" s="27">
        <v>1926</v>
      </c>
      <c r="Q451" s="27">
        <v>0</v>
      </c>
      <c r="R451" s="27">
        <v>0</v>
      </c>
      <c r="S451" s="27">
        <v>346</v>
      </c>
      <c r="T451" s="29">
        <v>1003</v>
      </c>
      <c r="U451" s="14">
        <v>0.27227135790000001</v>
      </c>
      <c r="V451" s="43">
        <f>SUM(I446:T449)/SUM(H446:H449)</f>
        <v>0.4352589641434263</v>
      </c>
      <c r="W451" s="39">
        <f t="shared" si="52"/>
        <v>14497.0884513855</v>
      </c>
      <c r="X451" s="35">
        <f>W449+W446</f>
        <v>3243.5686866627002</v>
      </c>
      <c r="Y451" s="35">
        <f>W444</f>
        <v>22.0539799899</v>
      </c>
    </row>
    <row r="452" spans="1:29" x14ac:dyDescent="0.25">
      <c r="A452" s="7" t="s">
        <v>65</v>
      </c>
      <c r="B452" s="8" t="s">
        <v>17</v>
      </c>
      <c r="C452" s="9" t="s">
        <v>21</v>
      </c>
      <c r="D452" s="10">
        <v>0</v>
      </c>
      <c r="E452" s="10">
        <v>0</v>
      </c>
      <c r="F452" s="10">
        <v>0</v>
      </c>
      <c r="G452" s="10">
        <v>0</v>
      </c>
      <c r="H452" s="11">
        <v>403</v>
      </c>
      <c r="I452" s="12">
        <v>145</v>
      </c>
      <c r="J452" s="10">
        <v>157</v>
      </c>
      <c r="K452" s="10">
        <v>0</v>
      </c>
      <c r="L452" s="10">
        <v>0</v>
      </c>
      <c r="M452" s="10">
        <v>0</v>
      </c>
      <c r="N452" s="10">
        <v>0</v>
      </c>
      <c r="O452" s="10">
        <v>0</v>
      </c>
      <c r="P452" s="10">
        <v>102</v>
      </c>
      <c r="Q452" s="10">
        <v>0</v>
      </c>
      <c r="R452" s="10">
        <v>0</v>
      </c>
      <c r="S452" s="10">
        <v>0</v>
      </c>
      <c r="T452" s="13">
        <v>0</v>
      </c>
      <c r="U452" s="14">
        <v>0.27227135790000001</v>
      </c>
      <c r="W452" s="39">
        <f t="shared" si="52"/>
        <v>109.99762859160001</v>
      </c>
      <c r="AB452" s="37" t="str">
        <f t="shared" ref="AB452:AB458" si="55">B452</f>
        <v>Parts-OTC</v>
      </c>
      <c r="AC452" s="36">
        <f t="shared" ref="AC452:AC458" si="56">I452*U452</f>
        <v>39.479346895500001</v>
      </c>
    </row>
    <row r="453" spans="1:29" x14ac:dyDescent="0.25">
      <c r="A453" s="7" t="s">
        <v>65</v>
      </c>
      <c r="B453" s="15" t="s">
        <v>66</v>
      </c>
      <c r="C453" s="7" t="s">
        <v>21</v>
      </c>
      <c r="D453" s="14">
        <v>0</v>
      </c>
      <c r="E453" s="14">
        <v>0</v>
      </c>
      <c r="F453" s="14">
        <v>0</v>
      </c>
      <c r="G453" s="14">
        <v>0</v>
      </c>
      <c r="H453" s="16">
        <v>32587</v>
      </c>
      <c r="I453" s="17">
        <v>1922</v>
      </c>
      <c r="J453" s="14">
        <v>1490</v>
      </c>
      <c r="K453" s="14">
        <v>9980</v>
      </c>
      <c r="L453" s="14">
        <v>7343</v>
      </c>
      <c r="M453" s="14">
        <v>3517</v>
      </c>
      <c r="N453" s="14">
        <v>681</v>
      </c>
      <c r="O453" s="14">
        <v>2427</v>
      </c>
      <c r="P453" s="14">
        <v>3370</v>
      </c>
      <c r="Q453" s="14">
        <v>1764</v>
      </c>
      <c r="R453" s="14">
        <v>93</v>
      </c>
      <c r="S453" s="14">
        <v>0</v>
      </c>
      <c r="T453" s="18">
        <v>0</v>
      </c>
      <c r="U453" s="14">
        <v>0.27227135790000001</v>
      </c>
      <c r="W453" s="39">
        <f t="shared" si="52"/>
        <v>8872.5067398872998</v>
      </c>
      <c r="AB453" s="37" t="str">
        <f t="shared" si="55"/>
        <v>CTKS</v>
      </c>
      <c r="AC453" s="36">
        <f t="shared" si="56"/>
        <v>523.30554988380004</v>
      </c>
    </row>
    <row r="454" spans="1:29" x14ac:dyDescent="0.25">
      <c r="A454" s="7" t="s">
        <v>65</v>
      </c>
      <c r="B454" s="15" t="s">
        <v>13</v>
      </c>
      <c r="C454" s="7" t="s">
        <v>21</v>
      </c>
      <c r="D454" s="14">
        <v>0</v>
      </c>
      <c r="E454" s="14">
        <v>0</v>
      </c>
      <c r="F454" s="14">
        <v>0</v>
      </c>
      <c r="G454" s="14">
        <v>0</v>
      </c>
      <c r="H454" s="16">
        <v>656</v>
      </c>
      <c r="I454" s="33">
        <v>240</v>
      </c>
      <c r="J454" s="34">
        <v>297</v>
      </c>
      <c r="K454" s="34">
        <v>0</v>
      </c>
      <c r="L454" s="14">
        <v>0</v>
      </c>
      <c r="M454" s="14">
        <v>0</v>
      </c>
      <c r="N454" s="14">
        <v>0</v>
      </c>
      <c r="O454" s="14">
        <v>11</v>
      </c>
      <c r="P454" s="14">
        <v>108</v>
      </c>
      <c r="Q454" s="14">
        <v>0</v>
      </c>
      <c r="R454" s="14">
        <v>0</v>
      </c>
      <c r="S454" s="14">
        <v>0</v>
      </c>
      <c r="T454" s="18">
        <v>0</v>
      </c>
      <c r="U454" s="14">
        <v>0.27227135790000001</v>
      </c>
      <c r="W454" s="39">
        <f t="shared" si="52"/>
        <v>178.6100107824</v>
      </c>
      <c r="AB454" s="37" t="str">
        <f t="shared" si="55"/>
        <v>Repair</v>
      </c>
      <c r="AC454" s="36">
        <f t="shared" si="56"/>
        <v>65.345125895999999</v>
      </c>
    </row>
    <row r="455" spans="1:29" x14ac:dyDescent="0.25">
      <c r="A455" s="7" t="s">
        <v>65</v>
      </c>
      <c r="B455" s="15" t="s">
        <v>67</v>
      </c>
      <c r="C455" s="7" t="s">
        <v>21</v>
      </c>
      <c r="D455" s="14">
        <v>0</v>
      </c>
      <c r="E455" s="14">
        <v>0</v>
      </c>
      <c r="F455" s="14">
        <v>0</v>
      </c>
      <c r="G455" s="14">
        <v>0</v>
      </c>
      <c r="H455" s="16">
        <v>2104</v>
      </c>
      <c r="I455" s="17">
        <v>820</v>
      </c>
      <c r="J455" s="14">
        <v>231</v>
      </c>
      <c r="K455" s="14">
        <v>181</v>
      </c>
      <c r="L455" s="14">
        <v>161</v>
      </c>
      <c r="M455" s="14">
        <v>226</v>
      </c>
      <c r="N455" s="14">
        <v>114</v>
      </c>
      <c r="O455" s="14">
        <v>84</v>
      </c>
      <c r="P455" s="14">
        <v>77</v>
      </c>
      <c r="Q455" s="14">
        <v>88</v>
      </c>
      <c r="R455" s="14">
        <v>43</v>
      </c>
      <c r="S455" s="14">
        <v>35</v>
      </c>
      <c r="T455" s="18">
        <v>43</v>
      </c>
      <c r="U455" s="14">
        <v>0.27227135790000001</v>
      </c>
      <c r="W455" s="39">
        <f t="shared" si="52"/>
        <v>572.58666566370005</v>
      </c>
      <c r="AB455" s="37" t="str">
        <f t="shared" si="55"/>
        <v>Rental</v>
      </c>
      <c r="AC455" s="36">
        <f t="shared" si="56"/>
        <v>223.26251347800002</v>
      </c>
    </row>
    <row r="456" spans="1:29" x14ac:dyDescent="0.25">
      <c r="A456" s="7" t="s">
        <v>65</v>
      </c>
      <c r="B456" s="15" t="s">
        <v>73</v>
      </c>
      <c r="C456" s="7" t="s">
        <v>21</v>
      </c>
      <c r="D456" s="14">
        <v>0</v>
      </c>
      <c r="E456" s="14">
        <v>0</v>
      </c>
      <c r="F456" s="14">
        <v>0</v>
      </c>
      <c r="G456" s="14">
        <v>0</v>
      </c>
      <c r="H456" s="16">
        <v>672</v>
      </c>
      <c r="I456" s="17">
        <v>337</v>
      </c>
      <c r="J456" s="14">
        <v>0</v>
      </c>
      <c r="K456" s="14">
        <v>0</v>
      </c>
      <c r="L456" s="14">
        <v>0</v>
      </c>
      <c r="M456" s="14">
        <v>0</v>
      </c>
      <c r="N456" s="14">
        <v>0</v>
      </c>
      <c r="O456" s="14">
        <v>335</v>
      </c>
      <c r="P456" s="14">
        <v>0</v>
      </c>
      <c r="Q456" s="14">
        <v>0</v>
      </c>
      <c r="R456" s="14">
        <v>0</v>
      </c>
      <c r="S456" s="14">
        <v>0</v>
      </c>
      <c r="T456" s="18">
        <v>0</v>
      </c>
      <c r="U456" s="14">
        <v>0.27227135790000001</v>
      </c>
      <c r="W456" s="39">
        <f t="shared" si="52"/>
        <v>182.96635250880001</v>
      </c>
      <c r="AB456" s="37"/>
    </row>
    <row r="457" spans="1:29" x14ac:dyDescent="0.25">
      <c r="A457" s="7" t="s">
        <v>65</v>
      </c>
      <c r="B457" s="15" t="s">
        <v>19</v>
      </c>
      <c r="C457" s="7" t="s">
        <v>21</v>
      </c>
      <c r="D457" s="14">
        <v>0</v>
      </c>
      <c r="E457" s="14">
        <v>0</v>
      </c>
      <c r="F457" s="14">
        <v>0</v>
      </c>
      <c r="G457" s="14">
        <v>0</v>
      </c>
      <c r="H457" s="16">
        <v>4743</v>
      </c>
      <c r="I457" s="17">
        <v>670</v>
      </c>
      <c r="J457" s="14">
        <v>1063</v>
      </c>
      <c r="K457" s="14">
        <v>638</v>
      </c>
      <c r="L457" s="14">
        <v>262</v>
      </c>
      <c r="M457" s="14">
        <v>835</v>
      </c>
      <c r="N457" s="14">
        <v>206</v>
      </c>
      <c r="O457" s="14">
        <v>85</v>
      </c>
      <c r="P457" s="14">
        <v>671</v>
      </c>
      <c r="Q457" s="14">
        <v>70</v>
      </c>
      <c r="R457" s="14">
        <v>72</v>
      </c>
      <c r="S457" s="14">
        <v>132</v>
      </c>
      <c r="T457" s="18">
        <v>38</v>
      </c>
      <c r="U457" s="14">
        <v>0.27227135790000001</v>
      </c>
      <c r="W457" s="39">
        <f t="shared" si="52"/>
        <v>1291.1107791618001</v>
      </c>
      <c r="AB457" s="37" t="str">
        <f t="shared" si="55"/>
        <v>Maintenance</v>
      </c>
      <c r="AC457" s="36">
        <f t="shared" si="56"/>
        <v>182.42180979299999</v>
      </c>
    </row>
    <row r="458" spans="1:29" ht="13" thickBot="1" x14ac:dyDescent="0.3">
      <c r="A458" s="7" t="s">
        <v>65</v>
      </c>
      <c r="B458" s="19" t="s">
        <v>20</v>
      </c>
      <c r="C458" s="20" t="s">
        <v>21</v>
      </c>
      <c r="D458" s="21">
        <v>0</v>
      </c>
      <c r="E458" s="21">
        <v>0</v>
      </c>
      <c r="F458" s="21">
        <v>0</v>
      </c>
      <c r="G458" s="21">
        <v>0</v>
      </c>
      <c r="H458" s="22">
        <v>4</v>
      </c>
      <c r="I458" s="23">
        <v>0</v>
      </c>
      <c r="J458" s="21">
        <v>0</v>
      </c>
      <c r="K458" s="21">
        <v>0</v>
      </c>
      <c r="L458" s="21">
        <v>0</v>
      </c>
      <c r="M458" s="21">
        <v>0</v>
      </c>
      <c r="N458" s="21">
        <v>0</v>
      </c>
      <c r="O458" s="21">
        <v>0</v>
      </c>
      <c r="P458" s="21">
        <v>0</v>
      </c>
      <c r="Q458" s="21">
        <v>0</v>
      </c>
      <c r="R458" s="21">
        <v>4</v>
      </c>
      <c r="S458" s="21">
        <v>0</v>
      </c>
      <c r="T458" s="24">
        <v>0</v>
      </c>
      <c r="U458" s="14">
        <v>0.27227135790000001</v>
      </c>
      <c r="W458" s="39">
        <f t="shared" si="52"/>
        <v>1.0890854316</v>
      </c>
      <c r="AB458" s="37" t="str">
        <f t="shared" si="55"/>
        <v>Startup</v>
      </c>
      <c r="AC458" s="36">
        <f t="shared" si="56"/>
        <v>0</v>
      </c>
    </row>
    <row r="459" spans="1:29" ht="13" thickBot="1" x14ac:dyDescent="0.3">
      <c r="A459" s="20" t="s">
        <v>65</v>
      </c>
      <c r="B459" s="25" t="s">
        <v>12</v>
      </c>
      <c r="C459" s="26" t="s">
        <v>21</v>
      </c>
      <c r="D459" s="27">
        <v>0</v>
      </c>
      <c r="E459" s="27">
        <v>0</v>
      </c>
      <c r="F459" s="27">
        <v>0</v>
      </c>
      <c r="G459" s="27">
        <v>0</v>
      </c>
      <c r="H459" s="28">
        <v>41169</v>
      </c>
      <c r="I459" s="29">
        <v>4134</v>
      </c>
      <c r="J459" s="27">
        <v>3238</v>
      </c>
      <c r="K459" s="27">
        <v>10799</v>
      </c>
      <c r="L459" s="27">
        <v>7766</v>
      </c>
      <c r="M459" s="27">
        <v>4578</v>
      </c>
      <c r="N459" s="27">
        <v>1001</v>
      </c>
      <c r="O459" s="27">
        <v>2942</v>
      </c>
      <c r="P459" s="27">
        <v>4328</v>
      </c>
      <c r="Q459" s="27">
        <v>1922</v>
      </c>
      <c r="R459" s="27">
        <v>212</v>
      </c>
      <c r="S459" s="27">
        <v>167</v>
      </c>
      <c r="T459" s="29">
        <v>81</v>
      </c>
      <c r="U459" s="14">
        <v>0.27227135790000001</v>
      </c>
      <c r="W459" s="39">
        <f t="shared" si="52"/>
        <v>11208.867262027201</v>
      </c>
      <c r="X459" s="35">
        <f>W458+W457+W454</f>
        <v>1470.8098753758002</v>
      </c>
      <c r="Y459" s="35">
        <f>W452</f>
        <v>109.99762859160001</v>
      </c>
      <c r="Z459" s="40">
        <f>V450/X459</f>
        <v>0</v>
      </c>
      <c r="AA459" s="40">
        <f>IF((Y459=0),0,Y451/Y459)</f>
        <v>0.20049504950495048</v>
      </c>
      <c r="AB459" s="48"/>
      <c r="AC459" s="48"/>
    </row>
    <row r="460" spans="1:29" ht="13" thickBot="1" x14ac:dyDescent="0.3">
      <c r="A460" s="9" t="s">
        <v>60</v>
      </c>
      <c r="B460" s="30" t="s">
        <v>15</v>
      </c>
      <c r="C460" s="31" t="s">
        <v>94</v>
      </c>
      <c r="D460" s="32" t="s">
        <v>47</v>
      </c>
      <c r="E460" s="53" t="s">
        <v>116</v>
      </c>
      <c r="F460" s="53" t="s">
        <v>117</v>
      </c>
      <c r="G460" s="53" t="s">
        <v>118</v>
      </c>
      <c r="H460" s="28" t="s">
        <v>12</v>
      </c>
      <c r="I460" s="54" t="s">
        <v>119</v>
      </c>
      <c r="J460" s="53" t="s">
        <v>174</v>
      </c>
      <c r="K460" s="53" t="s">
        <v>175</v>
      </c>
      <c r="L460" s="53" t="s">
        <v>99</v>
      </c>
      <c r="M460" s="53" t="s">
        <v>100</v>
      </c>
      <c r="N460" s="53" t="s">
        <v>101</v>
      </c>
      <c r="O460" s="53" t="s">
        <v>102</v>
      </c>
      <c r="P460" s="53" t="s">
        <v>103</v>
      </c>
      <c r="Q460" s="53" t="s">
        <v>104</v>
      </c>
      <c r="R460" s="53" t="s">
        <v>105</v>
      </c>
      <c r="S460" s="53" t="s">
        <v>106</v>
      </c>
      <c r="T460" s="55" t="s">
        <v>107</v>
      </c>
      <c r="U460" s="14">
        <v>0.27227135790000001</v>
      </c>
      <c r="V460" s="14" t="s">
        <v>183</v>
      </c>
      <c r="W460" s="39">
        <f t="shared" si="52"/>
        <v>0</v>
      </c>
      <c r="X460" s="14" t="s">
        <v>37</v>
      </c>
      <c r="Y460" s="14" t="s">
        <v>38</v>
      </c>
      <c r="AB460" s="48"/>
      <c r="AC460" s="48"/>
    </row>
    <row r="461" spans="1:29" x14ac:dyDescent="0.25">
      <c r="A461" s="7" t="s">
        <v>60</v>
      </c>
      <c r="B461" s="8" t="s">
        <v>17</v>
      </c>
      <c r="C461" s="9" t="s">
        <v>18</v>
      </c>
      <c r="D461" s="10">
        <v>3</v>
      </c>
      <c r="E461" s="10">
        <v>0</v>
      </c>
      <c r="F461" s="10">
        <v>0</v>
      </c>
      <c r="G461" s="10">
        <v>0</v>
      </c>
      <c r="H461" s="11">
        <v>14467</v>
      </c>
      <c r="I461" s="12">
        <v>14464</v>
      </c>
      <c r="J461" s="10">
        <v>0</v>
      </c>
      <c r="K461" s="10">
        <v>0</v>
      </c>
      <c r="L461" s="10">
        <v>0</v>
      </c>
      <c r="M461" s="10">
        <v>0</v>
      </c>
      <c r="N461" s="10">
        <v>0</v>
      </c>
      <c r="O461" s="10">
        <v>0</v>
      </c>
      <c r="P461" s="10">
        <v>0</v>
      </c>
      <c r="Q461" s="10">
        <v>0</v>
      </c>
      <c r="R461" s="10">
        <v>0</v>
      </c>
      <c r="S461" s="10">
        <v>0</v>
      </c>
      <c r="T461" s="13">
        <v>0</v>
      </c>
      <c r="U461" s="14">
        <v>0.27227135790000001</v>
      </c>
      <c r="V461" s="42">
        <f>SUM(I461:T461)/H461</f>
        <v>0.99979263150618647</v>
      </c>
      <c r="W461" s="39">
        <f t="shared" si="52"/>
        <v>3938.1329206656001</v>
      </c>
    </row>
    <row r="462" spans="1:29" x14ac:dyDescent="0.25">
      <c r="A462" s="7" t="s">
        <v>60</v>
      </c>
      <c r="B462" s="15" t="s">
        <v>66</v>
      </c>
      <c r="C462" s="7" t="s">
        <v>18</v>
      </c>
      <c r="D462" s="14">
        <v>0</v>
      </c>
      <c r="E462" s="14">
        <v>0</v>
      </c>
      <c r="F462" s="14">
        <v>0</v>
      </c>
      <c r="G462" s="14">
        <v>446</v>
      </c>
      <c r="H462" s="16">
        <v>257586</v>
      </c>
      <c r="I462" s="17">
        <v>138900</v>
      </c>
      <c r="J462" s="14">
        <v>26031</v>
      </c>
      <c r="K462" s="14">
        <v>765</v>
      </c>
      <c r="L462" s="14">
        <v>1079</v>
      </c>
      <c r="M462" s="14">
        <v>5571</v>
      </c>
      <c r="N462" s="14">
        <v>9434</v>
      </c>
      <c r="O462" s="14">
        <v>14836</v>
      </c>
      <c r="P462" s="14">
        <v>60524</v>
      </c>
      <c r="Q462" s="14">
        <v>0</v>
      </c>
      <c r="R462" s="14">
        <v>0</v>
      </c>
      <c r="S462" s="14">
        <v>0</v>
      </c>
      <c r="T462" s="18">
        <v>0</v>
      </c>
      <c r="U462" s="14">
        <v>0.27227135790000001</v>
      </c>
      <c r="V462" s="44"/>
      <c r="W462" s="39">
        <f t="shared" si="52"/>
        <v>70011.856970406006</v>
      </c>
    </row>
    <row r="463" spans="1:29" x14ac:dyDescent="0.25">
      <c r="A463" s="7" t="s">
        <v>60</v>
      </c>
      <c r="B463" s="15" t="s">
        <v>13</v>
      </c>
      <c r="C463" s="7" t="s">
        <v>18</v>
      </c>
      <c r="D463" s="14">
        <v>0</v>
      </c>
      <c r="E463" s="14">
        <v>0</v>
      </c>
      <c r="F463" s="14">
        <v>0</v>
      </c>
      <c r="G463" s="14">
        <v>0</v>
      </c>
      <c r="H463" s="16">
        <v>99858</v>
      </c>
      <c r="I463" s="17">
        <v>99822</v>
      </c>
      <c r="J463" s="14">
        <v>2</v>
      </c>
      <c r="K463" s="14">
        <v>0</v>
      </c>
      <c r="L463" s="14">
        <v>0</v>
      </c>
      <c r="M463" s="14">
        <v>7</v>
      </c>
      <c r="N463" s="14">
        <v>2</v>
      </c>
      <c r="O463" s="14">
        <v>0</v>
      </c>
      <c r="P463" s="14">
        <v>25</v>
      </c>
      <c r="Q463" s="14">
        <v>0</v>
      </c>
      <c r="R463" s="14">
        <v>0</v>
      </c>
      <c r="S463" s="14">
        <v>0</v>
      </c>
      <c r="T463" s="18">
        <v>0</v>
      </c>
      <c r="U463" s="14">
        <v>0.27227135790000001</v>
      </c>
      <c r="V463" s="41"/>
      <c r="W463" s="39">
        <f t="shared" si="52"/>
        <v>27188.473257178201</v>
      </c>
    </row>
    <row r="464" spans="1:29" x14ac:dyDescent="0.25">
      <c r="A464" s="7" t="s">
        <v>60</v>
      </c>
      <c r="B464" s="15" t="s">
        <v>67</v>
      </c>
      <c r="C464" s="7" t="s">
        <v>18</v>
      </c>
      <c r="D464" s="14">
        <v>428</v>
      </c>
      <c r="E464" s="14">
        <v>713</v>
      </c>
      <c r="F464" s="14">
        <v>206</v>
      </c>
      <c r="G464" s="14">
        <v>33</v>
      </c>
      <c r="H464" s="16">
        <v>15510</v>
      </c>
      <c r="I464" s="17">
        <v>9057</v>
      </c>
      <c r="J464" s="14">
        <v>3745</v>
      </c>
      <c r="K464" s="14">
        <v>188</v>
      </c>
      <c r="L464" s="14">
        <v>0</v>
      </c>
      <c r="M464" s="14">
        <v>0</v>
      </c>
      <c r="N464" s="14">
        <v>1140</v>
      </c>
      <c r="O464" s="14">
        <v>0</v>
      </c>
      <c r="P464" s="14">
        <v>0</v>
      </c>
      <c r="Q464" s="14">
        <v>0</v>
      </c>
      <c r="R464" s="14">
        <v>0</v>
      </c>
      <c r="S464" s="14">
        <v>0</v>
      </c>
      <c r="T464" s="18">
        <v>0</v>
      </c>
      <c r="U464" s="14">
        <v>0.27227135790000001</v>
      </c>
      <c r="V464" s="41"/>
      <c r="W464" s="39">
        <f t="shared" si="52"/>
        <v>3847.1942871270003</v>
      </c>
    </row>
    <row r="465" spans="1:29" x14ac:dyDescent="0.25">
      <c r="A465" s="7" t="s">
        <v>60</v>
      </c>
      <c r="B465" s="15" t="s">
        <v>73</v>
      </c>
      <c r="C465" s="7" t="s">
        <v>18</v>
      </c>
      <c r="D465" s="14">
        <v>0</v>
      </c>
      <c r="E465" s="14">
        <v>0</v>
      </c>
      <c r="F465" s="14">
        <v>0</v>
      </c>
      <c r="G465" s="14">
        <v>0</v>
      </c>
      <c r="H465" s="16">
        <v>112543</v>
      </c>
      <c r="I465" s="17">
        <v>111362</v>
      </c>
      <c r="J465" s="14">
        <v>1101</v>
      </c>
      <c r="K465" s="14">
        <v>0</v>
      </c>
      <c r="L465" s="14">
        <v>0</v>
      </c>
      <c r="M465" s="14">
        <v>61</v>
      </c>
      <c r="N465" s="14">
        <v>12</v>
      </c>
      <c r="O465" s="14">
        <v>0</v>
      </c>
      <c r="P465" s="14">
        <v>7</v>
      </c>
      <c r="Q465" s="14">
        <v>0</v>
      </c>
      <c r="R465" s="14">
        <v>0</v>
      </c>
      <c r="S465" s="14">
        <v>0</v>
      </c>
      <c r="T465" s="18">
        <v>0</v>
      </c>
      <c r="U465" s="14">
        <v>0.27227135790000001</v>
      </c>
      <c r="V465" s="41"/>
      <c r="W465" s="39">
        <f t="shared" si="52"/>
        <v>30642.2354321397</v>
      </c>
    </row>
    <row r="466" spans="1:29" x14ac:dyDescent="0.25">
      <c r="A466" s="7" t="s">
        <v>60</v>
      </c>
      <c r="B466" s="15" t="s">
        <v>19</v>
      </c>
      <c r="C466" s="7" t="s">
        <v>18</v>
      </c>
      <c r="D466" s="14">
        <v>0</v>
      </c>
      <c r="E466" s="14">
        <v>0</v>
      </c>
      <c r="F466" s="14">
        <v>0</v>
      </c>
      <c r="G466" s="14">
        <v>2524</v>
      </c>
      <c r="H466" s="16">
        <v>28370</v>
      </c>
      <c r="I466" s="17">
        <v>23736</v>
      </c>
      <c r="J466" s="14">
        <v>105</v>
      </c>
      <c r="K466" s="14">
        <v>38</v>
      </c>
      <c r="L466" s="14">
        <v>172</v>
      </c>
      <c r="M466" s="14">
        <v>386</v>
      </c>
      <c r="N466" s="14">
        <v>206</v>
      </c>
      <c r="O466" s="14">
        <v>311</v>
      </c>
      <c r="P466" s="14">
        <v>892</v>
      </c>
      <c r="Q466" s="14">
        <v>0</v>
      </c>
      <c r="R466" s="14">
        <v>0</v>
      </c>
      <c r="S466" s="14">
        <v>0</v>
      </c>
      <c r="T466" s="18">
        <v>0</v>
      </c>
      <c r="U466" s="14">
        <v>0.27227135790000001</v>
      </c>
      <c r="V466" s="41"/>
      <c r="W466" s="39">
        <f t="shared" si="52"/>
        <v>7037.1255162834004</v>
      </c>
    </row>
    <row r="467" spans="1:29" ht="13" thickBot="1" x14ac:dyDescent="0.3">
      <c r="A467" s="7" t="s">
        <v>60</v>
      </c>
      <c r="B467" s="19" t="s">
        <v>20</v>
      </c>
      <c r="C467" s="20" t="s">
        <v>18</v>
      </c>
      <c r="D467" s="21">
        <v>0</v>
      </c>
      <c r="E467" s="21">
        <v>0</v>
      </c>
      <c r="F467" s="21">
        <v>0</v>
      </c>
      <c r="G467" s="21">
        <v>0</v>
      </c>
      <c r="H467" s="22">
        <v>402</v>
      </c>
      <c r="I467" s="23">
        <v>402</v>
      </c>
      <c r="J467" s="21">
        <v>0</v>
      </c>
      <c r="K467" s="21">
        <v>0</v>
      </c>
      <c r="L467" s="21">
        <v>0</v>
      </c>
      <c r="M467" s="21">
        <v>0</v>
      </c>
      <c r="N467" s="21">
        <v>0</v>
      </c>
      <c r="O467" s="21">
        <v>0</v>
      </c>
      <c r="P467" s="21">
        <v>0</v>
      </c>
      <c r="Q467" s="21">
        <v>0</v>
      </c>
      <c r="R467" s="21">
        <v>0</v>
      </c>
      <c r="S467" s="21">
        <v>0</v>
      </c>
      <c r="T467" s="24">
        <v>0</v>
      </c>
      <c r="U467" s="14">
        <v>0.27227135790000001</v>
      </c>
      <c r="V467" s="44"/>
      <c r="W467" s="39">
        <f t="shared" si="52"/>
        <v>109.4530858758</v>
      </c>
    </row>
    <row r="468" spans="1:29" ht="13" thickBot="1" x14ac:dyDescent="0.3">
      <c r="A468" s="7" t="s">
        <v>60</v>
      </c>
      <c r="B468" s="25" t="s">
        <v>12</v>
      </c>
      <c r="C468" s="26" t="s">
        <v>18</v>
      </c>
      <c r="D468" s="27">
        <v>431</v>
      </c>
      <c r="E468" s="27">
        <v>713</v>
      </c>
      <c r="F468" s="27">
        <v>206</v>
      </c>
      <c r="G468" s="27">
        <v>3003</v>
      </c>
      <c r="H468" s="28">
        <v>528736</v>
      </c>
      <c r="I468" s="29">
        <v>397743</v>
      </c>
      <c r="J468" s="27">
        <v>30984</v>
      </c>
      <c r="K468" s="27">
        <v>991</v>
      </c>
      <c r="L468" s="27">
        <v>1251</v>
      </c>
      <c r="M468" s="27">
        <v>6025</v>
      </c>
      <c r="N468" s="27">
        <v>10794</v>
      </c>
      <c r="O468" s="27">
        <v>15147</v>
      </c>
      <c r="P468" s="27">
        <v>61448</v>
      </c>
      <c r="Q468" s="27">
        <v>0</v>
      </c>
      <c r="R468" s="27">
        <v>0</v>
      </c>
      <c r="S468" s="27">
        <v>0</v>
      </c>
      <c r="T468" s="29">
        <v>0</v>
      </c>
      <c r="U468" s="14">
        <v>0.27227135790000001</v>
      </c>
      <c r="V468" s="43">
        <f>SUM(I463:T466)/SUM(H463:H466)</f>
        <v>0.98476672090400774</v>
      </c>
      <c r="W468" s="39">
        <f t="shared" si="52"/>
        <v>142774.47146967571</v>
      </c>
      <c r="X468" s="35">
        <f>W466+W463</f>
        <v>34225.598773461599</v>
      </c>
      <c r="Y468" s="35">
        <f>W461</f>
        <v>3938.1329206656001</v>
      </c>
    </row>
    <row r="469" spans="1:29" x14ac:dyDescent="0.25">
      <c r="A469" s="7" t="s">
        <v>60</v>
      </c>
      <c r="B469" s="8" t="s">
        <v>17</v>
      </c>
      <c r="C469" s="9" t="s">
        <v>21</v>
      </c>
      <c r="D469" s="10">
        <v>0</v>
      </c>
      <c r="E469" s="10">
        <v>0</v>
      </c>
      <c r="F469" s="10">
        <v>0</v>
      </c>
      <c r="G469" s="10">
        <v>0</v>
      </c>
      <c r="H469" s="11">
        <v>164</v>
      </c>
      <c r="I469" s="12">
        <v>164</v>
      </c>
      <c r="J469" s="10">
        <v>0</v>
      </c>
      <c r="K469" s="10">
        <v>0</v>
      </c>
      <c r="L469" s="10">
        <v>0</v>
      </c>
      <c r="M469" s="10">
        <v>0</v>
      </c>
      <c r="N469" s="10">
        <v>0</v>
      </c>
      <c r="O469" s="10">
        <v>0</v>
      </c>
      <c r="P469" s="10">
        <v>0</v>
      </c>
      <c r="Q469" s="10">
        <v>0</v>
      </c>
      <c r="R469" s="10">
        <v>0</v>
      </c>
      <c r="S469" s="10">
        <v>0</v>
      </c>
      <c r="T469" s="13">
        <v>0</v>
      </c>
      <c r="U469" s="14">
        <v>0.27227135790000001</v>
      </c>
      <c r="W469" s="39">
        <f t="shared" si="52"/>
        <v>44.652502695599999</v>
      </c>
      <c r="AB469" s="37" t="str">
        <f t="shared" ref="AB469:AB475" si="57">B469</f>
        <v>Parts-OTC</v>
      </c>
      <c r="AC469" s="36">
        <f t="shared" ref="AC469:AC475" si="58">I469*U469</f>
        <v>44.652502695599999</v>
      </c>
    </row>
    <row r="470" spans="1:29" x14ac:dyDescent="0.25">
      <c r="A470" s="7" t="s">
        <v>60</v>
      </c>
      <c r="B470" s="15" t="s">
        <v>66</v>
      </c>
      <c r="C470" s="7" t="s">
        <v>21</v>
      </c>
      <c r="D470" s="14">
        <v>0</v>
      </c>
      <c r="E470" s="14">
        <v>0</v>
      </c>
      <c r="F470" s="14">
        <v>0</v>
      </c>
      <c r="G470" s="14">
        <v>0</v>
      </c>
      <c r="H470" s="16">
        <v>6890</v>
      </c>
      <c r="I470" s="17">
        <v>1296</v>
      </c>
      <c r="J470" s="14">
        <v>1878</v>
      </c>
      <c r="K470" s="14">
        <v>1025</v>
      </c>
      <c r="L470" s="14">
        <v>1768</v>
      </c>
      <c r="M470" s="14">
        <v>173</v>
      </c>
      <c r="N470" s="14">
        <v>603</v>
      </c>
      <c r="O470" s="14">
        <v>58</v>
      </c>
      <c r="P470" s="14">
        <v>90</v>
      </c>
      <c r="Q470" s="14">
        <v>0</v>
      </c>
      <c r="R470" s="14">
        <v>0</v>
      </c>
      <c r="S470" s="14">
        <v>0</v>
      </c>
      <c r="T470" s="18">
        <v>0</v>
      </c>
      <c r="U470" s="14">
        <v>0.27227135790000001</v>
      </c>
      <c r="W470" s="39">
        <f t="shared" si="52"/>
        <v>1876.2219272889001</v>
      </c>
      <c r="AB470" s="37" t="str">
        <f t="shared" si="57"/>
        <v>CTKS</v>
      </c>
      <c r="AC470" s="36">
        <f t="shared" si="58"/>
        <v>352.8636798384</v>
      </c>
    </row>
    <row r="471" spans="1:29" x14ac:dyDescent="0.25">
      <c r="A471" s="7" t="s">
        <v>60</v>
      </c>
      <c r="B471" s="15" t="s">
        <v>13</v>
      </c>
      <c r="C471" s="7" t="s">
        <v>21</v>
      </c>
      <c r="D471" s="14">
        <v>0</v>
      </c>
      <c r="E471" s="14">
        <v>0</v>
      </c>
      <c r="F471" s="14">
        <v>0</v>
      </c>
      <c r="G471" s="14">
        <v>0</v>
      </c>
      <c r="H471" s="16">
        <v>4410</v>
      </c>
      <c r="I471" s="33">
        <v>1671</v>
      </c>
      <c r="J471" s="34">
        <v>146</v>
      </c>
      <c r="K471" s="34">
        <v>641</v>
      </c>
      <c r="L471" s="14">
        <v>142</v>
      </c>
      <c r="M471" s="14">
        <v>1225</v>
      </c>
      <c r="N471" s="14">
        <v>585</v>
      </c>
      <c r="O471" s="14">
        <v>0</v>
      </c>
      <c r="P471" s="14">
        <v>0</v>
      </c>
      <c r="Q471" s="14">
        <v>0</v>
      </c>
      <c r="R471" s="14">
        <v>0</v>
      </c>
      <c r="S471" s="14">
        <v>0</v>
      </c>
      <c r="T471" s="18">
        <v>0</v>
      </c>
      <c r="U471" s="14">
        <v>0.27227135790000001</v>
      </c>
      <c r="W471" s="39">
        <f t="shared" si="52"/>
        <v>1200.716688339</v>
      </c>
      <c r="AB471" s="37" t="str">
        <f t="shared" si="57"/>
        <v>Repair</v>
      </c>
      <c r="AC471" s="36">
        <f t="shared" si="58"/>
        <v>454.96543905090005</v>
      </c>
    </row>
    <row r="472" spans="1:29" x14ac:dyDescent="0.25">
      <c r="A472" s="7" t="s">
        <v>60</v>
      </c>
      <c r="B472" s="15" t="s">
        <v>67</v>
      </c>
      <c r="C472" s="7" t="s">
        <v>21</v>
      </c>
      <c r="D472" s="14">
        <v>0</v>
      </c>
      <c r="E472" s="14">
        <v>0</v>
      </c>
      <c r="F472" s="14">
        <v>0</v>
      </c>
      <c r="G472" s="14">
        <v>0</v>
      </c>
      <c r="H472" s="16">
        <v>3471</v>
      </c>
      <c r="I472" s="17">
        <v>940</v>
      </c>
      <c r="J472" s="14">
        <v>277</v>
      </c>
      <c r="K472" s="14">
        <v>365</v>
      </c>
      <c r="L472" s="14">
        <v>243</v>
      </c>
      <c r="M472" s="14">
        <v>237</v>
      </c>
      <c r="N472" s="14">
        <v>249</v>
      </c>
      <c r="O472" s="14">
        <v>154</v>
      </c>
      <c r="P472" s="14">
        <v>145</v>
      </c>
      <c r="Q472" s="14">
        <v>205</v>
      </c>
      <c r="R472" s="14">
        <v>97</v>
      </c>
      <c r="S472" s="14">
        <v>241</v>
      </c>
      <c r="T472" s="18">
        <v>316</v>
      </c>
      <c r="U472" s="14">
        <v>0.27227135790000001</v>
      </c>
      <c r="W472" s="39">
        <f t="shared" si="52"/>
        <v>944.50934055510004</v>
      </c>
      <c r="AB472" s="37" t="str">
        <f t="shared" si="57"/>
        <v>Rental</v>
      </c>
      <c r="AC472" s="36">
        <f t="shared" si="58"/>
        <v>255.93507642600002</v>
      </c>
    </row>
    <row r="473" spans="1:29" x14ac:dyDescent="0.25">
      <c r="A473" s="7" t="s">
        <v>60</v>
      </c>
      <c r="B473" s="15" t="s">
        <v>73</v>
      </c>
      <c r="C473" s="7" t="s">
        <v>21</v>
      </c>
      <c r="D473" s="14">
        <v>0</v>
      </c>
      <c r="E473" s="14">
        <v>0</v>
      </c>
      <c r="F473" s="14">
        <v>0</v>
      </c>
      <c r="G473" s="14">
        <v>0</v>
      </c>
      <c r="H473" s="16">
        <v>2926</v>
      </c>
      <c r="I473" s="17">
        <v>1646</v>
      </c>
      <c r="J473" s="14">
        <v>422</v>
      </c>
      <c r="K473" s="14">
        <v>31</v>
      </c>
      <c r="L473" s="14">
        <v>809</v>
      </c>
      <c r="M473" s="14">
        <v>18</v>
      </c>
      <c r="N473" s="14">
        <v>0</v>
      </c>
      <c r="O473" s="14">
        <v>0</v>
      </c>
      <c r="P473" s="14">
        <v>0</v>
      </c>
      <c r="Q473" s="14">
        <v>0</v>
      </c>
      <c r="R473" s="14">
        <v>0</v>
      </c>
      <c r="S473" s="14">
        <v>0</v>
      </c>
      <c r="T473" s="18">
        <v>0</v>
      </c>
      <c r="U473" s="14">
        <v>0.27227135790000001</v>
      </c>
      <c r="W473" s="39">
        <f t="shared" si="52"/>
        <v>796.66599321540002</v>
      </c>
      <c r="AB473" s="37"/>
    </row>
    <row r="474" spans="1:29" x14ac:dyDescent="0.25">
      <c r="A474" s="7" t="s">
        <v>60</v>
      </c>
      <c r="B474" s="15" t="s">
        <v>19</v>
      </c>
      <c r="C474" s="7" t="s">
        <v>21</v>
      </c>
      <c r="D474" s="14">
        <v>0</v>
      </c>
      <c r="E474" s="14">
        <v>0</v>
      </c>
      <c r="F474" s="14">
        <v>0</v>
      </c>
      <c r="G474" s="14">
        <v>0</v>
      </c>
      <c r="H474" s="16">
        <v>16830</v>
      </c>
      <c r="I474" s="17">
        <v>1572</v>
      </c>
      <c r="J474" s="14">
        <v>3786</v>
      </c>
      <c r="K474" s="14">
        <v>858</v>
      </c>
      <c r="L474" s="14">
        <v>1706</v>
      </c>
      <c r="M474" s="14">
        <v>3044</v>
      </c>
      <c r="N474" s="14">
        <v>576</v>
      </c>
      <c r="O474" s="14">
        <v>560</v>
      </c>
      <c r="P474" s="14">
        <v>3877</v>
      </c>
      <c r="Q474" s="14">
        <v>150</v>
      </c>
      <c r="R474" s="14">
        <v>190</v>
      </c>
      <c r="S474" s="14">
        <v>418</v>
      </c>
      <c r="T474" s="18">
        <v>93</v>
      </c>
      <c r="U474" s="14">
        <v>0.27227135790000001</v>
      </c>
      <c r="W474" s="39">
        <f t="shared" si="52"/>
        <v>4582.3269534569999</v>
      </c>
      <c r="AB474" s="37" t="str">
        <f t="shared" si="57"/>
        <v>Maintenance</v>
      </c>
      <c r="AC474" s="36">
        <f t="shared" si="58"/>
        <v>428.01057461880004</v>
      </c>
    </row>
    <row r="475" spans="1:29" ht="13" thickBot="1" x14ac:dyDescent="0.3">
      <c r="A475" s="7" t="s">
        <v>60</v>
      </c>
      <c r="B475" s="19" t="s">
        <v>20</v>
      </c>
      <c r="C475" s="20" t="s">
        <v>21</v>
      </c>
      <c r="D475" s="21">
        <v>0</v>
      </c>
      <c r="E475" s="21">
        <v>0</v>
      </c>
      <c r="F475" s="21">
        <v>0</v>
      </c>
      <c r="G475" s="21">
        <v>0</v>
      </c>
      <c r="H475" s="22">
        <v>218</v>
      </c>
      <c r="I475" s="23">
        <v>12</v>
      </c>
      <c r="J475" s="21">
        <v>15</v>
      </c>
      <c r="K475" s="21">
        <v>95</v>
      </c>
      <c r="L475" s="21">
        <v>90</v>
      </c>
      <c r="M475" s="21">
        <v>6</v>
      </c>
      <c r="N475" s="21">
        <v>0</v>
      </c>
      <c r="O475" s="21">
        <v>0</v>
      </c>
      <c r="P475" s="21">
        <v>0</v>
      </c>
      <c r="Q475" s="21">
        <v>0</v>
      </c>
      <c r="R475" s="21">
        <v>0</v>
      </c>
      <c r="S475" s="21">
        <v>0</v>
      </c>
      <c r="T475" s="24">
        <v>0</v>
      </c>
      <c r="U475" s="14">
        <v>0.27227135790000001</v>
      </c>
      <c r="W475" s="39">
        <f t="shared" si="52"/>
        <v>59.355156022199999</v>
      </c>
      <c r="AB475" s="37" t="str">
        <f t="shared" si="57"/>
        <v>Startup</v>
      </c>
      <c r="AC475" s="36">
        <f t="shared" si="58"/>
        <v>3.2672562948000001</v>
      </c>
    </row>
    <row r="476" spans="1:29" ht="13" thickBot="1" x14ac:dyDescent="0.3">
      <c r="A476" s="20" t="s">
        <v>60</v>
      </c>
      <c r="B476" s="25" t="s">
        <v>12</v>
      </c>
      <c r="C476" s="26" t="s">
        <v>21</v>
      </c>
      <c r="D476" s="27">
        <v>0</v>
      </c>
      <c r="E476" s="27">
        <v>0</v>
      </c>
      <c r="F476" s="27">
        <v>0</v>
      </c>
      <c r="G476" s="27">
        <v>0</v>
      </c>
      <c r="H476" s="28">
        <v>34909</v>
      </c>
      <c r="I476" s="29">
        <v>7301</v>
      </c>
      <c r="J476" s="27">
        <v>6524</v>
      </c>
      <c r="K476" s="27">
        <v>3015</v>
      </c>
      <c r="L476" s="27">
        <v>4758</v>
      </c>
      <c r="M476" s="27">
        <v>4703</v>
      </c>
      <c r="N476" s="27">
        <v>2013</v>
      </c>
      <c r="O476" s="27">
        <v>772</v>
      </c>
      <c r="P476" s="27">
        <v>4112</v>
      </c>
      <c r="Q476" s="27">
        <v>355</v>
      </c>
      <c r="R476" s="27">
        <v>287</v>
      </c>
      <c r="S476" s="27">
        <v>659</v>
      </c>
      <c r="T476" s="29">
        <v>409</v>
      </c>
      <c r="U476" s="14">
        <v>0.27227135790000001</v>
      </c>
      <c r="W476" s="39">
        <f t="shared" si="52"/>
        <v>9504.448561573201</v>
      </c>
      <c r="X476" s="35">
        <f>W475+W474+W471</f>
        <v>5842.3987978182004</v>
      </c>
      <c r="Y476" s="35">
        <f>W469</f>
        <v>44.652502695599999</v>
      </c>
      <c r="Z476" s="40">
        <f>V467/X476</f>
        <v>0</v>
      </c>
      <c r="AA476" s="40">
        <f>IF((Y476=0),0,Y468/Y476)</f>
        <v>88.195121951219519</v>
      </c>
      <c r="AB476" s="48"/>
      <c r="AC476" s="48"/>
    </row>
    <row r="477" spans="1:29" ht="13" thickBot="1" x14ac:dyDescent="0.3">
      <c r="A477" s="9" t="s">
        <v>89</v>
      </c>
      <c r="B477" s="30" t="s">
        <v>15</v>
      </c>
      <c r="C477" s="31" t="s">
        <v>94</v>
      </c>
      <c r="D477" s="32" t="s">
        <v>47</v>
      </c>
      <c r="E477" s="53" t="s">
        <v>116</v>
      </c>
      <c r="F477" s="53" t="s">
        <v>117</v>
      </c>
      <c r="G477" s="53" t="s">
        <v>118</v>
      </c>
      <c r="H477" s="28" t="s">
        <v>12</v>
      </c>
      <c r="I477" s="54" t="s">
        <v>119</v>
      </c>
      <c r="J477" s="53" t="s">
        <v>174</v>
      </c>
      <c r="K477" s="53" t="s">
        <v>175</v>
      </c>
      <c r="L477" s="53" t="s">
        <v>99</v>
      </c>
      <c r="M477" s="53" t="s">
        <v>100</v>
      </c>
      <c r="N477" s="53" t="s">
        <v>101</v>
      </c>
      <c r="O477" s="53" t="s">
        <v>102</v>
      </c>
      <c r="P477" s="53" t="s">
        <v>103</v>
      </c>
      <c r="Q477" s="53" t="s">
        <v>104</v>
      </c>
      <c r="R477" s="53" t="s">
        <v>105</v>
      </c>
      <c r="S477" s="53" t="s">
        <v>106</v>
      </c>
      <c r="T477" s="55" t="s">
        <v>107</v>
      </c>
      <c r="U477" s="14">
        <v>2.1000000000000001E-2</v>
      </c>
      <c r="V477" s="14" t="s">
        <v>183</v>
      </c>
      <c r="W477" s="39">
        <f t="shared" si="52"/>
        <v>0</v>
      </c>
      <c r="X477" s="14" t="s">
        <v>37</v>
      </c>
      <c r="Y477" s="14" t="s">
        <v>38</v>
      </c>
      <c r="AB477" s="48"/>
      <c r="AC477" s="48"/>
    </row>
    <row r="478" spans="1:29" x14ac:dyDescent="0.25">
      <c r="A478" s="7" t="s">
        <v>89</v>
      </c>
      <c r="B478" s="8" t="s">
        <v>17</v>
      </c>
      <c r="C478" s="9" t="s">
        <v>18</v>
      </c>
      <c r="D478" s="10">
        <v>0</v>
      </c>
      <c r="E478" s="10">
        <v>0</v>
      </c>
      <c r="F478" s="10">
        <v>0</v>
      </c>
      <c r="G478" s="10">
        <v>0</v>
      </c>
      <c r="H478" s="11">
        <v>172</v>
      </c>
      <c r="I478" s="12">
        <v>0</v>
      </c>
      <c r="J478" s="10">
        <v>0</v>
      </c>
      <c r="K478" s="10">
        <v>0</v>
      </c>
      <c r="L478" s="10">
        <v>9</v>
      </c>
      <c r="M478" s="10">
        <v>163</v>
      </c>
      <c r="N478" s="10">
        <v>0</v>
      </c>
      <c r="O478" s="10">
        <v>0</v>
      </c>
      <c r="P478" s="10">
        <v>0</v>
      </c>
      <c r="Q478" s="10">
        <v>0</v>
      </c>
      <c r="R478" s="10">
        <v>0</v>
      </c>
      <c r="S478" s="10">
        <v>0</v>
      </c>
      <c r="T478" s="13">
        <v>0</v>
      </c>
      <c r="U478" s="14">
        <v>2.1000000000000001E-2</v>
      </c>
      <c r="V478" s="42">
        <f>SUM(I478:T478)/H478</f>
        <v>1</v>
      </c>
      <c r="W478" s="39">
        <f t="shared" si="52"/>
        <v>3.6120000000000001</v>
      </c>
    </row>
    <row r="479" spans="1:29" x14ac:dyDescent="0.25">
      <c r="A479" s="7" t="s">
        <v>89</v>
      </c>
      <c r="B479" s="15" t="s">
        <v>66</v>
      </c>
      <c r="C479" s="7" t="s">
        <v>18</v>
      </c>
      <c r="D479" s="14">
        <v>0</v>
      </c>
      <c r="E479" s="14">
        <v>0</v>
      </c>
      <c r="F479" s="14">
        <v>0</v>
      </c>
      <c r="G479" s="14">
        <v>0</v>
      </c>
      <c r="H479" s="16">
        <v>0</v>
      </c>
      <c r="I479" s="17">
        <v>0</v>
      </c>
      <c r="J479" s="14">
        <v>0</v>
      </c>
      <c r="K479" s="14">
        <v>0</v>
      </c>
      <c r="L479" s="14">
        <v>0</v>
      </c>
      <c r="M479" s="14">
        <v>0</v>
      </c>
      <c r="N479" s="14">
        <v>0</v>
      </c>
      <c r="O479" s="14">
        <v>0</v>
      </c>
      <c r="P479" s="14">
        <v>0</v>
      </c>
      <c r="Q479" s="14">
        <v>0</v>
      </c>
      <c r="R479" s="14">
        <v>0</v>
      </c>
      <c r="S479" s="14">
        <v>0</v>
      </c>
      <c r="T479" s="18">
        <v>0</v>
      </c>
      <c r="U479" s="14">
        <v>2.1000000000000001E-2</v>
      </c>
      <c r="V479" s="44"/>
      <c r="W479" s="39">
        <f t="shared" si="52"/>
        <v>0</v>
      </c>
    </row>
    <row r="480" spans="1:29" x14ac:dyDescent="0.25">
      <c r="A480" s="7" t="s">
        <v>89</v>
      </c>
      <c r="B480" s="15" t="s">
        <v>13</v>
      </c>
      <c r="C480" s="7" t="s">
        <v>18</v>
      </c>
      <c r="D480" s="14">
        <v>0</v>
      </c>
      <c r="E480" s="14">
        <v>0</v>
      </c>
      <c r="F480" s="14">
        <v>0</v>
      </c>
      <c r="G480" s="14">
        <v>0</v>
      </c>
      <c r="H480" s="16">
        <v>11360</v>
      </c>
      <c r="I480" s="17">
        <v>3024</v>
      </c>
      <c r="J480" s="14">
        <v>0</v>
      </c>
      <c r="K480" s="14">
        <v>3353</v>
      </c>
      <c r="L480" s="14">
        <v>4982</v>
      </c>
      <c r="M480" s="14">
        <v>0</v>
      </c>
      <c r="N480" s="14">
        <v>0</v>
      </c>
      <c r="O480" s="14">
        <v>0</v>
      </c>
      <c r="P480" s="14">
        <v>0</v>
      </c>
      <c r="Q480" s="14">
        <v>0</v>
      </c>
      <c r="R480" s="14">
        <v>0</v>
      </c>
      <c r="S480" s="14">
        <v>0</v>
      </c>
      <c r="T480" s="18">
        <v>0</v>
      </c>
      <c r="U480" s="14">
        <v>2.1000000000000001E-2</v>
      </c>
      <c r="V480" s="41"/>
      <c r="W480" s="39">
        <f t="shared" si="52"/>
        <v>238.53900000000002</v>
      </c>
    </row>
    <row r="481" spans="1:29" x14ac:dyDescent="0.25">
      <c r="A481" s="7" t="s">
        <v>89</v>
      </c>
      <c r="B481" s="15" t="s">
        <v>67</v>
      </c>
      <c r="C481" s="7" t="s">
        <v>18</v>
      </c>
      <c r="D481" s="14">
        <v>0</v>
      </c>
      <c r="E481" s="14">
        <v>0</v>
      </c>
      <c r="F481" s="14">
        <v>0</v>
      </c>
      <c r="G481" s="14">
        <v>0</v>
      </c>
      <c r="H481" s="16">
        <v>0</v>
      </c>
      <c r="I481" s="17">
        <v>0</v>
      </c>
      <c r="J481" s="14">
        <v>0</v>
      </c>
      <c r="K481" s="14">
        <v>0</v>
      </c>
      <c r="L481" s="14">
        <v>0</v>
      </c>
      <c r="M481" s="14">
        <v>0</v>
      </c>
      <c r="N481" s="14">
        <v>0</v>
      </c>
      <c r="O481" s="14">
        <v>0</v>
      </c>
      <c r="P481" s="14">
        <v>0</v>
      </c>
      <c r="Q481" s="14">
        <v>0</v>
      </c>
      <c r="R481" s="14">
        <v>0</v>
      </c>
      <c r="S481" s="14">
        <v>0</v>
      </c>
      <c r="T481" s="18">
        <v>0</v>
      </c>
      <c r="U481" s="14">
        <v>2.1000000000000001E-2</v>
      </c>
      <c r="V481" s="41"/>
      <c r="W481" s="39">
        <f t="shared" si="52"/>
        <v>0</v>
      </c>
    </row>
    <row r="482" spans="1:29" x14ac:dyDescent="0.25">
      <c r="A482" s="7" t="s">
        <v>89</v>
      </c>
      <c r="B482" s="15" t="s">
        <v>73</v>
      </c>
      <c r="C482" s="7" t="s">
        <v>18</v>
      </c>
      <c r="D482" s="14">
        <v>0</v>
      </c>
      <c r="E482" s="14">
        <v>0</v>
      </c>
      <c r="F482" s="14">
        <v>0</v>
      </c>
      <c r="G482" s="14">
        <v>0</v>
      </c>
      <c r="H482" s="16">
        <v>13892</v>
      </c>
      <c r="I482" s="17">
        <v>2474</v>
      </c>
      <c r="J482" s="14">
        <v>11418</v>
      </c>
      <c r="K482" s="14">
        <v>0</v>
      </c>
      <c r="L482" s="14">
        <v>0</v>
      </c>
      <c r="M482" s="14">
        <v>0</v>
      </c>
      <c r="N482" s="14">
        <v>0</v>
      </c>
      <c r="O482" s="14">
        <v>0</v>
      </c>
      <c r="P482" s="14">
        <v>0</v>
      </c>
      <c r="Q482" s="14">
        <v>0</v>
      </c>
      <c r="R482" s="14">
        <v>0</v>
      </c>
      <c r="S482" s="14">
        <v>0</v>
      </c>
      <c r="T482" s="18">
        <v>0</v>
      </c>
      <c r="U482" s="14">
        <v>2.1000000000000001E-2</v>
      </c>
      <c r="V482" s="41"/>
      <c r="W482" s="39">
        <f t="shared" si="52"/>
        <v>291.73200000000003</v>
      </c>
    </row>
    <row r="483" spans="1:29" x14ac:dyDescent="0.25">
      <c r="A483" s="7" t="s">
        <v>89</v>
      </c>
      <c r="B483" s="15" t="s">
        <v>19</v>
      </c>
      <c r="C483" s="7" t="s">
        <v>18</v>
      </c>
      <c r="D483" s="14">
        <v>0</v>
      </c>
      <c r="E483" s="14">
        <v>0</v>
      </c>
      <c r="F483" s="14">
        <v>0</v>
      </c>
      <c r="G483" s="14">
        <v>0</v>
      </c>
      <c r="H483" s="16">
        <v>0</v>
      </c>
      <c r="I483" s="17">
        <v>0</v>
      </c>
      <c r="J483" s="14">
        <v>0</v>
      </c>
      <c r="K483" s="14">
        <v>0</v>
      </c>
      <c r="L483" s="14">
        <v>0</v>
      </c>
      <c r="M483" s="14">
        <v>0</v>
      </c>
      <c r="N483" s="14">
        <v>0</v>
      </c>
      <c r="O483" s="14">
        <v>0</v>
      </c>
      <c r="P483" s="14">
        <v>0</v>
      </c>
      <c r="Q483" s="14">
        <v>0</v>
      </c>
      <c r="R483" s="14">
        <v>0</v>
      </c>
      <c r="S483" s="14">
        <v>0</v>
      </c>
      <c r="T483" s="18">
        <v>0</v>
      </c>
      <c r="U483" s="14">
        <v>2.1000000000000001E-2</v>
      </c>
      <c r="V483" s="41"/>
      <c r="W483" s="39">
        <f t="shared" si="52"/>
        <v>0</v>
      </c>
    </row>
    <row r="484" spans="1:29" ht="13" thickBot="1" x14ac:dyDescent="0.3">
      <c r="A484" s="7" t="s">
        <v>89</v>
      </c>
      <c r="B484" s="19" t="s">
        <v>20</v>
      </c>
      <c r="C484" s="20" t="s">
        <v>18</v>
      </c>
      <c r="D484" s="21">
        <v>0</v>
      </c>
      <c r="E484" s="21">
        <v>0</v>
      </c>
      <c r="F484" s="21">
        <v>0</v>
      </c>
      <c r="G484" s="21">
        <v>0</v>
      </c>
      <c r="H484" s="22">
        <v>0</v>
      </c>
      <c r="I484" s="23">
        <v>0</v>
      </c>
      <c r="J484" s="21">
        <v>0</v>
      </c>
      <c r="K484" s="21">
        <v>0</v>
      </c>
      <c r="L484" s="21">
        <v>0</v>
      </c>
      <c r="M484" s="21">
        <v>0</v>
      </c>
      <c r="N484" s="21">
        <v>0</v>
      </c>
      <c r="O484" s="21">
        <v>0</v>
      </c>
      <c r="P484" s="21">
        <v>0</v>
      </c>
      <c r="Q484" s="21">
        <v>0</v>
      </c>
      <c r="R484" s="21">
        <v>0</v>
      </c>
      <c r="S484" s="21">
        <v>0</v>
      </c>
      <c r="T484" s="24">
        <v>0</v>
      </c>
      <c r="U484" s="14">
        <v>2.1000000000000001E-2</v>
      </c>
      <c r="V484" s="44"/>
      <c r="W484" s="39">
        <f t="shared" ref="W484:W547" si="59">SUM(I484:T484)*U484</f>
        <v>0</v>
      </c>
    </row>
    <row r="485" spans="1:29" ht="13" thickBot="1" x14ac:dyDescent="0.3">
      <c r="A485" s="7" t="s">
        <v>89</v>
      </c>
      <c r="B485" s="25" t="s">
        <v>12</v>
      </c>
      <c r="C485" s="26" t="s">
        <v>18</v>
      </c>
      <c r="D485" s="27">
        <v>0</v>
      </c>
      <c r="E485" s="27">
        <v>0</v>
      </c>
      <c r="F485" s="27">
        <v>0</v>
      </c>
      <c r="G485" s="27">
        <v>0</v>
      </c>
      <c r="H485" s="28">
        <v>25424</v>
      </c>
      <c r="I485" s="29">
        <v>5498</v>
      </c>
      <c r="J485" s="27">
        <v>11418</v>
      </c>
      <c r="K485" s="27">
        <v>3353</v>
      </c>
      <c r="L485" s="27">
        <v>4991</v>
      </c>
      <c r="M485" s="27">
        <v>163</v>
      </c>
      <c r="N485" s="27">
        <v>0</v>
      </c>
      <c r="O485" s="27">
        <v>0</v>
      </c>
      <c r="P485" s="27">
        <v>0</v>
      </c>
      <c r="Q485" s="27">
        <v>0</v>
      </c>
      <c r="R485" s="27">
        <v>0</v>
      </c>
      <c r="S485" s="27">
        <v>0</v>
      </c>
      <c r="T485" s="29">
        <v>0</v>
      </c>
      <c r="U485" s="14">
        <v>2.1000000000000001E-2</v>
      </c>
      <c r="V485" s="43">
        <f>SUM(I480:T483)/SUM(H480:H483)</f>
        <v>0.99996039917630286</v>
      </c>
      <c r="W485" s="39">
        <f t="shared" si="59"/>
        <v>533.88300000000004</v>
      </c>
      <c r="X485" s="35">
        <f>W483+W480</f>
        <v>238.53900000000002</v>
      </c>
      <c r="Y485" s="35">
        <f>W478</f>
        <v>3.6120000000000001</v>
      </c>
    </row>
    <row r="486" spans="1:29" x14ac:dyDescent="0.25">
      <c r="A486" s="7" t="s">
        <v>89</v>
      </c>
      <c r="B486" s="8" t="s">
        <v>17</v>
      </c>
      <c r="C486" s="9" t="s">
        <v>21</v>
      </c>
      <c r="D486" s="10">
        <v>0</v>
      </c>
      <c r="E486" s="10">
        <v>0</v>
      </c>
      <c r="F486" s="10">
        <v>0</v>
      </c>
      <c r="G486" s="10">
        <v>0</v>
      </c>
      <c r="H486" s="11">
        <v>0</v>
      </c>
      <c r="I486" s="12">
        <v>0</v>
      </c>
      <c r="J486" s="10">
        <v>0</v>
      </c>
      <c r="K486" s="10">
        <v>0</v>
      </c>
      <c r="L486" s="10">
        <v>0</v>
      </c>
      <c r="M486" s="10">
        <v>0</v>
      </c>
      <c r="N486" s="10">
        <v>0</v>
      </c>
      <c r="O486" s="10">
        <v>0</v>
      </c>
      <c r="P486" s="10">
        <v>0</v>
      </c>
      <c r="Q486" s="10">
        <v>0</v>
      </c>
      <c r="R486" s="10">
        <v>0</v>
      </c>
      <c r="S486" s="10">
        <v>0</v>
      </c>
      <c r="T486" s="13">
        <v>0</v>
      </c>
      <c r="U486" s="14">
        <v>2.1000000000000001E-2</v>
      </c>
      <c r="W486" s="39">
        <f t="shared" si="59"/>
        <v>0</v>
      </c>
      <c r="AB486" s="37" t="str">
        <f t="shared" ref="AB486:AB492" si="60">B486</f>
        <v>Parts-OTC</v>
      </c>
      <c r="AC486" s="36">
        <f t="shared" ref="AC486:AC492" si="61">I486*U486</f>
        <v>0</v>
      </c>
    </row>
    <row r="487" spans="1:29" x14ac:dyDescent="0.25">
      <c r="A487" s="7" t="s">
        <v>89</v>
      </c>
      <c r="B487" s="15" t="s">
        <v>66</v>
      </c>
      <c r="C487" s="7" t="s">
        <v>21</v>
      </c>
      <c r="D487" s="14">
        <v>0</v>
      </c>
      <c r="E487" s="14">
        <v>0</v>
      </c>
      <c r="F487" s="14">
        <v>0</v>
      </c>
      <c r="G487" s="14">
        <v>0</v>
      </c>
      <c r="H487" s="16">
        <v>0</v>
      </c>
      <c r="I487" s="17">
        <v>0</v>
      </c>
      <c r="J487" s="14">
        <v>0</v>
      </c>
      <c r="K487" s="14">
        <v>0</v>
      </c>
      <c r="L487" s="14">
        <v>0</v>
      </c>
      <c r="M487" s="14">
        <v>0</v>
      </c>
      <c r="N487" s="14">
        <v>0</v>
      </c>
      <c r="O487" s="14">
        <v>0</v>
      </c>
      <c r="P487" s="14">
        <v>0</v>
      </c>
      <c r="Q487" s="14">
        <v>0</v>
      </c>
      <c r="R487" s="14">
        <v>0</v>
      </c>
      <c r="S487" s="14">
        <v>0</v>
      </c>
      <c r="T487" s="18">
        <v>0</v>
      </c>
      <c r="U487" s="14">
        <v>2.1000000000000001E-2</v>
      </c>
      <c r="W487" s="39">
        <f t="shared" si="59"/>
        <v>0</v>
      </c>
      <c r="AB487" s="37" t="str">
        <f t="shared" si="60"/>
        <v>CTKS</v>
      </c>
      <c r="AC487" s="36">
        <f t="shared" si="61"/>
        <v>0</v>
      </c>
    </row>
    <row r="488" spans="1:29" x14ac:dyDescent="0.25">
      <c r="A488" s="7" t="s">
        <v>89</v>
      </c>
      <c r="B488" s="15" t="s">
        <v>13</v>
      </c>
      <c r="C488" s="7" t="s">
        <v>21</v>
      </c>
      <c r="D488" s="14">
        <v>0</v>
      </c>
      <c r="E488" s="14">
        <v>0</v>
      </c>
      <c r="F488" s="14">
        <v>0</v>
      </c>
      <c r="G488" s="14">
        <v>0</v>
      </c>
      <c r="H488" s="16">
        <v>6161</v>
      </c>
      <c r="I488" s="17">
        <v>4214</v>
      </c>
      <c r="J488" s="14">
        <v>1918</v>
      </c>
      <c r="K488" s="14">
        <v>0</v>
      </c>
      <c r="L488" s="14">
        <v>0</v>
      </c>
      <c r="M488" s="14">
        <v>0</v>
      </c>
      <c r="N488" s="14">
        <v>29</v>
      </c>
      <c r="O488" s="14">
        <v>0</v>
      </c>
      <c r="P488" s="14">
        <v>0</v>
      </c>
      <c r="Q488" s="14">
        <v>0</v>
      </c>
      <c r="R488" s="14">
        <v>0</v>
      </c>
      <c r="S488" s="14">
        <v>0</v>
      </c>
      <c r="T488" s="18">
        <v>0</v>
      </c>
      <c r="U488" s="14">
        <v>2.1000000000000001E-2</v>
      </c>
      <c r="W488" s="39">
        <f t="shared" si="59"/>
        <v>129.381</v>
      </c>
      <c r="AB488" s="37" t="str">
        <f t="shared" si="60"/>
        <v>Repair</v>
      </c>
      <c r="AC488" s="36">
        <f t="shared" si="61"/>
        <v>88.494</v>
      </c>
    </row>
    <row r="489" spans="1:29" x14ac:dyDescent="0.25">
      <c r="A489" s="7" t="s">
        <v>89</v>
      </c>
      <c r="B489" s="15" t="s">
        <v>67</v>
      </c>
      <c r="C489" s="7" t="s">
        <v>21</v>
      </c>
      <c r="D489" s="14">
        <v>0</v>
      </c>
      <c r="E489" s="14">
        <v>0</v>
      </c>
      <c r="F489" s="14">
        <v>0</v>
      </c>
      <c r="G489" s="14">
        <v>0</v>
      </c>
      <c r="H489" s="16">
        <v>0</v>
      </c>
      <c r="I489" s="17">
        <v>0</v>
      </c>
      <c r="J489" s="14">
        <v>0</v>
      </c>
      <c r="K489" s="14">
        <v>0</v>
      </c>
      <c r="L489" s="14">
        <v>0</v>
      </c>
      <c r="M489" s="14">
        <v>0</v>
      </c>
      <c r="N489" s="14">
        <v>0</v>
      </c>
      <c r="O489" s="14">
        <v>0</v>
      </c>
      <c r="P489" s="14">
        <v>0</v>
      </c>
      <c r="Q489" s="14">
        <v>0</v>
      </c>
      <c r="R489" s="14">
        <v>0</v>
      </c>
      <c r="S489" s="14">
        <v>0</v>
      </c>
      <c r="T489" s="18">
        <v>0</v>
      </c>
      <c r="U489" s="14">
        <v>2.1000000000000001E-2</v>
      </c>
      <c r="W489" s="39">
        <f t="shared" si="59"/>
        <v>0</v>
      </c>
      <c r="AB489" s="37" t="str">
        <f t="shared" si="60"/>
        <v>Rental</v>
      </c>
      <c r="AC489" s="36">
        <f t="shared" si="61"/>
        <v>0</v>
      </c>
    </row>
    <row r="490" spans="1:29" x14ac:dyDescent="0.25">
      <c r="A490" s="7" t="s">
        <v>89</v>
      </c>
      <c r="B490" s="15" t="s">
        <v>73</v>
      </c>
      <c r="C490" s="7" t="s">
        <v>21</v>
      </c>
      <c r="D490" s="14">
        <v>0</v>
      </c>
      <c r="E490" s="14">
        <v>0</v>
      </c>
      <c r="F490" s="14">
        <v>0</v>
      </c>
      <c r="G490" s="14">
        <v>0</v>
      </c>
      <c r="H490" s="16">
        <v>3676</v>
      </c>
      <c r="I490" s="17">
        <v>3045</v>
      </c>
      <c r="J490" s="14">
        <v>0</v>
      </c>
      <c r="K490" s="14">
        <v>631</v>
      </c>
      <c r="L490" s="14">
        <v>0</v>
      </c>
      <c r="M490" s="14">
        <v>0</v>
      </c>
      <c r="N490" s="14">
        <v>0</v>
      </c>
      <c r="O490" s="14">
        <v>0</v>
      </c>
      <c r="P490" s="14">
        <v>0</v>
      </c>
      <c r="Q490" s="14">
        <v>0</v>
      </c>
      <c r="R490" s="14">
        <v>0</v>
      </c>
      <c r="S490" s="14">
        <v>0</v>
      </c>
      <c r="T490" s="18">
        <v>0</v>
      </c>
      <c r="U490" s="14">
        <v>2.1000000000000001E-2</v>
      </c>
      <c r="W490" s="39">
        <f t="shared" si="59"/>
        <v>77.195999999999998</v>
      </c>
      <c r="AB490" s="37"/>
    </row>
    <row r="491" spans="1:29" x14ac:dyDescent="0.25">
      <c r="A491" s="7" t="s">
        <v>89</v>
      </c>
      <c r="B491" s="15" t="s">
        <v>19</v>
      </c>
      <c r="C491" s="7" t="s">
        <v>21</v>
      </c>
      <c r="D491" s="14">
        <v>0</v>
      </c>
      <c r="E491" s="14">
        <v>0</v>
      </c>
      <c r="F491" s="14">
        <v>0</v>
      </c>
      <c r="G491" s="14">
        <v>0</v>
      </c>
      <c r="H491" s="16">
        <v>1587</v>
      </c>
      <c r="I491" s="17">
        <v>255</v>
      </c>
      <c r="J491" s="14">
        <v>274</v>
      </c>
      <c r="K491" s="14">
        <v>61</v>
      </c>
      <c r="L491" s="14">
        <v>255</v>
      </c>
      <c r="M491" s="14">
        <v>354</v>
      </c>
      <c r="N491" s="14">
        <v>95</v>
      </c>
      <c r="O491" s="14">
        <v>55</v>
      </c>
      <c r="P491" s="14">
        <v>238</v>
      </c>
      <c r="Q491" s="14">
        <v>0</v>
      </c>
      <c r="R491" s="14">
        <v>0</v>
      </c>
      <c r="S491" s="14">
        <v>0</v>
      </c>
      <c r="T491" s="18">
        <v>0</v>
      </c>
      <c r="U491" s="14">
        <v>2.1000000000000001E-2</v>
      </c>
      <c r="W491" s="39">
        <f t="shared" si="59"/>
        <v>33.327000000000005</v>
      </c>
      <c r="AB491" s="37" t="str">
        <f t="shared" si="60"/>
        <v>Maintenance</v>
      </c>
      <c r="AC491" s="36">
        <f t="shared" si="61"/>
        <v>5.3550000000000004</v>
      </c>
    </row>
    <row r="492" spans="1:29" ht="13" thickBot="1" x14ac:dyDescent="0.3">
      <c r="A492" s="7" t="s">
        <v>89</v>
      </c>
      <c r="B492" s="19" t="s">
        <v>20</v>
      </c>
      <c r="C492" s="20" t="s">
        <v>21</v>
      </c>
      <c r="D492" s="21">
        <v>0</v>
      </c>
      <c r="E492" s="21">
        <v>0</v>
      </c>
      <c r="F492" s="21">
        <v>0</v>
      </c>
      <c r="G492" s="21">
        <v>0</v>
      </c>
      <c r="H492" s="22">
        <v>0</v>
      </c>
      <c r="I492" s="23">
        <v>0</v>
      </c>
      <c r="J492" s="21">
        <v>0</v>
      </c>
      <c r="K492" s="21">
        <v>0</v>
      </c>
      <c r="L492" s="21">
        <v>0</v>
      </c>
      <c r="M492" s="21">
        <v>0</v>
      </c>
      <c r="N492" s="21">
        <v>0</v>
      </c>
      <c r="O492" s="21">
        <v>0</v>
      </c>
      <c r="P492" s="21">
        <v>0</v>
      </c>
      <c r="Q492" s="21">
        <v>0</v>
      </c>
      <c r="R492" s="21">
        <v>0</v>
      </c>
      <c r="S492" s="21">
        <v>0</v>
      </c>
      <c r="T492" s="24">
        <v>0</v>
      </c>
      <c r="U492" s="14">
        <v>2.1000000000000001E-2</v>
      </c>
      <c r="W492" s="39">
        <f t="shared" si="59"/>
        <v>0</v>
      </c>
      <c r="AB492" s="37" t="str">
        <f t="shared" si="60"/>
        <v>Startup</v>
      </c>
      <c r="AC492" s="36">
        <f t="shared" si="61"/>
        <v>0</v>
      </c>
    </row>
    <row r="493" spans="1:29" ht="13" thickBot="1" x14ac:dyDescent="0.3">
      <c r="A493" s="20" t="s">
        <v>89</v>
      </c>
      <c r="B493" s="25" t="s">
        <v>12</v>
      </c>
      <c r="C493" s="26" t="s">
        <v>21</v>
      </c>
      <c r="D493" s="27">
        <v>0</v>
      </c>
      <c r="E493" s="27">
        <v>0</v>
      </c>
      <c r="F493" s="27">
        <v>0</v>
      </c>
      <c r="G493" s="27">
        <v>0</v>
      </c>
      <c r="H493" s="28">
        <v>11424</v>
      </c>
      <c r="I493" s="29">
        <v>7514</v>
      </c>
      <c r="J493" s="27">
        <v>2192</v>
      </c>
      <c r="K493" s="27">
        <v>692</v>
      </c>
      <c r="L493" s="27">
        <v>255</v>
      </c>
      <c r="M493" s="27">
        <v>354</v>
      </c>
      <c r="N493" s="27">
        <v>124</v>
      </c>
      <c r="O493" s="27">
        <v>55</v>
      </c>
      <c r="P493" s="27">
        <v>238</v>
      </c>
      <c r="Q493" s="27">
        <v>0</v>
      </c>
      <c r="R493" s="27">
        <v>0</v>
      </c>
      <c r="S493" s="27">
        <v>0</v>
      </c>
      <c r="T493" s="29">
        <v>0</v>
      </c>
      <c r="U493" s="14">
        <v>2.1000000000000001E-2</v>
      </c>
      <c r="W493" s="39">
        <f t="shared" si="59"/>
        <v>239.90400000000002</v>
      </c>
      <c r="X493" s="35">
        <f>W492+W491+W488</f>
        <v>162.708</v>
      </c>
      <c r="Y493" s="35">
        <f>W486</f>
        <v>0</v>
      </c>
      <c r="Z493" s="40">
        <f>V484/X493</f>
        <v>0</v>
      </c>
      <c r="AA493" s="40">
        <f>IF((Y493=0),0,Y485/Y493)</f>
        <v>0</v>
      </c>
      <c r="AB493" s="48"/>
      <c r="AC493" s="48"/>
    </row>
    <row r="494" spans="1:29" ht="13" thickBot="1" x14ac:dyDescent="0.3">
      <c r="A494" s="9" t="s">
        <v>88</v>
      </c>
      <c r="B494" s="30" t="s">
        <v>15</v>
      </c>
      <c r="C494" s="31" t="s">
        <v>94</v>
      </c>
      <c r="D494" s="32" t="s">
        <v>47</v>
      </c>
      <c r="E494" s="53" t="s">
        <v>116</v>
      </c>
      <c r="F494" s="53" t="s">
        <v>117</v>
      </c>
      <c r="G494" s="53" t="s">
        <v>118</v>
      </c>
      <c r="H494" s="28" t="s">
        <v>12</v>
      </c>
      <c r="I494" s="54" t="s">
        <v>119</v>
      </c>
      <c r="J494" s="53" t="s">
        <v>174</v>
      </c>
      <c r="K494" s="53" t="s">
        <v>175</v>
      </c>
      <c r="L494" s="53" t="s">
        <v>99</v>
      </c>
      <c r="M494" s="53" t="s">
        <v>100</v>
      </c>
      <c r="N494" s="53" t="s">
        <v>101</v>
      </c>
      <c r="O494" s="53" t="s">
        <v>102</v>
      </c>
      <c r="P494" s="53" t="s">
        <v>103</v>
      </c>
      <c r="Q494" s="53" t="s">
        <v>104</v>
      </c>
      <c r="R494" s="53" t="s">
        <v>105</v>
      </c>
      <c r="S494" s="53" t="s">
        <v>106</v>
      </c>
      <c r="T494" s="55" t="s">
        <v>107</v>
      </c>
      <c r="U494" s="14">
        <v>2.1000000000000001E-2</v>
      </c>
      <c r="V494" s="14" t="s">
        <v>183</v>
      </c>
      <c r="W494" s="39">
        <f t="shared" si="59"/>
        <v>0</v>
      </c>
      <c r="X494" s="14" t="s">
        <v>37</v>
      </c>
      <c r="Y494" s="14" t="s">
        <v>38</v>
      </c>
      <c r="AB494" s="48"/>
      <c r="AC494" s="48"/>
    </row>
    <row r="495" spans="1:29" x14ac:dyDescent="0.25">
      <c r="A495" s="7" t="s">
        <v>88</v>
      </c>
      <c r="B495" s="8" t="s">
        <v>17</v>
      </c>
      <c r="C495" s="9" t="s">
        <v>18</v>
      </c>
      <c r="D495" s="10">
        <v>0</v>
      </c>
      <c r="E495" s="10">
        <v>0</v>
      </c>
      <c r="F495" s="10">
        <v>0</v>
      </c>
      <c r="G495" s="10">
        <v>0</v>
      </c>
      <c r="H495" s="11">
        <v>46482</v>
      </c>
      <c r="I495" s="12">
        <v>13372</v>
      </c>
      <c r="J495" s="10">
        <v>2321</v>
      </c>
      <c r="K495" s="10">
        <v>22286</v>
      </c>
      <c r="L495" s="10">
        <v>7462</v>
      </c>
      <c r="M495" s="10">
        <v>67</v>
      </c>
      <c r="N495" s="10">
        <v>975</v>
      </c>
      <c r="O495" s="10">
        <v>0</v>
      </c>
      <c r="P495" s="10">
        <v>0</v>
      </c>
      <c r="Q495" s="10">
        <v>0</v>
      </c>
      <c r="R495" s="10">
        <v>0</v>
      </c>
      <c r="S495" s="10">
        <v>0</v>
      </c>
      <c r="T495" s="13">
        <v>0</v>
      </c>
      <c r="U495" s="14">
        <v>2.1000000000000001E-2</v>
      </c>
      <c r="V495" s="42">
        <f>SUM(I495:T495)/H495</f>
        <v>1.0000215137042296</v>
      </c>
      <c r="W495" s="39">
        <f t="shared" si="59"/>
        <v>976.14300000000003</v>
      </c>
    </row>
    <row r="496" spans="1:29" x14ac:dyDescent="0.25">
      <c r="A496" s="7" t="s">
        <v>88</v>
      </c>
      <c r="B496" s="15" t="s">
        <v>66</v>
      </c>
      <c r="C496" s="7" t="s">
        <v>18</v>
      </c>
      <c r="D496" s="14">
        <v>0</v>
      </c>
      <c r="E496" s="14">
        <v>0</v>
      </c>
      <c r="F496" s="14">
        <v>0</v>
      </c>
      <c r="G496" s="14">
        <v>0</v>
      </c>
      <c r="H496" s="16">
        <v>32025</v>
      </c>
      <c r="I496" s="17">
        <v>1508</v>
      </c>
      <c r="J496" s="14">
        <v>16507</v>
      </c>
      <c r="K496" s="14">
        <v>13919</v>
      </c>
      <c r="L496" s="14">
        <v>90</v>
      </c>
      <c r="M496" s="14">
        <v>0</v>
      </c>
      <c r="N496" s="14">
        <v>0</v>
      </c>
      <c r="O496" s="14">
        <v>0</v>
      </c>
      <c r="P496" s="14">
        <v>0</v>
      </c>
      <c r="Q496" s="14">
        <v>0</v>
      </c>
      <c r="R496" s="14">
        <v>0</v>
      </c>
      <c r="S496" s="14">
        <v>0</v>
      </c>
      <c r="T496" s="18">
        <v>0</v>
      </c>
      <c r="U496" s="14">
        <v>2.1000000000000001E-2</v>
      </c>
      <c r="V496" s="44"/>
      <c r="W496" s="39">
        <f t="shared" si="59"/>
        <v>672.50400000000002</v>
      </c>
    </row>
    <row r="497" spans="1:29" x14ac:dyDescent="0.25">
      <c r="A497" s="7" t="s">
        <v>88</v>
      </c>
      <c r="B497" s="15" t="s">
        <v>13</v>
      </c>
      <c r="C497" s="7" t="s">
        <v>18</v>
      </c>
      <c r="D497" s="14">
        <v>53</v>
      </c>
      <c r="E497" s="14">
        <v>0</v>
      </c>
      <c r="F497" s="14">
        <v>0</v>
      </c>
      <c r="G497" s="14">
        <v>0</v>
      </c>
      <c r="H497" s="16">
        <v>501427</v>
      </c>
      <c r="I497" s="17">
        <v>107639</v>
      </c>
      <c r="J497" s="14">
        <v>51266</v>
      </c>
      <c r="K497" s="14">
        <v>160979</v>
      </c>
      <c r="L497" s="14">
        <v>111432</v>
      </c>
      <c r="M497" s="14">
        <v>43170</v>
      </c>
      <c r="N497" s="14">
        <v>23918</v>
      </c>
      <c r="O497" s="14">
        <v>2311</v>
      </c>
      <c r="P497" s="14">
        <v>0</v>
      </c>
      <c r="Q497" s="14">
        <v>0</v>
      </c>
      <c r="R497" s="14">
        <v>0</v>
      </c>
      <c r="S497" s="14">
        <v>658</v>
      </c>
      <c r="T497" s="18">
        <v>0</v>
      </c>
      <c r="U497" s="14">
        <v>2.1000000000000001E-2</v>
      </c>
      <c r="V497" s="41"/>
      <c r="W497" s="39">
        <f t="shared" si="59"/>
        <v>10528.833000000001</v>
      </c>
    </row>
    <row r="498" spans="1:29" x14ac:dyDescent="0.25">
      <c r="A498" s="7" t="s">
        <v>88</v>
      </c>
      <c r="B498" s="15" t="s">
        <v>67</v>
      </c>
      <c r="C498" s="7" t="s">
        <v>18</v>
      </c>
      <c r="D498" s="14">
        <v>3431</v>
      </c>
      <c r="E498" s="14">
        <v>0</v>
      </c>
      <c r="F498" s="14">
        <v>0</v>
      </c>
      <c r="G498" s="14">
        <v>0</v>
      </c>
      <c r="H498" s="16">
        <v>34397</v>
      </c>
      <c r="I498" s="17">
        <v>19519</v>
      </c>
      <c r="J498" s="14">
        <v>3705</v>
      </c>
      <c r="K498" s="14">
        <v>2727</v>
      </c>
      <c r="L498" s="14">
        <v>937</v>
      </c>
      <c r="M498" s="14">
        <v>114</v>
      </c>
      <c r="N498" s="14">
        <v>0</v>
      </c>
      <c r="O498" s="14">
        <v>0</v>
      </c>
      <c r="P498" s="14">
        <v>0</v>
      </c>
      <c r="Q498" s="14">
        <v>3964</v>
      </c>
      <c r="R498" s="14">
        <v>0</v>
      </c>
      <c r="S498" s="14">
        <v>0</v>
      </c>
      <c r="T498" s="18">
        <v>0</v>
      </c>
      <c r="U498" s="14">
        <v>2.1000000000000001E-2</v>
      </c>
      <c r="V498" s="41"/>
      <c r="W498" s="39">
        <f t="shared" si="59"/>
        <v>650.28600000000006</v>
      </c>
    </row>
    <row r="499" spans="1:29" x14ac:dyDescent="0.25">
      <c r="A499" s="7" t="s">
        <v>88</v>
      </c>
      <c r="B499" s="15" t="s">
        <v>73</v>
      </c>
      <c r="C499" s="7" t="s">
        <v>18</v>
      </c>
      <c r="D499" s="14">
        <v>483</v>
      </c>
      <c r="E499" s="14">
        <v>0</v>
      </c>
      <c r="F499" s="14">
        <v>0</v>
      </c>
      <c r="G499" s="14">
        <v>0</v>
      </c>
      <c r="H499" s="16">
        <v>371550</v>
      </c>
      <c r="I499" s="17">
        <v>59056</v>
      </c>
      <c r="J499" s="14">
        <v>31857</v>
      </c>
      <c r="K499" s="14">
        <v>138524</v>
      </c>
      <c r="L499" s="14">
        <v>72204</v>
      </c>
      <c r="M499" s="14">
        <v>51238</v>
      </c>
      <c r="N499" s="14">
        <v>14012</v>
      </c>
      <c r="O499" s="14">
        <v>2046</v>
      </c>
      <c r="P499" s="14">
        <v>2102</v>
      </c>
      <c r="Q499" s="14">
        <v>0</v>
      </c>
      <c r="R499" s="14">
        <v>0</v>
      </c>
      <c r="S499" s="14">
        <v>0</v>
      </c>
      <c r="T499" s="18">
        <v>29</v>
      </c>
      <c r="U499" s="14">
        <v>2.1000000000000001E-2</v>
      </c>
      <c r="V499" s="41"/>
      <c r="W499" s="39">
        <f t="shared" si="59"/>
        <v>7792.4280000000008</v>
      </c>
    </row>
    <row r="500" spans="1:29" x14ac:dyDescent="0.25">
      <c r="A500" s="7" t="s">
        <v>88</v>
      </c>
      <c r="B500" s="15" t="s">
        <v>19</v>
      </c>
      <c r="C500" s="7" t="s">
        <v>18</v>
      </c>
      <c r="D500" s="14">
        <v>0</v>
      </c>
      <c r="E500" s="14">
        <v>0</v>
      </c>
      <c r="F500" s="14">
        <v>0</v>
      </c>
      <c r="G500" s="14">
        <v>0</v>
      </c>
      <c r="H500" s="16">
        <v>0</v>
      </c>
      <c r="I500" s="17">
        <v>0</v>
      </c>
      <c r="J500" s="14">
        <v>0</v>
      </c>
      <c r="K500" s="14">
        <v>0</v>
      </c>
      <c r="L500" s="14">
        <v>0</v>
      </c>
      <c r="M500" s="14">
        <v>0</v>
      </c>
      <c r="N500" s="14">
        <v>0</v>
      </c>
      <c r="O500" s="14">
        <v>0</v>
      </c>
      <c r="P500" s="14">
        <v>0</v>
      </c>
      <c r="Q500" s="14">
        <v>0</v>
      </c>
      <c r="R500" s="14">
        <v>0</v>
      </c>
      <c r="S500" s="14">
        <v>0</v>
      </c>
      <c r="T500" s="18">
        <v>0</v>
      </c>
      <c r="U500" s="14">
        <v>2.1000000000000001E-2</v>
      </c>
      <c r="V500" s="41"/>
      <c r="W500" s="39">
        <f t="shared" si="59"/>
        <v>0</v>
      </c>
    </row>
    <row r="501" spans="1:29" ht="13" thickBot="1" x14ac:dyDescent="0.3">
      <c r="A501" s="7" t="s">
        <v>88</v>
      </c>
      <c r="B501" s="19" t="s">
        <v>20</v>
      </c>
      <c r="C501" s="20" t="s">
        <v>18</v>
      </c>
      <c r="D501" s="21">
        <v>0</v>
      </c>
      <c r="E501" s="21">
        <v>0</v>
      </c>
      <c r="F501" s="21">
        <v>0</v>
      </c>
      <c r="G501" s="21">
        <v>0</v>
      </c>
      <c r="H501" s="22">
        <v>0</v>
      </c>
      <c r="I501" s="23">
        <v>0</v>
      </c>
      <c r="J501" s="21">
        <v>0</v>
      </c>
      <c r="K501" s="21">
        <v>0</v>
      </c>
      <c r="L501" s="21">
        <v>0</v>
      </c>
      <c r="M501" s="21">
        <v>0</v>
      </c>
      <c r="N501" s="21">
        <v>0</v>
      </c>
      <c r="O501" s="21">
        <v>0</v>
      </c>
      <c r="P501" s="21">
        <v>0</v>
      </c>
      <c r="Q501" s="21">
        <v>0</v>
      </c>
      <c r="R501" s="21">
        <v>0</v>
      </c>
      <c r="S501" s="21">
        <v>0</v>
      </c>
      <c r="T501" s="24">
        <v>0</v>
      </c>
      <c r="U501" s="14">
        <v>2.1000000000000001E-2</v>
      </c>
      <c r="V501" s="44"/>
      <c r="W501" s="39">
        <f t="shared" si="59"/>
        <v>0</v>
      </c>
    </row>
    <row r="502" spans="1:29" ht="13" thickBot="1" x14ac:dyDescent="0.3">
      <c r="A502" s="7" t="s">
        <v>88</v>
      </c>
      <c r="B502" s="25" t="s">
        <v>12</v>
      </c>
      <c r="C502" s="26" t="s">
        <v>18</v>
      </c>
      <c r="D502" s="27">
        <v>3967</v>
      </c>
      <c r="E502" s="27">
        <v>0</v>
      </c>
      <c r="F502" s="27">
        <v>0</v>
      </c>
      <c r="G502" s="27">
        <v>0</v>
      </c>
      <c r="H502" s="28">
        <v>985881</v>
      </c>
      <c r="I502" s="29">
        <v>201094</v>
      </c>
      <c r="J502" s="27">
        <v>105656</v>
      </c>
      <c r="K502" s="27">
        <v>338435</v>
      </c>
      <c r="L502" s="27">
        <v>192125</v>
      </c>
      <c r="M502" s="27">
        <v>94589</v>
      </c>
      <c r="N502" s="27">
        <v>38905</v>
      </c>
      <c r="O502" s="27">
        <v>4357</v>
      </c>
      <c r="P502" s="27">
        <v>2102</v>
      </c>
      <c r="Q502" s="27">
        <v>3964</v>
      </c>
      <c r="R502" s="27">
        <v>0</v>
      </c>
      <c r="S502" s="27">
        <v>658</v>
      </c>
      <c r="T502" s="29">
        <v>29</v>
      </c>
      <c r="U502" s="14">
        <v>2.1000000000000001E-2</v>
      </c>
      <c r="V502" s="43">
        <f>SUM(I497:T500)/SUM(H497:H500)</f>
        <v>0.99562804312224062</v>
      </c>
      <c r="W502" s="39">
        <f t="shared" si="59"/>
        <v>20620.194</v>
      </c>
      <c r="X502" s="35">
        <f>W500+W497</f>
        <v>10528.833000000001</v>
      </c>
      <c r="Y502" s="35">
        <f>W495</f>
        <v>976.14300000000003</v>
      </c>
    </row>
    <row r="503" spans="1:29" x14ac:dyDescent="0.25">
      <c r="A503" s="7" t="s">
        <v>88</v>
      </c>
      <c r="B503" s="8" t="s">
        <v>17</v>
      </c>
      <c r="C503" s="9" t="s">
        <v>21</v>
      </c>
      <c r="D503" s="10">
        <v>0</v>
      </c>
      <c r="E503" s="10">
        <v>0</v>
      </c>
      <c r="F503" s="10">
        <v>0</v>
      </c>
      <c r="G503" s="10">
        <v>0</v>
      </c>
      <c r="H503" s="11">
        <v>3086</v>
      </c>
      <c r="I503" s="12">
        <v>194</v>
      </c>
      <c r="J503" s="10">
        <v>0</v>
      </c>
      <c r="K503" s="10">
        <v>0</v>
      </c>
      <c r="L503" s="10">
        <v>244</v>
      </c>
      <c r="M503" s="10">
        <v>0</v>
      </c>
      <c r="N503" s="10">
        <v>1856</v>
      </c>
      <c r="O503" s="10">
        <v>792</v>
      </c>
      <c r="P503" s="10">
        <v>0</v>
      </c>
      <c r="Q503" s="10">
        <v>0</v>
      </c>
      <c r="R503" s="10">
        <v>0</v>
      </c>
      <c r="S503" s="10">
        <v>0</v>
      </c>
      <c r="T503" s="13">
        <v>0</v>
      </c>
      <c r="U503" s="14">
        <v>2.1000000000000001E-2</v>
      </c>
      <c r="W503" s="39">
        <f t="shared" si="59"/>
        <v>64.805999999999997</v>
      </c>
      <c r="AB503" s="37" t="str">
        <f t="shared" ref="AB503:AB509" si="62">B503</f>
        <v>Parts-OTC</v>
      </c>
      <c r="AC503" s="36">
        <f t="shared" ref="AC503:AC509" si="63">I503*U503</f>
        <v>4.0739999999999998</v>
      </c>
    </row>
    <row r="504" spans="1:29" x14ac:dyDescent="0.25">
      <c r="A504" s="7" t="s">
        <v>88</v>
      </c>
      <c r="B504" s="15" t="s">
        <v>66</v>
      </c>
      <c r="C504" s="7" t="s">
        <v>21</v>
      </c>
      <c r="D504" s="14">
        <v>0</v>
      </c>
      <c r="E504" s="14">
        <v>0</v>
      </c>
      <c r="F504" s="14">
        <v>0</v>
      </c>
      <c r="G504" s="14">
        <v>0</v>
      </c>
      <c r="H504" s="16">
        <v>13480</v>
      </c>
      <c r="I504" s="17">
        <v>733</v>
      </c>
      <c r="J504" s="14">
        <v>762</v>
      </c>
      <c r="K504" s="14">
        <v>0</v>
      </c>
      <c r="L504" s="14">
        <v>1968</v>
      </c>
      <c r="M504" s="14">
        <v>0</v>
      </c>
      <c r="N504" s="14">
        <v>0</v>
      </c>
      <c r="O504" s="14">
        <v>3916</v>
      </c>
      <c r="P504" s="14">
        <v>0</v>
      </c>
      <c r="Q504" s="14">
        <v>2601</v>
      </c>
      <c r="R504" s="14">
        <v>0</v>
      </c>
      <c r="S504" s="14">
        <v>3500</v>
      </c>
      <c r="T504" s="18">
        <v>0</v>
      </c>
      <c r="U504" s="14">
        <v>2.1000000000000001E-2</v>
      </c>
      <c r="W504" s="39">
        <f t="shared" si="59"/>
        <v>283.08000000000004</v>
      </c>
      <c r="AB504" s="37" t="str">
        <f t="shared" si="62"/>
        <v>CTKS</v>
      </c>
      <c r="AC504" s="36">
        <f t="shared" si="63"/>
        <v>15.393000000000001</v>
      </c>
    </row>
    <row r="505" spans="1:29" x14ac:dyDescent="0.25">
      <c r="A505" s="7" t="s">
        <v>88</v>
      </c>
      <c r="B505" s="15" t="s">
        <v>13</v>
      </c>
      <c r="C505" s="7" t="s">
        <v>21</v>
      </c>
      <c r="D505" s="14">
        <v>0</v>
      </c>
      <c r="E505" s="14">
        <v>0</v>
      </c>
      <c r="F505" s="14">
        <v>0</v>
      </c>
      <c r="G505" s="14">
        <v>0</v>
      </c>
      <c r="H505" s="16">
        <v>51354</v>
      </c>
      <c r="I505" s="33">
        <v>11598</v>
      </c>
      <c r="J505" s="34">
        <v>2376</v>
      </c>
      <c r="K505" s="34">
        <v>426</v>
      </c>
      <c r="L505" s="14">
        <v>8425</v>
      </c>
      <c r="M505" s="14">
        <v>4489</v>
      </c>
      <c r="N505" s="14">
        <v>5358</v>
      </c>
      <c r="O505" s="14">
        <v>3818</v>
      </c>
      <c r="P505" s="14">
        <v>10679</v>
      </c>
      <c r="Q505" s="14">
        <v>4003</v>
      </c>
      <c r="R505" s="14">
        <v>0</v>
      </c>
      <c r="S505" s="14">
        <v>182</v>
      </c>
      <c r="T505" s="18">
        <v>0</v>
      </c>
      <c r="U505" s="14">
        <v>2.1000000000000001E-2</v>
      </c>
      <c r="W505" s="39">
        <f t="shared" si="59"/>
        <v>1078.434</v>
      </c>
      <c r="AB505" s="37" t="str">
        <f t="shared" si="62"/>
        <v>Repair</v>
      </c>
      <c r="AC505" s="36">
        <f t="shared" si="63"/>
        <v>243.55800000000002</v>
      </c>
    </row>
    <row r="506" spans="1:29" x14ac:dyDescent="0.25">
      <c r="A506" s="7" t="s">
        <v>88</v>
      </c>
      <c r="B506" s="15" t="s">
        <v>67</v>
      </c>
      <c r="C506" s="7" t="s">
        <v>21</v>
      </c>
      <c r="D506" s="14">
        <v>0</v>
      </c>
      <c r="E506" s="14">
        <v>0</v>
      </c>
      <c r="F506" s="14">
        <v>0</v>
      </c>
      <c r="G506" s="14">
        <v>0</v>
      </c>
      <c r="H506" s="16">
        <v>15339</v>
      </c>
      <c r="I506" s="17">
        <v>4490</v>
      </c>
      <c r="J506" s="14">
        <v>1920</v>
      </c>
      <c r="K506" s="14">
        <v>1272</v>
      </c>
      <c r="L506" s="14">
        <v>1392</v>
      </c>
      <c r="M506" s="14">
        <v>972</v>
      </c>
      <c r="N506" s="14">
        <v>601</v>
      </c>
      <c r="O506" s="14">
        <v>101</v>
      </c>
      <c r="P506" s="14">
        <v>4539</v>
      </c>
      <c r="Q506" s="14">
        <v>53</v>
      </c>
      <c r="R506" s="14">
        <v>0</v>
      </c>
      <c r="S506" s="14">
        <v>0</v>
      </c>
      <c r="T506" s="18">
        <v>0</v>
      </c>
      <c r="U506" s="14">
        <v>2.1000000000000001E-2</v>
      </c>
      <c r="W506" s="39">
        <f t="shared" si="59"/>
        <v>322.14000000000004</v>
      </c>
      <c r="AB506" s="37" t="str">
        <f t="shared" si="62"/>
        <v>Rental</v>
      </c>
      <c r="AC506" s="36">
        <f t="shared" si="63"/>
        <v>94.29</v>
      </c>
    </row>
    <row r="507" spans="1:29" x14ac:dyDescent="0.25">
      <c r="A507" s="7" t="s">
        <v>88</v>
      </c>
      <c r="B507" s="15" t="s">
        <v>73</v>
      </c>
      <c r="C507" s="7" t="s">
        <v>21</v>
      </c>
      <c r="D507" s="14">
        <v>0</v>
      </c>
      <c r="E507" s="14">
        <v>0</v>
      </c>
      <c r="F507" s="14">
        <v>0</v>
      </c>
      <c r="G507" s="14">
        <v>0</v>
      </c>
      <c r="H507" s="16">
        <v>81131</v>
      </c>
      <c r="I507" s="17">
        <v>2748</v>
      </c>
      <c r="J507" s="14">
        <v>1125</v>
      </c>
      <c r="K507" s="14">
        <v>4498</v>
      </c>
      <c r="L507" s="14">
        <v>5202</v>
      </c>
      <c r="M507" s="14">
        <v>0</v>
      </c>
      <c r="N507" s="14">
        <v>24120</v>
      </c>
      <c r="O507" s="14">
        <v>21384</v>
      </c>
      <c r="P507" s="14">
        <v>20879</v>
      </c>
      <c r="Q507" s="14">
        <v>0</v>
      </c>
      <c r="R507" s="14">
        <v>1175</v>
      </c>
      <c r="S507" s="14">
        <v>0</v>
      </c>
      <c r="T507" s="18">
        <v>0</v>
      </c>
      <c r="U507" s="14">
        <v>2.1000000000000001E-2</v>
      </c>
      <c r="W507" s="39">
        <f t="shared" si="59"/>
        <v>1703.7510000000002</v>
      </c>
      <c r="AB507" s="37"/>
    </row>
    <row r="508" spans="1:29" x14ac:dyDescent="0.25">
      <c r="A508" s="7" t="s">
        <v>88</v>
      </c>
      <c r="B508" s="15" t="s">
        <v>19</v>
      </c>
      <c r="C508" s="7" t="s">
        <v>21</v>
      </c>
      <c r="D508" s="14">
        <v>0</v>
      </c>
      <c r="E508" s="14">
        <v>0</v>
      </c>
      <c r="F508" s="14">
        <v>0</v>
      </c>
      <c r="G508" s="14">
        <v>0</v>
      </c>
      <c r="H508" s="16">
        <v>7468</v>
      </c>
      <c r="I508" s="17">
        <v>381</v>
      </c>
      <c r="J508" s="14">
        <v>1903</v>
      </c>
      <c r="K508" s="14">
        <v>812</v>
      </c>
      <c r="L508" s="14">
        <v>582</v>
      </c>
      <c r="M508" s="14">
        <v>1580</v>
      </c>
      <c r="N508" s="14">
        <v>762</v>
      </c>
      <c r="O508" s="14">
        <v>86</v>
      </c>
      <c r="P508" s="14">
        <v>1084</v>
      </c>
      <c r="Q508" s="14">
        <v>187</v>
      </c>
      <c r="R508" s="14">
        <v>20</v>
      </c>
      <c r="S508" s="14">
        <v>71</v>
      </c>
      <c r="T508" s="18">
        <v>0</v>
      </c>
      <c r="U508" s="14">
        <v>2.1000000000000001E-2</v>
      </c>
      <c r="W508" s="39">
        <f t="shared" si="59"/>
        <v>156.828</v>
      </c>
      <c r="AB508" s="37" t="str">
        <f t="shared" si="62"/>
        <v>Maintenance</v>
      </c>
      <c r="AC508" s="36">
        <f t="shared" si="63"/>
        <v>8.0010000000000012</v>
      </c>
    </row>
    <row r="509" spans="1:29" ht="13" thickBot="1" x14ac:dyDescent="0.3">
      <c r="A509" s="7" t="s">
        <v>88</v>
      </c>
      <c r="B509" s="19" t="s">
        <v>20</v>
      </c>
      <c r="C509" s="20" t="s">
        <v>21</v>
      </c>
      <c r="D509" s="21">
        <v>0</v>
      </c>
      <c r="E509" s="21">
        <v>0</v>
      </c>
      <c r="F509" s="21">
        <v>0</v>
      </c>
      <c r="G509" s="21">
        <v>0</v>
      </c>
      <c r="H509" s="22">
        <v>0</v>
      </c>
      <c r="I509" s="23">
        <v>0</v>
      </c>
      <c r="J509" s="21">
        <v>0</v>
      </c>
      <c r="K509" s="21">
        <v>0</v>
      </c>
      <c r="L509" s="21">
        <v>0</v>
      </c>
      <c r="M509" s="21">
        <v>0</v>
      </c>
      <c r="N509" s="21">
        <v>0</v>
      </c>
      <c r="O509" s="21">
        <v>0</v>
      </c>
      <c r="P509" s="21">
        <v>0</v>
      </c>
      <c r="Q509" s="21">
        <v>0</v>
      </c>
      <c r="R509" s="21">
        <v>0</v>
      </c>
      <c r="S509" s="21">
        <v>0</v>
      </c>
      <c r="T509" s="24">
        <v>0</v>
      </c>
      <c r="U509" s="14">
        <v>2.1000000000000001E-2</v>
      </c>
      <c r="W509" s="39">
        <f t="shared" si="59"/>
        <v>0</v>
      </c>
      <c r="AB509" s="37" t="str">
        <f t="shared" si="62"/>
        <v>Startup</v>
      </c>
      <c r="AC509" s="36">
        <f t="shared" si="63"/>
        <v>0</v>
      </c>
    </row>
    <row r="510" spans="1:29" ht="13" thickBot="1" x14ac:dyDescent="0.3">
      <c r="A510" s="20" t="s">
        <v>88</v>
      </c>
      <c r="B510" s="25" t="s">
        <v>12</v>
      </c>
      <c r="C510" s="26" t="s">
        <v>21</v>
      </c>
      <c r="D510" s="27">
        <v>0</v>
      </c>
      <c r="E510" s="27">
        <v>0</v>
      </c>
      <c r="F510" s="27">
        <v>0</v>
      </c>
      <c r="G510" s="27">
        <v>0</v>
      </c>
      <c r="H510" s="28">
        <v>171858</v>
      </c>
      <c r="I510" s="29">
        <v>20144</v>
      </c>
      <c r="J510" s="27">
        <v>8086</v>
      </c>
      <c r="K510" s="27">
        <v>7008</v>
      </c>
      <c r="L510" s="27">
        <v>17813</v>
      </c>
      <c r="M510" s="27">
        <v>7041</v>
      </c>
      <c r="N510" s="27">
        <v>32697</v>
      </c>
      <c r="O510" s="27">
        <v>30097</v>
      </c>
      <c r="P510" s="27">
        <v>37181</v>
      </c>
      <c r="Q510" s="27">
        <v>6844</v>
      </c>
      <c r="R510" s="27">
        <v>1195</v>
      </c>
      <c r="S510" s="27">
        <v>3753</v>
      </c>
      <c r="T510" s="29">
        <v>0</v>
      </c>
      <c r="U510" s="14">
        <v>2.1000000000000001E-2</v>
      </c>
      <c r="W510" s="39">
        <f t="shared" si="59"/>
        <v>3609.0390000000002</v>
      </c>
      <c r="X510" s="35">
        <f>W509+W508+W505</f>
        <v>1235.2619999999999</v>
      </c>
      <c r="Y510" s="35">
        <f>W503</f>
        <v>64.805999999999997</v>
      </c>
      <c r="Z510" s="40">
        <f>V501/X510</f>
        <v>0</v>
      </c>
      <c r="AA510" s="40">
        <f>IF((Y510=0),0,Y502/Y510)</f>
        <v>15.06254050550875</v>
      </c>
      <c r="AB510" s="48"/>
      <c r="AC510" s="48"/>
    </row>
    <row r="511" spans="1:29" ht="13" thickBot="1" x14ac:dyDescent="0.3">
      <c r="A511" s="9" t="s">
        <v>64</v>
      </c>
      <c r="B511" s="30" t="s">
        <v>15</v>
      </c>
      <c r="C511" s="31" t="s">
        <v>94</v>
      </c>
      <c r="D511" s="32" t="s">
        <v>47</v>
      </c>
      <c r="E511" s="53" t="s">
        <v>116</v>
      </c>
      <c r="F511" s="53" t="s">
        <v>117</v>
      </c>
      <c r="G511" s="53" t="s">
        <v>118</v>
      </c>
      <c r="H511" s="28" t="s">
        <v>12</v>
      </c>
      <c r="I511" s="54" t="s">
        <v>119</v>
      </c>
      <c r="J511" s="53" t="s">
        <v>174</v>
      </c>
      <c r="K511" s="53" t="s">
        <v>175</v>
      </c>
      <c r="L511" s="53" t="s">
        <v>99</v>
      </c>
      <c r="M511" s="53" t="s">
        <v>100</v>
      </c>
      <c r="N511" s="53" t="s">
        <v>101</v>
      </c>
      <c r="O511" s="53" t="s">
        <v>102</v>
      </c>
      <c r="P511" s="53" t="s">
        <v>103</v>
      </c>
      <c r="Q511" s="53" t="s">
        <v>104</v>
      </c>
      <c r="R511" s="53" t="s">
        <v>105</v>
      </c>
      <c r="S511" s="53" t="s">
        <v>106</v>
      </c>
      <c r="T511" s="55" t="s">
        <v>107</v>
      </c>
      <c r="U511" s="14">
        <v>1</v>
      </c>
      <c r="V511" s="14" t="s">
        <v>183</v>
      </c>
      <c r="W511" s="39">
        <f t="shared" si="59"/>
        <v>0</v>
      </c>
      <c r="X511" s="14" t="s">
        <v>37</v>
      </c>
      <c r="Y511" s="14" t="s">
        <v>38</v>
      </c>
      <c r="AB511" s="48"/>
      <c r="AC511" s="48"/>
    </row>
    <row r="512" spans="1:29" x14ac:dyDescent="0.25">
      <c r="A512" s="7" t="s">
        <v>64</v>
      </c>
      <c r="B512" s="8" t="s">
        <v>17</v>
      </c>
      <c r="C512" s="9" t="s">
        <v>18</v>
      </c>
      <c r="D512" s="10">
        <v>0</v>
      </c>
      <c r="E512" s="10">
        <v>0</v>
      </c>
      <c r="F512" s="10">
        <v>0</v>
      </c>
      <c r="G512" s="10">
        <v>0</v>
      </c>
      <c r="H512" s="11">
        <v>316</v>
      </c>
      <c r="I512" s="12">
        <v>307</v>
      </c>
      <c r="J512" s="10">
        <v>8</v>
      </c>
      <c r="K512" s="10">
        <v>0</v>
      </c>
      <c r="L512" s="10">
        <v>0</v>
      </c>
      <c r="M512" s="10">
        <v>0</v>
      </c>
      <c r="N512" s="10">
        <v>0</v>
      </c>
      <c r="O512" s="10">
        <v>0</v>
      </c>
      <c r="P512" s="10">
        <v>0</v>
      </c>
      <c r="Q512" s="10">
        <v>0</v>
      </c>
      <c r="R512" s="10">
        <v>0</v>
      </c>
      <c r="S512" s="10">
        <v>0</v>
      </c>
      <c r="T512" s="13">
        <v>0</v>
      </c>
      <c r="U512" s="14">
        <v>1</v>
      </c>
      <c r="V512" s="42">
        <f>SUM(I512:T512)/H512</f>
        <v>0.99683544303797467</v>
      </c>
      <c r="W512" s="39">
        <f t="shared" si="59"/>
        <v>315</v>
      </c>
    </row>
    <row r="513" spans="1:29" x14ac:dyDescent="0.25">
      <c r="A513" s="7" t="s">
        <v>64</v>
      </c>
      <c r="B513" s="15" t="s">
        <v>66</v>
      </c>
      <c r="C513" s="7" t="s">
        <v>18</v>
      </c>
      <c r="D513" s="14">
        <v>0</v>
      </c>
      <c r="E513" s="14">
        <v>0</v>
      </c>
      <c r="F513" s="14">
        <v>0</v>
      </c>
      <c r="G513" s="14">
        <v>0</v>
      </c>
      <c r="H513" s="16">
        <v>30</v>
      </c>
      <c r="I513" s="17">
        <v>30</v>
      </c>
      <c r="J513" s="14">
        <v>0</v>
      </c>
      <c r="K513" s="14">
        <v>0</v>
      </c>
      <c r="L513" s="14">
        <v>0</v>
      </c>
      <c r="M513" s="14">
        <v>0</v>
      </c>
      <c r="N513" s="14">
        <v>0</v>
      </c>
      <c r="O513" s="14">
        <v>0</v>
      </c>
      <c r="P513" s="14">
        <v>0</v>
      </c>
      <c r="Q513" s="14">
        <v>0</v>
      </c>
      <c r="R513" s="14">
        <v>0</v>
      </c>
      <c r="S513" s="14">
        <v>0</v>
      </c>
      <c r="T513" s="18">
        <v>0</v>
      </c>
      <c r="U513" s="14">
        <v>1</v>
      </c>
      <c r="V513" s="44"/>
      <c r="W513" s="39">
        <f t="shared" si="59"/>
        <v>30</v>
      </c>
    </row>
    <row r="514" spans="1:29" x14ac:dyDescent="0.25">
      <c r="A514" s="7" t="s">
        <v>64</v>
      </c>
      <c r="B514" s="15" t="s">
        <v>13</v>
      </c>
      <c r="C514" s="7" t="s">
        <v>18</v>
      </c>
      <c r="D514" s="14">
        <v>0</v>
      </c>
      <c r="E514" s="14">
        <v>0</v>
      </c>
      <c r="F514" s="14">
        <v>0</v>
      </c>
      <c r="G514" s="14">
        <v>0</v>
      </c>
      <c r="H514" s="16">
        <v>0</v>
      </c>
      <c r="I514" s="17">
        <v>0</v>
      </c>
      <c r="J514" s="14">
        <v>0</v>
      </c>
      <c r="K514" s="14">
        <v>0</v>
      </c>
      <c r="L514" s="14">
        <v>0</v>
      </c>
      <c r="M514" s="14">
        <v>0</v>
      </c>
      <c r="N514" s="14">
        <v>0</v>
      </c>
      <c r="O514" s="14">
        <v>0</v>
      </c>
      <c r="P514" s="14">
        <v>0</v>
      </c>
      <c r="Q514" s="14">
        <v>0</v>
      </c>
      <c r="R514" s="14">
        <v>0</v>
      </c>
      <c r="S514" s="14">
        <v>0</v>
      </c>
      <c r="T514" s="18">
        <v>0</v>
      </c>
      <c r="U514" s="14">
        <v>1</v>
      </c>
      <c r="V514" s="41"/>
      <c r="W514" s="39">
        <f t="shared" si="59"/>
        <v>0</v>
      </c>
    </row>
    <row r="515" spans="1:29" x14ac:dyDescent="0.25">
      <c r="A515" s="7" t="s">
        <v>64</v>
      </c>
      <c r="B515" s="15" t="s">
        <v>67</v>
      </c>
      <c r="C515" s="7" t="s">
        <v>18</v>
      </c>
      <c r="D515" s="14">
        <v>0</v>
      </c>
      <c r="E515" s="14">
        <v>0</v>
      </c>
      <c r="F515" s="14">
        <v>0</v>
      </c>
      <c r="G515" s="14">
        <v>0</v>
      </c>
      <c r="H515" s="16">
        <v>0</v>
      </c>
      <c r="I515" s="17">
        <v>0</v>
      </c>
      <c r="J515" s="14">
        <v>0</v>
      </c>
      <c r="K515" s="14">
        <v>0</v>
      </c>
      <c r="L515" s="14">
        <v>0</v>
      </c>
      <c r="M515" s="14">
        <v>0</v>
      </c>
      <c r="N515" s="14">
        <v>0</v>
      </c>
      <c r="O515" s="14">
        <v>0</v>
      </c>
      <c r="P515" s="14">
        <v>0</v>
      </c>
      <c r="Q515" s="14">
        <v>0</v>
      </c>
      <c r="R515" s="14">
        <v>0</v>
      </c>
      <c r="S515" s="14">
        <v>0</v>
      </c>
      <c r="T515" s="18">
        <v>0</v>
      </c>
      <c r="U515" s="14">
        <v>1</v>
      </c>
      <c r="V515" s="41"/>
      <c r="W515" s="39">
        <f t="shared" si="59"/>
        <v>0</v>
      </c>
    </row>
    <row r="516" spans="1:29" x14ac:dyDescent="0.25">
      <c r="A516" s="7" t="s">
        <v>64</v>
      </c>
      <c r="B516" s="15" t="s">
        <v>73</v>
      </c>
      <c r="C516" s="7" t="s">
        <v>18</v>
      </c>
      <c r="D516" s="14">
        <v>0</v>
      </c>
      <c r="E516" s="14">
        <v>0</v>
      </c>
      <c r="F516" s="14">
        <v>0</v>
      </c>
      <c r="G516" s="14">
        <v>0</v>
      </c>
      <c r="H516" s="16">
        <v>0</v>
      </c>
      <c r="I516" s="17">
        <v>0</v>
      </c>
      <c r="J516" s="14">
        <v>0</v>
      </c>
      <c r="K516" s="14">
        <v>0</v>
      </c>
      <c r="L516" s="14">
        <v>0</v>
      </c>
      <c r="M516" s="14">
        <v>0</v>
      </c>
      <c r="N516" s="14">
        <v>0</v>
      </c>
      <c r="O516" s="14">
        <v>0</v>
      </c>
      <c r="P516" s="14">
        <v>0</v>
      </c>
      <c r="Q516" s="14">
        <v>0</v>
      </c>
      <c r="R516" s="14">
        <v>0</v>
      </c>
      <c r="S516" s="14">
        <v>0</v>
      </c>
      <c r="T516" s="18">
        <v>0</v>
      </c>
      <c r="U516" s="14">
        <v>1</v>
      </c>
      <c r="V516" s="41"/>
      <c r="W516" s="39">
        <f t="shared" si="59"/>
        <v>0</v>
      </c>
    </row>
    <row r="517" spans="1:29" x14ac:dyDescent="0.25">
      <c r="A517" s="7" t="s">
        <v>64</v>
      </c>
      <c r="B517" s="15" t="s">
        <v>19</v>
      </c>
      <c r="C517" s="7" t="s">
        <v>18</v>
      </c>
      <c r="D517" s="14">
        <v>0</v>
      </c>
      <c r="E517" s="14">
        <v>0</v>
      </c>
      <c r="F517" s="14">
        <v>0</v>
      </c>
      <c r="G517" s="14">
        <v>0</v>
      </c>
      <c r="H517" s="16">
        <v>42</v>
      </c>
      <c r="I517" s="17">
        <v>42</v>
      </c>
      <c r="J517" s="14">
        <v>0</v>
      </c>
      <c r="K517" s="14">
        <v>0</v>
      </c>
      <c r="L517" s="14">
        <v>0</v>
      </c>
      <c r="M517" s="14">
        <v>0</v>
      </c>
      <c r="N517" s="14">
        <v>0</v>
      </c>
      <c r="O517" s="14">
        <v>0</v>
      </c>
      <c r="P517" s="14">
        <v>0</v>
      </c>
      <c r="Q517" s="14">
        <v>0</v>
      </c>
      <c r="R517" s="14">
        <v>0</v>
      </c>
      <c r="S517" s="14">
        <v>0</v>
      </c>
      <c r="T517" s="18">
        <v>0</v>
      </c>
      <c r="U517" s="14">
        <v>1</v>
      </c>
      <c r="V517" s="41"/>
      <c r="W517" s="39">
        <f t="shared" si="59"/>
        <v>42</v>
      </c>
    </row>
    <row r="518" spans="1:29" ht="13" thickBot="1" x14ac:dyDescent="0.3">
      <c r="A518" s="7" t="s">
        <v>64</v>
      </c>
      <c r="B518" s="19" t="s">
        <v>20</v>
      </c>
      <c r="C518" s="20" t="s">
        <v>18</v>
      </c>
      <c r="D518" s="21">
        <v>0</v>
      </c>
      <c r="E518" s="21">
        <v>0</v>
      </c>
      <c r="F518" s="21">
        <v>0</v>
      </c>
      <c r="G518" s="21">
        <v>0</v>
      </c>
      <c r="H518" s="22">
        <v>0</v>
      </c>
      <c r="I518" s="23">
        <v>0</v>
      </c>
      <c r="J518" s="21">
        <v>0</v>
      </c>
      <c r="K518" s="21">
        <v>0</v>
      </c>
      <c r="L518" s="21">
        <v>0</v>
      </c>
      <c r="M518" s="21">
        <v>0</v>
      </c>
      <c r="N518" s="21">
        <v>0</v>
      </c>
      <c r="O518" s="21">
        <v>0</v>
      </c>
      <c r="P518" s="21">
        <v>0</v>
      </c>
      <c r="Q518" s="21">
        <v>0</v>
      </c>
      <c r="R518" s="21">
        <v>0</v>
      </c>
      <c r="S518" s="21">
        <v>0</v>
      </c>
      <c r="T518" s="24">
        <v>0</v>
      </c>
      <c r="U518" s="14">
        <v>1</v>
      </c>
      <c r="V518" s="44"/>
      <c r="W518" s="39">
        <f t="shared" si="59"/>
        <v>0</v>
      </c>
    </row>
    <row r="519" spans="1:29" ht="13" thickBot="1" x14ac:dyDescent="0.3">
      <c r="A519" s="7" t="s">
        <v>64</v>
      </c>
      <c r="B519" s="25" t="s">
        <v>12</v>
      </c>
      <c r="C519" s="26" t="s">
        <v>18</v>
      </c>
      <c r="D519" s="27">
        <v>0</v>
      </c>
      <c r="E519" s="27">
        <v>0</v>
      </c>
      <c r="F519" s="27">
        <v>0</v>
      </c>
      <c r="G519" s="27">
        <v>0</v>
      </c>
      <c r="H519" s="28">
        <v>388</v>
      </c>
      <c r="I519" s="29">
        <v>379</v>
      </c>
      <c r="J519" s="27">
        <v>8</v>
      </c>
      <c r="K519" s="27">
        <v>0</v>
      </c>
      <c r="L519" s="27">
        <v>0</v>
      </c>
      <c r="M519" s="27">
        <v>0</v>
      </c>
      <c r="N519" s="27">
        <v>0</v>
      </c>
      <c r="O519" s="27">
        <v>0</v>
      </c>
      <c r="P519" s="27">
        <v>0</v>
      </c>
      <c r="Q519" s="27">
        <v>0</v>
      </c>
      <c r="R519" s="27">
        <v>0</v>
      </c>
      <c r="S519" s="27">
        <v>0</v>
      </c>
      <c r="T519" s="29">
        <v>0</v>
      </c>
      <c r="U519" s="14">
        <v>1</v>
      </c>
      <c r="V519" s="43">
        <f>SUM(I514:T517)/SUM(H514:H517)</f>
        <v>1</v>
      </c>
      <c r="W519" s="39">
        <f t="shared" si="59"/>
        <v>387</v>
      </c>
      <c r="X519" s="35">
        <f>W517+W514</f>
        <v>42</v>
      </c>
      <c r="Y519" s="35">
        <f>W512</f>
        <v>315</v>
      </c>
    </row>
    <row r="520" spans="1:29" x14ac:dyDescent="0.25">
      <c r="A520" s="7" t="s">
        <v>64</v>
      </c>
      <c r="B520" s="8" t="s">
        <v>17</v>
      </c>
      <c r="C520" s="9" t="s">
        <v>21</v>
      </c>
      <c r="D520" s="10">
        <v>0</v>
      </c>
      <c r="E520" s="10">
        <v>0</v>
      </c>
      <c r="F520" s="10">
        <v>0</v>
      </c>
      <c r="G520" s="10">
        <v>0</v>
      </c>
      <c r="H520" s="11">
        <v>262</v>
      </c>
      <c r="I520" s="12">
        <v>206</v>
      </c>
      <c r="J520" s="10">
        <v>33</v>
      </c>
      <c r="K520" s="10">
        <v>23</v>
      </c>
      <c r="L520" s="10">
        <v>0</v>
      </c>
      <c r="M520" s="10">
        <v>0</v>
      </c>
      <c r="N520" s="10">
        <v>0</v>
      </c>
      <c r="O520" s="10">
        <v>0</v>
      </c>
      <c r="P520" s="10">
        <v>0</v>
      </c>
      <c r="Q520" s="10">
        <v>0</v>
      </c>
      <c r="R520" s="10">
        <v>0</v>
      </c>
      <c r="S520" s="10">
        <v>0</v>
      </c>
      <c r="T520" s="13">
        <v>0</v>
      </c>
      <c r="U520" s="14">
        <v>1</v>
      </c>
      <c r="W520" s="39">
        <f t="shared" si="59"/>
        <v>262</v>
      </c>
      <c r="AB520" s="37" t="str">
        <f t="shared" ref="AB520:AB526" si="64">B520</f>
        <v>Parts-OTC</v>
      </c>
      <c r="AC520" s="36">
        <f t="shared" ref="AC520:AC526" si="65">I520*U520</f>
        <v>206</v>
      </c>
    </row>
    <row r="521" spans="1:29" x14ac:dyDescent="0.25">
      <c r="A521" s="7" t="s">
        <v>64</v>
      </c>
      <c r="B521" s="15" t="s">
        <v>66</v>
      </c>
      <c r="C521" s="7" t="s">
        <v>21</v>
      </c>
      <c r="D521" s="14">
        <v>0</v>
      </c>
      <c r="E521" s="14">
        <v>0</v>
      </c>
      <c r="F521" s="14">
        <v>0</v>
      </c>
      <c r="G521" s="14">
        <v>0</v>
      </c>
      <c r="H521" s="16">
        <v>131</v>
      </c>
      <c r="I521" s="17">
        <v>70</v>
      </c>
      <c r="J521" s="14">
        <v>56</v>
      </c>
      <c r="K521" s="14">
        <v>0</v>
      </c>
      <c r="L521" s="14">
        <v>0</v>
      </c>
      <c r="M521" s="14">
        <v>0</v>
      </c>
      <c r="N521" s="14">
        <v>0</v>
      </c>
      <c r="O521" s="14">
        <v>0</v>
      </c>
      <c r="P521" s="14">
        <v>6</v>
      </c>
      <c r="Q521" s="14">
        <v>0</v>
      </c>
      <c r="R521" s="14">
        <v>0</v>
      </c>
      <c r="S521" s="14">
        <v>0</v>
      </c>
      <c r="T521" s="18">
        <v>0</v>
      </c>
      <c r="U521" s="14">
        <v>1</v>
      </c>
      <c r="W521" s="39">
        <f t="shared" si="59"/>
        <v>132</v>
      </c>
      <c r="AB521" s="37" t="str">
        <f t="shared" si="64"/>
        <v>CTKS</v>
      </c>
      <c r="AC521" s="36">
        <f t="shared" si="65"/>
        <v>70</v>
      </c>
    </row>
    <row r="522" spans="1:29" x14ac:dyDescent="0.25">
      <c r="A522" s="7" t="s">
        <v>64</v>
      </c>
      <c r="B522" s="15" t="s">
        <v>13</v>
      </c>
      <c r="C522" s="7" t="s">
        <v>21</v>
      </c>
      <c r="D522" s="14">
        <v>0</v>
      </c>
      <c r="E522" s="14">
        <v>0</v>
      </c>
      <c r="F522" s="14">
        <v>0</v>
      </c>
      <c r="G522" s="14">
        <v>0</v>
      </c>
      <c r="H522" s="16">
        <v>149</v>
      </c>
      <c r="I522" s="33">
        <v>37</v>
      </c>
      <c r="J522" s="34">
        <v>0</v>
      </c>
      <c r="K522" s="34">
        <v>0</v>
      </c>
      <c r="L522" s="14">
        <v>112</v>
      </c>
      <c r="M522" s="14">
        <v>0</v>
      </c>
      <c r="N522" s="14">
        <v>0</v>
      </c>
      <c r="O522" s="14">
        <v>0</v>
      </c>
      <c r="P522" s="14">
        <v>0</v>
      </c>
      <c r="Q522" s="14">
        <v>0</v>
      </c>
      <c r="R522" s="14">
        <v>0</v>
      </c>
      <c r="S522" s="14">
        <v>0</v>
      </c>
      <c r="T522" s="18">
        <v>0</v>
      </c>
      <c r="U522" s="14">
        <v>1</v>
      </c>
      <c r="W522" s="39">
        <f t="shared" si="59"/>
        <v>149</v>
      </c>
      <c r="AB522" s="37" t="str">
        <f t="shared" si="64"/>
        <v>Repair</v>
      </c>
      <c r="AC522" s="36">
        <f t="shared" si="65"/>
        <v>37</v>
      </c>
    </row>
    <row r="523" spans="1:29" x14ac:dyDescent="0.25">
      <c r="A523" s="7" t="s">
        <v>64</v>
      </c>
      <c r="B523" s="15" t="s">
        <v>67</v>
      </c>
      <c r="C523" s="7" t="s">
        <v>21</v>
      </c>
      <c r="D523" s="14">
        <v>0</v>
      </c>
      <c r="E523" s="14">
        <v>0</v>
      </c>
      <c r="F523" s="14">
        <v>0</v>
      </c>
      <c r="G523" s="14">
        <v>0</v>
      </c>
      <c r="H523" s="16">
        <v>0</v>
      </c>
      <c r="I523" s="17">
        <v>0</v>
      </c>
      <c r="J523" s="14">
        <v>0</v>
      </c>
      <c r="K523" s="14">
        <v>0</v>
      </c>
      <c r="L523" s="14">
        <v>0</v>
      </c>
      <c r="M523" s="14">
        <v>0</v>
      </c>
      <c r="N523" s="14">
        <v>0</v>
      </c>
      <c r="O523" s="14">
        <v>0</v>
      </c>
      <c r="P523" s="14">
        <v>0</v>
      </c>
      <c r="Q523" s="14">
        <v>0</v>
      </c>
      <c r="R523" s="14">
        <v>0</v>
      </c>
      <c r="S523" s="14">
        <v>0</v>
      </c>
      <c r="T523" s="18">
        <v>0</v>
      </c>
      <c r="U523" s="14">
        <v>1</v>
      </c>
      <c r="W523" s="39">
        <f t="shared" si="59"/>
        <v>0</v>
      </c>
      <c r="AB523" s="37" t="str">
        <f t="shared" si="64"/>
        <v>Rental</v>
      </c>
      <c r="AC523" s="36">
        <f t="shared" si="65"/>
        <v>0</v>
      </c>
    </row>
    <row r="524" spans="1:29" x14ac:dyDescent="0.25">
      <c r="A524" s="7" t="s">
        <v>64</v>
      </c>
      <c r="B524" s="15" t="s">
        <v>73</v>
      </c>
      <c r="C524" s="7" t="s">
        <v>21</v>
      </c>
      <c r="D524" s="14">
        <v>0</v>
      </c>
      <c r="E524" s="14">
        <v>0</v>
      </c>
      <c r="F524" s="14">
        <v>0</v>
      </c>
      <c r="G524" s="14">
        <v>0</v>
      </c>
      <c r="H524" s="16">
        <v>0</v>
      </c>
      <c r="I524" s="17">
        <v>0</v>
      </c>
      <c r="J524" s="14">
        <v>0</v>
      </c>
      <c r="K524" s="14">
        <v>0</v>
      </c>
      <c r="L524" s="14">
        <v>0</v>
      </c>
      <c r="M524" s="14">
        <v>0</v>
      </c>
      <c r="N524" s="14">
        <v>0</v>
      </c>
      <c r="O524" s="14">
        <v>0</v>
      </c>
      <c r="P524" s="14">
        <v>0</v>
      </c>
      <c r="Q524" s="14">
        <v>0</v>
      </c>
      <c r="R524" s="14">
        <v>0</v>
      </c>
      <c r="S524" s="14">
        <v>0</v>
      </c>
      <c r="T524" s="18">
        <v>0</v>
      </c>
      <c r="U524" s="14">
        <v>1</v>
      </c>
      <c r="W524" s="39">
        <f t="shared" si="59"/>
        <v>0</v>
      </c>
      <c r="AB524" s="37"/>
    </row>
    <row r="525" spans="1:29" x14ac:dyDescent="0.25">
      <c r="A525" s="7" t="s">
        <v>64</v>
      </c>
      <c r="B525" s="15" t="s">
        <v>19</v>
      </c>
      <c r="C525" s="7" t="s">
        <v>21</v>
      </c>
      <c r="D525" s="14">
        <v>0</v>
      </c>
      <c r="E525" s="14">
        <v>0</v>
      </c>
      <c r="F525" s="14">
        <v>0</v>
      </c>
      <c r="G525" s="14">
        <v>0</v>
      </c>
      <c r="H525" s="16">
        <v>134</v>
      </c>
      <c r="I525" s="17">
        <v>12</v>
      </c>
      <c r="J525" s="14">
        <v>29</v>
      </c>
      <c r="K525" s="14">
        <v>12</v>
      </c>
      <c r="L525" s="14">
        <v>12</v>
      </c>
      <c r="M525" s="14">
        <v>12</v>
      </c>
      <c r="N525" s="14">
        <v>9</v>
      </c>
      <c r="O525" s="14">
        <v>9</v>
      </c>
      <c r="P525" s="14">
        <v>26</v>
      </c>
      <c r="Q525" s="14">
        <v>6</v>
      </c>
      <c r="R525" s="14">
        <v>5</v>
      </c>
      <c r="S525" s="14">
        <v>2</v>
      </c>
      <c r="T525" s="18">
        <v>1</v>
      </c>
      <c r="U525" s="14">
        <v>1</v>
      </c>
      <c r="W525" s="39">
        <f t="shared" si="59"/>
        <v>135</v>
      </c>
      <c r="AB525" s="37" t="str">
        <f t="shared" si="64"/>
        <v>Maintenance</v>
      </c>
      <c r="AC525" s="36">
        <f t="shared" si="65"/>
        <v>12</v>
      </c>
    </row>
    <row r="526" spans="1:29" ht="13" thickBot="1" x14ac:dyDescent="0.3">
      <c r="A526" s="7" t="s">
        <v>64</v>
      </c>
      <c r="B526" s="19" t="s">
        <v>20</v>
      </c>
      <c r="C526" s="20" t="s">
        <v>21</v>
      </c>
      <c r="D526" s="21">
        <v>0</v>
      </c>
      <c r="E526" s="21">
        <v>0</v>
      </c>
      <c r="F526" s="21">
        <v>0</v>
      </c>
      <c r="G526" s="21">
        <v>0</v>
      </c>
      <c r="H526" s="22">
        <v>9</v>
      </c>
      <c r="I526" s="23">
        <v>9</v>
      </c>
      <c r="J526" s="21">
        <v>0</v>
      </c>
      <c r="K526" s="21">
        <v>0</v>
      </c>
      <c r="L526" s="21">
        <v>0</v>
      </c>
      <c r="M526" s="21">
        <v>0</v>
      </c>
      <c r="N526" s="21">
        <v>0</v>
      </c>
      <c r="O526" s="21">
        <v>0</v>
      </c>
      <c r="P526" s="21">
        <v>0</v>
      </c>
      <c r="Q526" s="21">
        <v>0</v>
      </c>
      <c r="R526" s="21">
        <v>0</v>
      </c>
      <c r="S526" s="21">
        <v>0</v>
      </c>
      <c r="T526" s="24">
        <v>0</v>
      </c>
      <c r="U526" s="14">
        <v>1</v>
      </c>
      <c r="W526" s="39">
        <f t="shared" si="59"/>
        <v>9</v>
      </c>
      <c r="AB526" s="37" t="str">
        <f t="shared" si="64"/>
        <v>Startup</v>
      </c>
      <c r="AC526" s="36">
        <f t="shared" si="65"/>
        <v>9</v>
      </c>
    </row>
    <row r="527" spans="1:29" ht="13" thickBot="1" x14ac:dyDescent="0.3">
      <c r="A527" s="20" t="s">
        <v>64</v>
      </c>
      <c r="B527" s="25" t="s">
        <v>12</v>
      </c>
      <c r="C527" s="26" t="s">
        <v>21</v>
      </c>
      <c r="D527" s="27">
        <v>0</v>
      </c>
      <c r="E527" s="27">
        <v>0</v>
      </c>
      <c r="F527" s="27">
        <v>0</v>
      </c>
      <c r="G527" s="27">
        <v>0</v>
      </c>
      <c r="H527" s="28">
        <v>685</v>
      </c>
      <c r="I527" s="29">
        <v>334</v>
      </c>
      <c r="J527" s="27">
        <v>118</v>
      </c>
      <c r="K527" s="27">
        <v>35</v>
      </c>
      <c r="L527" s="27">
        <v>124</v>
      </c>
      <c r="M527" s="27">
        <v>12</v>
      </c>
      <c r="N527" s="27">
        <v>9</v>
      </c>
      <c r="O527" s="27">
        <v>9</v>
      </c>
      <c r="P527" s="27">
        <v>32</v>
      </c>
      <c r="Q527" s="27">
        <v>6</v>
      </c>
      <c r="R527" s="27">
        <v>5</v>
      </c>
      <c r="S527" s="27">
        <v>2</v>
      </c>
      <c r="T527" s="29">
        <v>1</v>
      </c>
      <c r="U527" s="14">
        <v>1</v>
      </c>
      <c r="W527" s="39">
        <f t="shared" si="59"/>
        <v>687</v>
      </c>
      <c r="X527" s="35">
        <f>W526+W525+W522</f>
        <v>293</v>
      </c>
      <c r="Y527" s="35">
        <f>W520</f>
        <v>262</v>
      </c>
      <c r="Z527" s="40">
        <f>V518/X527</f>
        <v>0</v>
      </c>
      <c r="AA527" s="40">
        <f>IF((Y527=0),0,Y519/Y527)</f>
        <v>1.2022900763358779</v>
      </c>
      <c r="AB527" s="48"/>
      <c r="AC527" s="48"/>
    </row>
    <row r="528" spans="1:29" ht="13" thickBot="1" x14ac:dyDescent="0.3">
      <c r="A528" s="9" t="s">
        <v>42</v>
      </c>
      <c r="B528" s="30" t="s">
        <v>15</v>
      </c>
      <c r="C528" s="31" t="s">
        <v>94</v>
      </c>
      <c r="D528" s="32" t="s">
        <v>47</v>
      </c>
      <c r="E528" s="53" t="s">
        <v>116</v>
      </c>
      <c r="F528" s="53" t="s">
        <v>117</v>
      </c>
      <c r="G528" s="53" t="s">
        <v>118</v>
      </c>
      <c r="H528" s="28" t="s">
        <v>12</v>
      </c>
      <c r="I528" s="54" t="s">
        <v>119</v>
      </c>
      <c r="J528" s="53" t="s">
        <v>174</v>
      </c>
      <c r="K528" s="53" t="s">
        <v>175</v>
      </c>
      <c r="L528" s="53" t="s">
        <v>99</v>
      </c>
      <c r="M528" s="53" t="s">
        <v>100</v>
      </c>
      <c r="N528" s="53" t="s">
        <v>101</v>
      </c>
      <c r="O528" s="53" t="s">
        <v>102</v>
      </c>
      <c r="P528" s="53" t="s">
        <v>103</v>
      </c>
      <c r="Q528" s="53" t="s">
        <v>104</v>
      </c>
      <c r="R528" s="53" t="s">
        <v>105</v>
      </c>
      <c r="S528" s="53" t="s">
        <v>106</v>
      </c>
      <c r="T528" s="55" t="s">
        <v>107</v>
      </c>
      <c r="U528" s="14">
        <v>1</v>
      </c>
      <c r="V528" s="14" t="s">
        <v>183</v>
      </c>
      <c r="W528" s="39">
        <f t="shared" si="59"/>
        <v>0</v>
      </c>
      <c r="X528" s="14" t="s">
        <v>37</v>
      </c>
      <c r="Y528" s="14" t="s">
        <v>38</v>
      </c>
      <c r="AB528" s="48"/>
      <c r="AC528" s="48"/>
    </row>
    <row r="529" spans="1:29" x14ac:dyDescent="0.25">
      <c r="A529" s="7" t="s">
        <v>42</v>
      </c>
      <c r="B529" s="8" t="s">
        <v>17</v>
      </c>
      <c r="C529" s="9" t="s">
        <v>18</v>
      </c>
      <c r="D529" s="10">
        <v>0</v>
      </c>
      <c r="E529" s="10">
        <v>0</v>
      </c>
      <c r="F529" s="10">
        <v>0</v>
      </c>
      <c r="G529" s="10">
        <v>0</v>
      </c>
      <c r="H529" s="11">
        <v>0</v>
      </c>
      <c r="I529" s="12">
        <v>0</v>
      </c>
      <c r="J529" s="10">
        <v>0</v>
      </c>
      <c r="K529" s="10">
        <v>0</v>
      </c>
      <c r="L529" s="10">
        <v>0</v>
      </c>
      <c r="M529" s="10">
        <v>0</v>
      </c>
      <c r="N529" s="10">
        <v>0</v>
      </c>
      <c r="O529" s="10">
        <v>0</v>
      </c>
      <c r="P529" s="10">
        <v>0</v>
      </c>
      <c r="Q529" s="10">
        <v>0</v>
      </c>
      <c r="R529" s="10">
        <v>0</v>
      </c>
      <c r="S529" s="10">
        <v>0</v>
      </c>
      <c r="T529" s="13">
        <v>0</v>
      </c>
      <c r="U529" s="14">
        <v>1</v>
      </c>
      <c r="V529" s="42" t="e">
        <f>SUM(I529:T529)/H529</f>
        <v>#DIV/0!</v>
      </c>
      <c r="W529" s="39">
        <f t="shared" si="59"/>
        <v>0</v>
      </c>
    </row>
    <row r="530" spans="1:29" x14ac:dyDescent="0.25">
      <c r="A530" s="7" t="s">
        <v>42</v>
      </c>
      <c r="B530" s="15" t="s">
        <v>66</v>
      </c>
      <c r="C530" s="7" t="s">
        <v>18</v>
      </c>
      <c r="D530" s="14">
        <v>0</v>
      </c>
      <c r="E530" s="14">
        <v>0</v>
      </c>
      <c r="F530" s="14">
        <v>0</v>
      </c>
      <c r="G530" s="14">
        <v>0</v>
      </c>
      <c r="H530" s="16">
        <v>0</v>
      </c>
      <c r="I530" s="17">
        <v>0</v>
      </c>
      <c r="J530" s="14">
        <v>0</v>
      </c>
      <c r="K530" s="14">
        <v>0</v>
      </c>
      <c r="L530" s="14">
        <v>0</v>
      </c>
      <c r="M530" s="14">
        <v>0</v>
      </c>
      <c r="N530" s="14">
        <v>0</v>
      </c>
      <c r="O530" s="14">
        <v>0</v>
      </c>
      <c r="P530" s="14">
        <v>0</v>
      </c>
      <c r="Q530" s="14">
        <v>0</v>
      </c>
      <c r="R530" s="14">
        <v>0</v>
      </c>
      <c r="S530" s="14">
        <v>0</v>
      </c>
      <c r="T530" s="18">
        <v>0</v>
      </c>
      <c r="U530" s="14">
        <v>1</v>
      </c>
      <c r="V530" s="44"/>
      <c r="W530" s="39">
        <f t="shared" si="59"/>
        <v>0</v>
      </c>
    </row>
    <row r="531" spans="1:29" x14ac:dyDescent="0.25">
      <c r="A531" s="7" t="s">
        <v>42</v>
      </c>
      <c r="B531" s="15" t="s">
        <v>13</v>
      </c>
      <c r="C531" s="7" t="s">
        <v>18</v>
      </c>
      <c r="D531" s="14">
        <v>0</v>
      </c>
      <c r="E531" s="14">
        <v>0</v>
      </c>
      <c r="F531" s="14">
        <v>0</v>
      </c>
      <c r="G531" s="14">
        <v>0</v>
      </c>
      <c r="H531" s="16">
        <v>103</v>
      </c>
      <c r="I531" s="17">
        <v>0</v>
      </c>
      <c r="J531" s="14">
        <v>103</v>
      </c>
      <c r="K531" s="14">
        <v>0</v>
      </c>
      <c r="L531" s="14">
        <v>0</v>
      </c>
      <c r="M531" s="14">
        <v>0</v>
      </c>
      <c r="N531" s="14">
        <v>0</v>
      </c>
      <c r="O531" s="14">
        <v>0</v>
      </c>
      <c r="P531" s="14">
        <v>0</v>
      </c>
      <c r="Q531" s="14">
        <v>0</v>
      </c>
      <c r="R531" s="14">
        <v>0</v>
      </c>
      <c r="S531" s="14">
        <v>0</v>
      </c>
      <c r="T531" s="18">
        <v>0</v>
      </c>
      <c r="U531" s="14">
        <v>1</v>
      </c>
      <c r="V531" s="41"/>
      <c r="W531" s="39">
        <f t="shared" si="59"/>
        <v>103</v>
      </c>
      <c r="Y531" s="105">
        <f>1/U531</f>
        <v>1</v>
      </c>
    </row>
    <row r="532" spans="1:29" x14ac:dyDescent="0.25">
      <c r="A532" s="7" t="s">
        <v>42</v>
      </c>
      <c r="B532" s="15" t="s">
        <v>67</v>
      </c>
      <c r="C532" s="7" t="s">
        <v>18</v>
      </c>
      <c r="D532" s="14">
        <v>0</v>
      </c>
      <c r="E532" s="14">
        <v>0</v>
      </c>
      <c r="F532" s="14">
        <v>0</v>
      </c>
      <c r="G532" s="14">
        <v>0</v>
      </c>
      <c r="H532" s="16">
        <v>0</v>
      </c>
      <c r="I532" s="17">
        <v>0</v>
      </c>
      <c r="J532" s="14">
        <v>0</v>
      </c>
      <c r="K532" s="14">
        <v>0</v>
      </c>
      <c r="L532" s="14">
        <v>0</v>
      </c>
      <c r="M532" s="14">
        <v>0</v>
      </c>
      <c r="N532" s="14">
        <v>0</v>
      </c>
      <c r="O532" s="14">
        <v>0</v>
      </c>
      <c r="P532" s="14">
        <v>0</v>
      </c>
      <c r="Q532" s="14">
        <v>0</v>
      </c>
      <c r="R532" s="14">
        <v>0</v>
      </c>
      <c r="S532" s="14">
        <v>0</v>
      </c>
      <c r="T532" s="18">
        <v>0</v>
      </c>
      <c r="U532" s="14">
        <v>1</v>
      </c>
      <c r="V532" s="41"/>
      <c r="W532" s="39">
        <f t="shared" si="59"/>
        <v>0</v>
      </c>
    </row>
    <row r="533" spans="1:29" x14ac:dyDescent="0.25">
      <c r="A533" s="7" t="s">
        <v>42</v>
      </c>
      <c r="B533" s="15" t="s">
        <v>73</v>
      </c>
      <c r="C533" s="7" t="s">
        <v>18</v>
      </c>
      <c r="D533" s="14">
        <v>0</v>
      </c>
      <c r="E533" s="14">
        <v>0</v>
      </c>
      <c r="F533" s="14">
        <v>0</v>
      </c>
      <c r="G533" s="14">
        <v>0</v>
      </c>
      <c r="H533" s="16">
        <v>0</v>
      </c>
      <c r="I533" s="17">
        <v>0</v>
      </c>
      <c r="J533" s="14">
        <v>0</v>
      </c>
      <c r="K533" s="14">
        <v>0</v>
      </c>
      <c r="L533" s="14">
        <v>0</v>
      </c>
      <c r="M533" s="14">
        <v>0</v>
      </c>
      <c r="N533" s="14">
        <v>0</v>
      </c>
      <c r="O533" s="14">
        <v>0</v>
      </c>
      <c r="P533" s="14">
        <v>0</v>
      </c>
      <c r="Q533" s="14">
        <v>0</v>
      </c>
      <c r="R533" s="14">
        <v>0</v>
      </c>
      <c r="S533" s="14">
        <v>0</v>
      </c>
      <c r="T533" s="18">
        <v>0</v>
      </c>
      <c r="U533" s="14">
        <v>1</v>
      </c>
      <c r="V533" s="41"/>
      <c r="W533" s="39">
        <f t="shared" si="59"/>
        <v>0</v>
      </c>
    </row>
    <row r="534" spans="1:29" x14ac:dyDescent="0.25">
      <c r="A534" s="7" t="s">
        <v>42</v>
      </c>
      <c r="B534" s="15" t="s">
        <v>19</v>
      </c>
      <c r="C534" s="7" t="s">
        <v>18</v>
      </c>
      <c r="D534" s="14">
        <v>0</v>
      </c>
      <c r="E534" s="14">
        <v>0</v>
      </c>
      <c r="F534" s="14">
        <v>0</v>
      </c>
      <c r="G534" s="14">
        <v>0</v>
      </c>
      <c r="H534" s="16">
        <v>0</v>
      </c>
      <c r="I534" s="17">
        <v>0</v>
      </c>
      <c r="J534" s="14">
        <v>0</v>
      </c>
      <c r="K534" s="14">
        <v>0</v>
      </c>
      <c r="L534" s="14">
        <v>0</v>
      </c>
      <c r="M534" s="14">
        <v>0</v>
      </c>
      <c r="N534" s="14">
        <v>0</v>
      </c>
      <c r="O534" s="14">
        <v>0</v>
      </c>
      <c r="P534" s="14">
        <v>0</v>
      </c>
      <c r="Q534" s="14">
        <v>0</v>
      </c>
      <c r="R534" s="14">
        <v>0</v>
      </c>
      <c r="S534" s="14">
        <v>0</v>
      </c>
      <c r="T534" s="18">
        <v>0</v>
      </c>
      <c r="U534" s="14">
        <v>1</v>
      </c>
      <c r="V534" s="41"/>
      <c r="W534" s="39">
        <f t="shared" si="59"/>
        <v>0</v>
      </c>
    </row>
    <row r="535" spans="1:29" ht="13" thickBot="1" x14ac:dyDescent="0.3">
      <c r="A535" s="7" t="s">
        <v>42</v>
      </c>
      <c r="B535" s="19" t="s">
        <v>20</v>
      </c>
      <c r="C535" s="20" t="s">
        <v>18</v>
      </c>
      <c r="D535" s="21">
        <v>0</v>
      </c>
      <c r="E535" s="21">
        <v>0</v>
      </c>
      <c r="F535" s="21">
        <v>0</v>
      </c>
      <c r="G535" s="21">
        <v>0</v>
      </c>
      <c r="H535" s="22">
        <v>0</v>
      </c>
      <c r="I535" s="23">
        <v>0</v>
      </c>
      <c r="J535" s="21">
        <v>0</v>
      </c>
      <c r="K535" s="21">
        <v>0</v>
      </c>
      <c r="L535" s="21">
        <v>0</v>
      </c>
      <c r="M535" s="21">
        <v>0</v>
      </c>
      <c r="N535" s="21">
        <v>0</v>
      </c>
      <c r="O535" s="21">
        <v>0</v>
      </c>
      <c r="P535" s="21">
        <v>0</v>
      </c>
      <c r="Q535" s="21">
        <v>0</v>
      </c>
      <c r="R535" s="21">
        <v>0</v>
      </c>
      <c r="S535" s="21">
        <v>0</v>
      </c>
      <c r="T535" s="24">
        <v>0</v>
      </c>
      <c r="U535" s="14">
        <v>1</v>
      </c>
      <c r="V535" s="44"/>
      <c r="W535" s="39">
        <f t="shared" si="59"/>
        <v>0</v>
      </c>
    </row>
    <row r="536" spans="1:29" ht="13" thickBot="1" x14ac:dyDescent="0.3">
      <c r="A536" s="7" t="s">
        <v>42</v>
      </c>
      <c r="B536" s="25" t="s">
        <v>12</v>
      </c>
      <c r="C536" s="26" t="s">
        <v>18</v>
      </c>
      <c r="D536" s="27">
        <v>0</v>
      </c>
      <c r="E536" s="27">
        <v>0</v>
      </c>
      <c r="F536" s="27">
        <v>0</v>
      </c>
      <c r="G536" s="27">
        <v>0</v>
      </c>
      <c r="H536" s="28">
        <v>103</v>
      </c>
      <c r="I536" s="29">
        <v>0</v>
      </c>
      <c r="J536" s="27">
        <v>103</v>
      </c>
      <c r="K536" s="27">
        <v>0</v>
      </c>
      <c r="L536" s="27">
        <v>0</v>
      </c>
      <c r="M536" s="27">
        <v>0</v>
      </c>
      <c r="N536" s="27">
        <v>0</v>
      </c>
      <c r="O536" s="27">
        <v>0</v>
      </c>
      <c r="P536" s="27">
        <v>0</v>
      </c>
      <c r="Q536" s="27">
        <v>0</v>
      </c>
      <c r="R536" s="27">
        <v>0</v>
      </c>
      <c r="S536" s="27">
        <v>0</v>
      </c>
      <c r="T536" s="29">
        <v>0</v>
      </c>
      <c r="U536" s="14">
        <v>1</v>
      </c>
      <c r="V536" s="43">
        <f>SUM(I531:T534)/SUM(H531:H534)</f>
        <v>1</v>
      </c>
      <c r="W536" s="39">
        <f t="shared" si="59"/>
        <v>103</v>
      </c>
      <c r="X536" s="35">
        <f>W534+W531</f>
        <v>103</v>
      </c>
      <c r="Y536" s="35">
        <f>W529</f>
        <v>0</v>
      </c>
    </row>
    <row r="537" spans="1:29" x14ac:dyDescent="0.25">
      <c r="A537" s="7" t="s">
        <v>42</v>
      </c>
      <c r="B537" s="8" t="s">
        <v>17</v>
      </c>
      <c r="C537" s="9" t="s">
        <v>21</v>
      </c>
      <c r="D537" s="10">
        <v>0</v>
      </c>
      <c r="E537" s="10">
        <v>0</v>
      </c>
      <c r="F537" s="10">
        <v>0</v>
      </c>
      <c r="G537" s="10">
        <v>0</v>
      </c>
      <c r="H537" s="11">
        <v>36</v>
      </c>
      <c r="I537" s="12">
        <v>9</v>
      </c>
      <c r="J537" s="10">
        <v>26</v>
      </c>
      <c r="K537" s="10">
        <v>0</v>
      </c>
      <c r="L537" s="10">
        <v>0</v>
      </c>
      <c r="M537" s="10">
        <v>0</v>
      </c>
      <c r="N537" s="10">
        <v>0</v>
      </c>
      <c r="O537" s="10">
        <v>0</v>
      </c>
      <c r="P537" s="10">
        <v>0</v>
      </c>
      <c r="Q537" s="10">
        <v>0</v>
      </c>
      <c r="R537" s="10">
        <v>0</v>
      </c>
      <c r="S537" s="10">
        <v>0</v>
      </c>
      <c r="T537" s="13">
        <v>0</v>
      </c>
      <c r="U537" s="14">
        <v>1</v>
      </c>
      <c r="W537" s="39">
        <f t="shared" si="59"/>
        <v>35</v>
      </c>
      <c r="AB537" s="37" t="str">
        <f t="shared" ref="AB537:AB543" si="66">B537</f>
        <v>Parts-OTC</v>
      </c>
      <c r="AC537" s="36">
        <f t="shared" ref="AC537:AC543" si="67">I537*U537</f>
        <v>9</v>
      </c>
    </row>
    <row r="538" spans="1:29" x14ac:dyDescent="0.25">
      <c r="A538" s="7" t="s">
        <v>42</v>
      </c>
      <c r="B538" s="15" t="s">
        <v>66</v>
      </c>
      <c r="C538" s="7" t="s">
        <v>21</v>
      </c>
      <c r="D538" s="14">
        <v>0</v>
      </c>
      <c r="E538" s="14">
        <v>0</v>
      </c>
      <c r="F538" s="14">
        <v>0</v>
      </c>
      <c r="G538" s="14">
        <v>0</v>
      </c>
      <c r="H538" s="16">
        <v>96</v>
      </c>
      <c r="I538" s="17">
        <v>24</v>
      </c>
      <c r="J538" s="14">
        <v>34</v>
      </c>
      <c r="K538" s="14">
        <v>38</v>
      </c>
      <c r="L538" s="14">
        <v>0</v>
      </c>
      <c r="M538" s="14">
        <v>0</v>
      </c>
      <c r="N538" s="14">
        <v>0</v>
      </c>
      <c r="O538" s="14">
        <v>0</v>
      </c>
      <c r="P538" s="14">
        <v>0</v>
      </c>
      <c r="Q538" s="14">
        <v>0</v>
      </c>
      <c r="R538" s="14">
        <v>0</v>
      </c>
      <c r="S538" s="14">
        <v>0</v>
      </c>
      <c r="T538" s="18">
        <v>0</v>
      </c>
      <c r="U538" s="14">
        <v>1</v>
      </c>
      <c r="W538" s="39">
        <f t="shared" si="59"/>
        <v>96</v>
      </c>
      <c r="AB538" s="37" t="str">
        <f t="shared" si="66"/>
        <v>CTKS</v>
      </c>
      <c r="AC538" s="36">
        <f t="shared" si="67"/>
        <v>24</v>
      </c>
    </row>
    <row r="539" spans="1:29" x14ac:dyDescent="0.25">
      <c r="A539" s="7" t="s">
        <v>42</v>
      </c>
      <c r="B539" s="15" t="s">
        <v>13</v>
      </c>
      <c r="C539" s="7" t="s">
        <v>21</v>
      </c>
      <c r="D539" s="14">
        <v>0</v>
      </c>
      <c r="E539" s="14">
        <v>0</v>
      </c>
      <c r="F539" s="14">
        <v>0</v>
      </c>
      <c r="G539" s="14">
        <v>0</v>
      </c>
      <c r="H539" s="16">
        <v>32</v>
      </c>
      <c r="I539" s="33">
        <v>32</v>
      </c>
      <c r="J539" s="34">
        <v>0</v>
      </c>
      <c r="K539" s="34">
        <v>0</v>
      </c>
      <c r="L539" s="14">
        <v>0</v>
      </c>
      <c r="M539" s="14">
        <v>0</v>
      </c>
      <c r="N539" s="14">
        <v>0</v>
      </c>
      <c r="O539" s="14">
        <v>0</v>
      </c>
      <c r="P539" s="14">
        <v>0</v>
      </c>
      <c r="Q539" s="14">
        <v>0</v>
      </c>
      <c r="R539" s="14">
        <v>0</v>
      </c>
      <c r="S539" s="14">
        <v>0</v>
      </c>
      <c r="T539" s="18">
        <v>0</v>
      </c>
      <c r="U539" s="14">
        <v>1</v>
      </c>
      <c r="W539" s="39">
        <f t="shared" si="59"/>
        <v>32</v>
      </c>
      <c r="AB539" s="37" t="str">
        <f t="shared" si="66"/>
        <v>Repair</v>
      </c>
      <c r="AC539" s="36">
        <f t="shared" si="67"/>
        <v>32</v>
      </c>
    </row>
    <row r="540" spans="1:29" x14ac:dyDescent="0.25">
      <c r="A540" s="7" t="s">
        <v>42</v>
      </c>
      <c r="B540" s="15" t="s">
        <v>67</v>
      </c>
      <c r="C540" s="7" t="s">
        <v>21</v>
      </c>
      <c r="D540" s="14">
        <v>0</v>
      </c>
      <c r="E540" s="14">
        <v>0</v>
      </c>
      <c r="F540" s="14">
        <v>0</v>
      </c>
      <c r="G540" s="14">
        <v>0</v>
      </c>
      <c r="H540" s="16">
        <v>0</v>
      </c>
      <c r="I540" s="17">
        <v>0</v>
      </c>
      <c r="J540" s="14">
        <v>0</v>
      </c>
      <c r="K540" s="14">
        <v>0</v>
      </c>
      <c r="L540" s="14">
        <v>0</v>
      </c>
      <c r="M540" s="14">
        <v>0</v>
      </c>
      <c r="N540" s="14">
        <v>0</v>
      </c>
      <c r="O540" s="14">
        <v>0</v>
      </c>
      <c r="P540" s="14">
        <v>0</v>
      </c>
      <c r="Q540" s="14">
        <v>0</v>
      </c>
      <c r="R540" s="14">
        <v>0</v>
      </c>
      <c r="S540" s="14">
        <v>0</v>
      </c>
      <c r="T540" s="18">
        <v>0</v>
      </c>
      <c r="U540" s="14">
        <v>1</v>
      </c>
      <c r="W540" s="39">
        <f t="shared" si="59"/>
        <v>0</v>
      </c>
      <c r="AB540" s="37" t="str">
        <f t="shared" si="66"/>
        <v>Rental</v>
      </c>
      <c r="AC540" s="36">
        <f t="shared" si="67"/>
        <v>0</v>
      </c>
    </row>
    <row r="541" spans="1:29" x14ac:dyDescent="0.25">
      <c r="A541" s="7" t="s">
        <v>42</v>
      </c>
      <c r="B541" s="15" t="s">
        <v>73</v>
      </c>
      <c r="C541" s="7" t="s">
        <v>21</v>
      </c>
      <c r="D541" s="14">
        <v>0</v>
      </c>
      <c r="E541" s="14">
        <v>0</v>
      </c>
      <c r="F541" s="14">
        <v>0</v>
      </c>
      <c r="G541" s="14">
        <v>0</v>
      </c>
      <c r="H541" s="16">
        <v>15</v>
      </c>
      <c r="I541" s="17">
        <v>0</v>
      </c>
      <c r="J541" s="14">
        <v>0</v>
      </c>
      <c r="K541" s="14">
        <v>0</v>
      </c>
      <c r="L541" s="14">
        <v>0</v>
      </c>
      <c r="M541" s="14">
        <v>0</v>
      </c>
      <c r="N541" s="14">
        <v>0</v>
      </c>
      <c r="O541" s="14">
        <v>0</v>
      </c>
      <c r="P541" s="14">
        <v>15</v>
      </c>
      <c r="Q541" s="14">
        <v>0</v>
      </c>
      <c r="R541" s="14">
        <v>0</v>
      </c>
      <c r="S541" s="14">
        <v>0</v>
      </c>
      <c r="T541" s="18">
        <v>0</v>
      </c>
      <c r="U541" s="14">
        <v>1</v>
      </c>
      <c r="W541" s="39">
        <f t="shared" si="59"/>
        <v>15</v>
      </c>
      <c r="AB541" s="37"/>
    </row>
    <row r="542" spans="1:29" x14ac:dyDescent="0.25">
      <c r="A542" s="7" t="s">
        <v>42</v>
      </c>
      <c r="B542" s="15" t="s">
        <v>19</v>
      </c>
      <c r="C542" s="7" t="s">
        <v>21</v>
      </c>
      <c r="D542" s="14">
        <v>0</v>
      </c>
      <c r="E542" s="14">
        <v>0</v>
      </c>
      <c r="F542" s="14">
        <v>0</v>
      </c>
      <c r="G542" s="14">
        <v>0</v>
      </c>
      <c r="H542" s="16">
        <v>75</v>
      </c>
      <c r="I542" s="17">
        <v>34</v>
      </c>
      <c r="J542" s="14">
        <v>31</v>
      </c>
      <c r="K542" s="14">
        <v>1</v>
      </c>
      <c r="L542" s="14">
        <v>1</v>
      </c>
      <c r="M542" s="14">
        <v>1</v>
      </c>
      <c r="N542" s="14">
        <v>1</v>
      </c>
      <c r="O542" s="14">
        <v>1</v>
      </c>
      <c r="P542" s="14">
        <v>1</v>
      </c>
      <c r="Q542" s="14">
        <v>1</v>
      </c>
      <c r="R542" s="14">
        <v>1</v>
      </c>
      <c r="S542" s="14">
        <v>1</v>
      </c>
      <c r="T542" s="18">
        <v>1</v>
      </c>
      <c r="U542" s="14">
        <v>1</v>
      </c>
      <c r="W542" s="39">
        <f t="shared" si="59"/>
        <v>75</v>
      </c>
      <c r="AB542" s="37" t="str">
        <f t="shared" si="66"/>
        <v>Maintenance</v>
      </c>
      <c r="AC542" s="36">
        <f t="shared" si="67"/>
        <v>34</v>
      </c>
    </row>
    <row r="543" spans="1:29" ht="13" thickBot="1" x14ac:dyDescent="0.3">
      <c r="A543" s="7" t="s">
        <v>42</v>
      </c>
      <c r="B543" s="19" t="s">
        <v>20</v>
      </c>
      <c r="C543" s="20" t="s">
        <v>21</v>
      </c>
      <c r="D543" s="21">
        <v>0</v>
      </c>
      <c r="E543" s="21">
        <v>0</v>
      </c>
      <c r="F543" s="21">
        <v>0</v>
      </c>
      <c r="G543" s="21">
        <v>0</v>
      </c>
      <c r="H543" s="22">
        <v>3</v>
      </c>
      <c r="I543" s="23">
        <v>3</v>
      </c>
      <c r="J543" s="21">
        <v>0</v>
      </c>
      <c r="K543" s="21">
        <v>0</v>
      </c>
      <c r="L543" s="21">
        <v>0</v>
      </c>
      <c r="M543" s="21">
        <v>0</v>
      </c>
      <c r="N543" s="21">
        <v>0</v>
      </c>
      <c r="O543" s="21">
        <v>0</v>
      </c>
      <c r="P543" s="21">
        <v>0</v>
      </c>
      <c r="Q543" s="21">
        <v>0</v>
      </c>
      <c r="R543" s="21">
        <v>0</v>
      </c>
      <c r="S543" s="21">
        <v>0</v>
      </c>
      <c r="T543" s="24">
        <v>0</v>
      </c>
      <c r="U543" s="14">
        <v>1</v>
      </c>
      <c r="W543" s="39">
        <f t="shared" si="59"/>
        <v>3</v>
      </c>
      <c r="AB543" s="37" t="str">
        <f t="shared" si="66"/>
        <v>Startup</v>
      </c>
      <c r="AC543" s="36">
        <f t="shared" si="67"/>
        <v>3</v>
      </c>
    </row>
    <row r="544" spans="1:29" ht="13" thickBot="1" x14ac:dyDescent="0.3">
      <c r="A544" s="20" t="s">
        <v>42</v>
      </c>
      <c r="B544" s="25" t="s">
        <v>12</v>
      </c>
      <c r="C544" s="26" t="s">
        <v>21</v>
      </c>
      <c r="D544" s="27">
        <v>0</v>
      </c>
      <c r="E544" s="27">
        <v>0</v>
      </c>
      <c r="F544" s="27">
        <v>0</v>
      </c>
      <c r="G544" s="27">
        <v>0</v>
      </c>
      <c r="H544" s="28">
        <v>257</v>
      </c>
      <c r="I544" s="29">
        <v>102</v>
      </c>
      <c r="J544" s="27">
        <v>91</v>
      </c>
      <c r="K544" s="27">
        <v>39</v>
      </c>
      <c r="L544" s="27">
        <v>1</v>
      </c>
      <c r="M544" s="27">
        <v>1</v>
      </c>
      <c r="N544" s="27">
        <v>1</v>
      </c>
      <c r="O544" s="27">
        <v>1</v>
      </c>
      <c r="P544" s="27">
        <v>16</v>
      </c>
      <c r="Q544" s="27">
        <v>1</v>
      </c>
      <c r="R544" s="27">
        <v>1</v>
      </c>
      <c r="S544" s="27">
        <v>1</v>
      </c>
      <c r="T544" s="29">
        <v>1</v>
      </c>
      <c r="U544" s="14">
        <v>1</v>
      </c>
      <c r="W544" s="39">
        <f t="shared" si="59"/>
        <v>256</v>
      </c>
      <c r="X544" s="35">
        <f>W543+W542+W539</f>
        <v>110</v>
      </c>
      <c r="Y544" s="35">
        <f>W537</f>
        <v>35</v>
      </c>
      <c r="Z544" s="40">
        <f>V535/X544</f>
        <v>0</v>
      </c>
      <c r="AA544" s="40">
        <f>IF((Y544=0),0,Y536/Y544)</f>
        <v>0</v>
      </c>
      <c r="AB544" s="48"/>
      <c r="AC544" s="48"/>
    </row>
    <row r="545" spans="1:29" ht="13" thickBot="1" x14ac:dyDescent="0.3">
      <c r="A545" s="9" t="s">
        <v>72</v>
      </c>
      <c r="B545" s="30" t="s">
        <v>15</v>
      </c>
      <c r="C545" s="31" t="s">
        <v>94</v>
      </c>
      <c r="D545" s="32" t="s">
        <v>47</v>
      </c>
      <c r="E545" s="53" t="s">
        <v>116</v>
      </c>
      <c r="F545" s="53" t="s">
        <v>117</v>
      </c>
      <c r="G545" s="53" t="s">
        <v>118</v>
      </c>
      <c r="H545" s="28" t="s">
        <v>12</v>
      </c>
      <c r="I545" s="54" t="s">
        <v>119</v>
      </c>
      <c r="J545" s="53" t="s">
        <v>174</v>
      </c>
      <c r="K545" s="53" t="s">
        <v>175</v>
      </c>
      <c r="L545" s="53" t="s">
        <v>99</v>
      </c>
      <c r="M545" s="53" t="s">
        <v>100</v>
      </c>
      <c r="N545" s="53" t="s">
        <v>101</v>
      </c>
      <c r="O545" s="53" t="s">
        <v>102</v>
      </c>
      <c r="P545" s="53" t="s">
        <v>103</v>
      </c>
      <c r="Q545" s="53" t="s">
        <v>104</v>
      </c>
      <c r="R545" s="53" t="s">
        <v>105</v>
      </c>
      <c r="S545" s="53" t="s">
        <v>106</v>
      </c>
      <c r="T545" s="55" t="s">
        <v>107</v>
      </c>
      <c r="U545" s="14">
        <v>0.26654124899999998</v>
      </c>
      <c r="V545" s="14" t="s">
        <v>183</v>
      </c>
      <c r="W545" s="39">
        <f t="shared" si="59"/>
        <v>0</v>
      </c>
      <c r="X545" s="14" t="s">
        <v>37</v>
      </c>
      <c r="Y545" s="14" t="s">
        <v>38</v>
      </c>
      <c r="AB545" s="48"/>
      <c r="AC545" s="48"/>
    </row>
    <row r="546" spans="1:29" x14ac:dyDescent="0.25">
      <c r="A546" s="7" t="s">
        <v>72</v>
      </c>
      <c r="B546" s="8" t="s">
        <v>17</v>
      </c>
      <c r="C546" s="9" t="s">
        <v>18</v>
      </c>
      <c r="D546" s="10">
        <v>0</v>
      </c>
      <c r="E546" s="10">
        <v>0</v>
      </c>
      <c r="F546" s="10">
        <v>0</v>
      </c>
      <c r="G546" s="10">
        <v>0</v>
      </c>
      <c r="H546" s="11">
        <v>0</v>
      </c>
      <c r="I546" s="12">
        <v>0</v>
      </c>
      <c r="J546" s="10">
        <v>0</v>
      </c>
      <c r="K546" s="10">
        <v>0</v>
      </c>
      <c r="L546" s="10">
        <v>0</v>
      </c>
      <c r="M546" s="10">
        <v>0</v>
      </c>
      <c r="N546" s="10">
        <v>0</v>
      </c>
      <c r="O546" s="10">
        <v>0</v>
      </c>
      <c r="P546" s="10">
        <v>0</v>
      </c>
      <c r="Q546" s="10">
        <v>0</v>
      </c>
      <c r="R546" s="10">
        <v>0</v>
      </c>
      <c r="S546" s="10">
        <v>0</v>
      </c>
      <c r="T546" s="13">
        <v>0</v>
      </c>
      <c r="U546" s="14">
        <v>0.26654124899999998</v>
      </c>
      <c r="V546" s="42" t="e">
        <f>SUM(I546:T546)/H546</f>
        <v>#DIV/0!</v>
      </c>
      <c r="W546" s="39">
        <f t="shared" si="59"/>
        <v>0</v>
      </c>
    </row>
    <row r="547" spans="1:29" x14ac:dyDescent="0.25">
      <c r="A547" s="7" t="s">
        <v>72</v>
      </c>
      <c r="B547" s="15" t="s">
        <v>66</v>
      </c>
      <c r="C547" s="7" t="s">
        <v>18</v>
      </c>
      <c r="D547" s="14">
        <v>0</v>
      </c>
      <c r="E547" s="14">
        <v>0</v>
      </c>
      <c r="F547" s="14">
        <v>0</v>
      </c>
      <c r="G547" s="14">
        <v>0</v>
      </c>
      <c r="H547" s="16">
        <v>0</v>
      </c>
      <c r="I547" s="17">
        <v>0</v>
      </c>
      <c r="J547" s="14">
        <v>0</v>
      </c>
      <c r="K547" s="14">
        <v>0</v>
      </c>
      <c r="L547" s="14">
        <v>0</v>
      </c>
      <c r="M547" s="14">
        <v>0</v>
      </c>
      <c r="N547" s="14">
        <v>0</v>
      </c>
      <c r="O547" s="14">
        <v>0</v>
      </c>
      <c r="P547" s="14">
        <v>0</v>
      </c>
      <c r="Q547" s="14">
        <v>0</v>
      </c>
      <c r="R547" s="14">
        <v>0</v>
      </c>
      <c r="S547" s="14">
        <v>0</v>
      </c>
      <c r="T547" s="18">
        <v>0</v>
      </c>
      <c r="U547" s="14">
        <v>0.26654124899999998</v>
      </c>
      <c r="V547" s="44"/>
      <c r="W547" s="39">
        <f t="shared" si="59"/>
        <v>0</v>
      </c>
    </row>
    <row r="548" spans="1:29" x14ac:dyDescent="0.25">
      <c r="A548" s="7" t="s">
        <v>72</v>
      </c>
      <c r="B548" s="15" t="s">
        <v>13</v>
      </c>
      <c r="C548" s="7" t="s">
        <v>18</v>
      </c>
      <c r="D548" s="14">
        <v>0</v>
      </c>
      <c r="E548" s="14">
        <v>0</v>
      </c>
      <c r="F548" s="14">
        <v>0</v>
      </c>
      <c r="G548" s="14">
        <v>0</v>
      </c>
      <c r="H548" s="16">
        <v>0</v>
      </c>
      <c r="I548" s="17">
        <v>0</v>
      </c>
      <c r="J548" s="14">
        <v>0</v>
      </c>
      <c r="K548" s="14">
        <v>0</v>
      </c>
      <c r="L548" s="14">
        <v>0</v>
      </c>
      <c r="M548" s="14">
        <v>0</v>
      </c>
      <c r="N548" s="14">
        <v>0</v>
      </c>
      <c r="O548" s="14">
        <v>0</v>
      </c>
      <c r="P548" s="14">
        <v>0</v>
      </c>
      <c r="Q548" s="14">
        <v>0</v>
      </c>
      <c r="R548" s="14">
        <v>0</v>
      </c>
      <c r="S548" s="14">
        <v>0</v>
      </c>
      <c r="T548" s="18">
        <v>0</v>
      </c>
      <c r="U548" s="14">
        <v>0.26654124899999998</v>
      </c>
      <c r="V548" s="41"/>
      <c r="W548" s="39">
        <f t="shared" ref="W548:W611" si="68">SUM(I548:T548)*U548</f>
        <v>0</v>
      </c>
    </row>
    <row r="549" spans="1:29" x14ac:dyDescent="0.25">
      <c r="A549" s="7" t="s">
        <v>72</v>
      </c>
      <c r="B549" s="15" t="s">
        <v>67</v>
      </c>
      <c r="C549" s="7" t="s">
        <v>18</v>
      </c>
      <c r="D549" s="14">
        <v>0</v>
      </c>
      <c r="E549" s="14">
        <v>0</v>
      </c>
      <c r="F549" s="14">
        <v>0</v>
      </c>
      <c r="G549" s="14">
        <v>0</v>
      </c>
      <c r="H549" s="16">
        <v>0</v>
      </c>
      <c r="I549" s="17">
        <v>0</v>
      </c>
      <c r="J549" s="14">
        <v>0</v>
      </c>
      <c r="K549" s="14">
        <v>0</v>
      </c>
      <c r="L549" s="14">
        <v>0</v>
      </c>
      <c r="M549" s="14">
        <v>0</v>
      </c>
      <c r="N549" s="14">
        <v>0</v>
      </c>
      <c r="O549" s="14">
        <v>0</v>
      </c>
      <c r="P549" s="14">
        <v>0</v>
      </c>
      <c r="Q549" s="14">
        <v>0</v>
      </c>
      <c r="R549" s="14">
        <v>0</v>
      </c>
      <c r="S549" s="14">
        <v>0</v>
      </c>
      <c r="T549" s="18">
        <v>0</v>
      </c>
      <c r="U549" s="14">
        <v>0.26654124899999998</v>
      </c>
      <c r="V549" s="41"/>
      <c r="W549" s="39">
        <f t="shared" si="68"/>
        <v>0</v>
      </c>
    </row>
    <row r="550" spans="1:29" x14ac:dyDescent="0.25">
      <c r="A550" s="7" t="s">
        <v>72</v>
      </c>
      <c r="B550" s="15" t="s">
        <v>73</v>
      </c>
      <c r="C550" s="7" t="s">
        <v>18</v>
      </c>
      <c r="D550" s="14">
        <v>0</v>
      </c>
      <c r="E550" s="14">
        <v>0</v>
      </c>
      <c r="F550" s="14">
        <v>0</v>
      </c>
      <c r="G550" s="14">
        <v>0</v>
      </c>
      <c r="H550" s="16">
        <v>0</v>
      </c>
      <c r="I550" s="17">
        <v>0</v>
      </c>
      <c r="J550" s="14">
        <v>0</v>
      </c>
      <c r="K550" s="14">
        <v>0</v>
      </c>
      <c r="L550" s="14">
        <v>0</v>
      </c>
      <c r="M550" s="14">
        <v>0</v>
      </c>
      <c r="N550" s="14">
        <v>0</v>
      </c>
      <c r="O550" s="14">
        <v>0</v>
      </c>
      <c r="P550" s="14">
        <v>0</v>
      </c>
      <c r="Q550" s="14">
        <v>0</v>
      </c>
      <c r="R550" s="14">
        <v>0</v>
      </c>
      <c r="S550" s="14">
        <v>0</v>
      </c>
      <c r="T550" s="18">
        <v>0</v>
      </c>
      <c r="U550" s="14">
        <v>0.26654124899999998</v>
      </c>
      <c r="V550" s="41"/>
      <c r="W550" s="39">
        <f t="shared" si="68"/>
        <v>0</v>
      </c>
    </row>
    <row r="551" spans="1:29" x14ac:dyDescent="0.25">
      <c r="A551" s="7" t="s">
        <v>72</v>
      </c>
      <c r="B551" s="15" t="s">
        <v>19</v>
      </c>
      <c r="C551" s="7" t="s">
        <v>18</v>
      </c>
      <c r="D551" s="14">
        <v>0</v>
      </c>
      <c r="E551" s="14">
        <v>0</v>
      </c>
      <c r="F551" s="14">
        <v>0</v>
      </c>
      <c r="G551" s="14">
        <v>0</v>
      </c>
      <c r="H551" s="16">
        <v>0</v>
      </c>
      <c r="I551" s="17">
        <v>0</v>
      </c>
      <c r="J551" s="14">
        <v>0</v>
      </c>
      <c r="K551" s="14">
        <v>0</v>
      </c>
      <c r="L551" s="14">
        <v>0</v>
      </c>
      <c r="M551" s="14">
        <v>0</v>
      </c>
      <c r="N551" s="14">
        <v>0</v>
      </c>
      <c r="O551" s="14">
        <v>0</v>
      </c>
      <c r="P551" s="14">
        <v>0</v>
      </c>
      <c r="Q551" s="14">
        <v>0</v>
      </c>
      <c r="R551" s="14">
        <v>0</v>
      </c>
      <c r="S551" s="14">
        <v>0</v>
      </c>
      <c r="T551" s="18">
        <v>0</v>
      </c>
      <c r="U551" s="14">
        <v>0.26654124899999998</v>
      </c>
      <c r="V551" s="41"/>
      <c r="W551" s="39">
        <f t="shared" si="68"/>
        <v>0</v>
      </c>
    </row>
    <row r="552" spans="1:29" ht="13" thickBot="1" x14ac:dyDescent="0.3">
      <c r="A552" s="7" t="s">
        <v>72</v>
      </c>
      <c r="B552" s="19" t="s">
        <v>20</v>
      </c>
      <c r="C552" s="20" t="s">
        <v>18</v>
      </c>
      <c r="D552" s="21">
        <v>0</v>
      </c>
      <c r="E552" s="21">
        <v>0</v>
      </c>
      <c r="F552" s="21">
        <v>0</v>
      </c>
      <c r="G552" s="21">
        <v>0</v>
      </c>
      <c r="H552" s="22">
        <v>0</v>
      </c>
      <c r="I552" s="23">
        <v>0</v>
      </c>
      <c r="J552" s="21">
        <v>0</v>
      </c>
      <c r="K552" s="21">
        <v>0</v>
      </c>
      <c r="L552" s="21">
        <v>0</v>
      </c>
      <c r="M552" s="21">
        <v>0</v>
      </c>
      <c r="N552" s="21">
        <v>0</v>
      </c>
      <c r="O552" s="21">
        <v>0</v>
      </c>
      <c r="P552" s="21">
        <v>0</v>
      </c>
      <c r="Q552" s="21">
        <v>0</v>
      </c>
      <c r="R552" s="21">
        <v>0</v>
      </c>
      <c r="S552" s="21">
        <v>0</v>
      </c>
      <c r="T552" s="24">
        <v>0</v>
      </c>
      <c r="U552" s="14">
        <v>0.26654124899999998</v>
      </c>
      <c r="V552" s="44"/>
      <c r="W552" s="39">
        <f t="shared" si="68"/>
        <v>0</v>
      </c>
    </row>
    <row r="553" spans="1:29" ht="13" thickBot="1" x14ac:dyDescent="0.3">
      <c r="A553" s="7" t="s">
        <v>72</v>
      </c>
      <c r="B553" s="25" t="s">
        <v>12</v>
      </c>
      <c r="C553" s="26" t="s">
        <v>18</v>
      </c>
      <c r="D553" s="27">
        <v>0</v>
      </c>
      <c r="E553" s="27">
        <v>0</v>
      </c>
      <c r="F553" s="27">
        <v>0</v>
      </c>
      <c r="G553" s="27">
        <v>0</v>
      </c>
      <c r="H553" s="28">
        <v>0</v>
      </c>
      <c r="I553" s="29">
        <v>0</v>
      </c>
      <c r="J553" s="27">
        <v>0</v>
      </c>
      <c r="K553" s="27">
        <v>0</v>
      </c>
      <c r="L553" s="27">
        <v>0</v>
      </c>
      <c r="M553" s="27">
        <v>0</v>
      </c>
      <c r="N553" s="27">
        <v>0</v>
      </c>
      <c r="O553" s="27">
        <v>0</v>
      </c>
      <c r="P553" s="27">
        <v>0</v>
      </c>
      <c r="Q553" s="27">
        <v>0</v>
      </c>
      <c r="R553" s="27">
        <v>0</v>
      </c>
      <c r="S553" s="27">
        <v>0</v>
      </c>
      <c r="T553" s="29">
        <v>0</v>
      </c>
      <c r="U553" s="14">
        <v>0.26654124899999998</v>
      </c>
      <c r="V553" s="43" t="e">
        <f>SUM(I548:T551)/SUM(H548:H551)</f>
        <v>#DIV/0!</v>
      </c>
      <c r="W553" s="39">
        <f t="shared" si="68"/>
        <v>0</v>
      </c>
      <c r="X553" s="35">
        <f>W551+W548</f>
        <v>0</v>
      </c>
      <c r="Y553" s="35">
        <f>W546</f>
        <v>0</v>
      </c>
    </row>
    <row r="554" spans="1:29" x14ac:dyDescent="0.25">
      <c r="A554" s="7" t="s">
        <v>72</v>
      </c>
      <c r="B554" s="8" t="s">
        <v>17</v>
      </c>
      <c r="C554" s="9" t="s">
        <v>21</v>
      </c>
      <c r="D554" s="10">
        <v>0</v>
      </c>
      <c r="E554" s="10">
        <v>0</v>
      </c>
      <c r="F554" s="10">
        <v>0</v>
      </c>
      <c r="G554" s="10">
        <v>0</v>
      </c>
      <c r="H554" s="11">
        <v>230</v>
      </c>
      <c r="I554" s="12">
        <v>179</v>
      </c>
      <c r="J554" s="10">
        <v>16</v>
      </c>
      <c r="K554" s="10">
        <v>35</v>
      </c>
      <c r="L554" s="10">
        <v>0</v>
      </c>
      <c r="M554" s="10">
        <v>0</v>
      </c>
      <c r="N554" s="10">
        <v>0</v>
      </c>
      <c r="O554" s="10">
        <v>0</v>
      </c>
      <c r="P554" s="10">
        <v>0</v>
      </c>
      <c r="Q554" s="10">
        <v>0</v>
      </c>
      <c r="R554" s="10">
        <v>0</v>
      </c>
      <c r="S554" s="10">
        <v>0</v>
      </c>
      <c r="T554" s="13">
        <v>0</v>
      </c>
      <c r="U554" s="14">
        <v>0.26654124899999998</v>
      </c>
      <c r="W554" s="39">
        <f t="shared" si="68"/>
        <v>61.304487269999996</v>
      </c>
      <c r="AB554" s="37" t="str">
        <f t="shared" ref="AB554:AB560" si="69">B554</f>
        <v>Parts-OTC</v>
      </c>
      <c r="AC554" s="36">
        <f t="shared" ref="AC554:AC560" si="70">I554*U554</f>
        <v>47.710883570999997</v>
      </c>
    </row>
    <row r="555" spans="1:29" x14ac:dyDescent="0.25">
      <c r="A555" s="7" t="s">
        <v>72</v>
      </c>
      <c r="B555" s="15" t="s">
        <v>66</v>
      </c>
      <c r="C555" s="7" t="s">
        <v>21</v>
      </c>
      <c r="D555" s="14">
        <v>0</v>
      </c>
      <c r="E555" s="14">
        <v>0</v>
      </c>
      <c r="F555" s="14">
        <v>0</v>
      </c>
      <c r="G555" s="14">
        <v>0</v>
      </c>
      <c r="H555" s="16">
        <v>301</v>
      </c>
      <c r="I555" s="17">
        <v>40</v>
      </c>
      <c r="J555" s="14">
        <v>114</v>
      </c>
      <c r="K555" s="14">
        <v>32</v>
      </c>
      <c r="L555" s="14">
        <v>70</v>
      </c>
      <c r="M555" s="14">
        <v>44</v>
      </c>
      <c r="N555" s="14">
        <v>0</v>
      </c>
      <c r="O555" s="14">
        <v>0</v>
      </c>
      <c r="P555" s="14">
        <v>0</v>
      </c>
      <c r="Q555" s="14">
        <v>0</v>
      </c>
      <c r="R555" s="14">
        <v>0</v>
      </c>
      <c r="S555" s="14">
        <v>0</v>
      </c>
      <c r="T555" s="18">
        <v>0</v>
      </c>
      <c r="U555" s="14">
        <v>0.26654124899999998</v>
      </c>
      <c r="W555" s="39">
        <f t="shared" si="68"/>
        <v>79.962374699999998</v>
      </c>
      <c r="AB555" s="37" t="str">
        <f t="shared" si="69"/>
        <v>CTKS</v>
      </c>
      <c r="AC555" s="36">
        <f t="shared" si="70"/>
        <v>10.661649959999998</v>
      </c>
    </row>
    <row r="556" spans="1:29" x14ac:dyDescent="0.25">
      <c r="A556" s="7" t="s">
        <v>72</v>
      </c>
      <c r="B556" s="15" t="s">
        <v>13</v>
      </c>
      <c r="C556" s="7" t="s">
        <v>21</v>
      </c>
      <c r="D556" s="14">
        <v>0</v>
      </c>
      <c r="E556" s="14">
        <v>0</v>
      </c>
      <c r="F556" s="14">
        <v>0</v>
      </c>
      <c r="G556" s="14">
        <v>0</v>
      </c>
      <c r="H556" s="16">
        <v>0</v>
      </c>
      <c r="I556" s="33">
        <v>0</v>
      </c>
      <c r="J556" s="34">
        <v>0</v>
      </c>
      <c r="K556" s="34">
        <v>0</v>
      </c>
      <c r="L556" s="14">
        <v>0</v>
      </c>
      <c r="M556" s="14">
        <v>0</v>
      </c>
      <c r="N556" s="14">
        <v>0</v>
      </c>
      <c r="O556" s="14">
        <v>0</v>
      </c>
      <c r="P556" s="14">
        <v>0</v>
      </c>
      <c r="Q556" s="14">
        <v>0</v>
      </c>
      <c r="R556" s="14">
        <v>0</v>
      </c>
      <c r="S556" s="14">
        <v>0</v>
      </c>
      <c r="T556" s="18">
        <v>0</v>
      </c>
      <c r="U556" s="14">
        <v>0.26654124899999998</v>
      </c>
      <c r="W556" s="39">
        <f t="shared" si="68"/>
        <v>0</v>
      </c>
      <c r="AB556" s="37" t="str">
        <f t="shared" si="69"/>
        <v>Repair</v>
      </c>
      <c r="AC556" s="36">
        <f t="shared" si="70"/>
        <v>0</v>
      </c>
    </row>
    <row r="557" spans="1:29" x14ac:dyDescent="0.25">
      <c r="A557" s="7" t="s">
        <v>72</v>
      </c>
      <c r="B557" s="15" t="s">
        <v>67</v>
      </c>
      <c r="C557" s="7" t="s">
        <v>21</v>
      </c>
      <c r="D557" s="14">
        <v>0</v>
      </c>
      <c r="E557" s="14">
        <v>0</v>
      </c>
      <c r="F557" s="14">
        <v>0</v>
      </c>
      <c r="G557" s="14">
        <v>0</v>
      </c>
      <c r="H557" s="16">
        <v>0</v>
      </c>
      <c r="I557" s="17">
        <v>0</v>
      </c>
      <c r="J557" s="14">
        <v>0</v>
      </c>
      <c r="K557" s="14">
        <v>0</v>
      </c>
      <c r="L557" s="14">
        <v>0</v>
      </c>
      <c r="M557" s="14">
        <v>0</v>
      </c>
      <c r="N557" s="14">
        <v>0</v>
      </c>
      <c r="O557" s="14">
        <v>0</v>
      </c>
      <c r="P557" s="14">
        <v>0</v>
      </c>
      <c r="Q557" s="14">
        <v>0</v>
      </c>
      <c r="R557" s="14">
        <v>0</v>
      </c>
      <c r="S557" s="14">
        <v>0</v>
      </c>
      <c r="T557" s="18">
        <v>0</v>
      </c>
      <c r="U557" s="14">
        <v>0.26654124899999998</v>
      </c>
      <c r="W557" s="39">
        <f t="shared" si="68"/>
        <v>0</v>
      </c>
      <c r="AB557" s="37" t="str">
        <f t="shared" si="69"/>
        <v>Rental</v>
      </c>
      <c r="AC557" s="36">
        <f t="shared" si="70"/>
        <v>0</v>
      </c>
    </row>
    <row r="558" spans="1:29" x14ac:dyDescent="0.25">
      <c r="A558" s="7" t="s">
        <v>72</v>
      </c>
      <c r="B558" s="15" t="s">
        <v>73</v>
      </c>
      <c r="C558" s="7" t="s">
        <v>21</v>
      </c>
      <c r="D558" s="14">
        <v>0</v>
      </c>
      <c r="E558" s="14">
        <v>0</v>
      </c>
      <c r="F558" s="14">
        <v>0</v>
      </c>
      <c r="G558" s="14">
        <v>0</v>
      </c>
      <c r="H558" s="16">
        <v>0</v>
      </c>
      <c r="I558" s="17">
        <v>0</v>
      </c>
      <c r="J558" s="14">
        <v>0</v>
      </c>
      <c r="K558" s="14">
        <v>0</v>
      </c>
      <c r="L558" s="14">
        <v>0</v>
      </c>
      <c r="M558" s="14">
        <v>0</v>
      </c>
      <c r="N558" s="14">
        <v>0</v>
      </c>
      <c r="O558" s="14">
        <v>0</v>
      </c>
      <c r="P558" s="14">
        <v>0</v>
      </c>
      <c r="Q558" s="14">
        <v>0</v>
      </c>
      <c r="R558" s="14">
        <v>0</v>
      </c>
      <c r="S558" s="14">
        <v>0</v>
      </c>
      <c r="T558" s="18">
        <v>0</v>
      </c>
      <c r="U558" s="14">
        <v>0.26654124899999998</v>
      </c>
      <c r="W558" s="39">
        <f t="shared" si="68"/>
        <v>0</v>
      </c>
      <c r="AB558" s="37"/>
    </row>
    <row r="559" spans="1:29" x14ac:dyDescent="0.25">
      <c r="A559" s="7" t="s">
        <v>72</v>
      </c>
      <c r="B559" s="15" t="s">
        <v>19</v>
      </c>
      <c r="C559" s="7" t="s">
        <v>21</v>
      </c>
      <c r="D559" s="14">
        <v>0</v>
      </c>
      <c r="E559" s="14">
        <v>0</v>
      </c>
      <c r="F559" s="14">
        <v>0</v>
      </c>
      <c r="G559" s="14">
        <v>0</v>
      </c>
      <c r="H559" s="16">
        <v>0</v>
      </c>
      <c r="I559" s="17">
        <v>0</v>
      </c>
      <c r="J559" s="14">
        <v>0</v>
      </c>
      <c r="K559" s="14">
        <v>0</v>
      </c>
      <c r="L559" s="14">
        <v>0</v>
      </c>
      <c r="M559" s="14">
        <v>0</v>
      </c>
      <c r="N559" s="14">
        <v>0</v>
      </c>
      <c r="O559" s="14">
        <v>0</v>
      </c>
      <c r="P559" s="14">
        <v>0</v>
      </c>
      <c r="Q559" s="14">
        <v>0</v>
      </c>
      <c r="R559" s="14">
        <v>0</v>
      </c>
      <c r="S559" s="14">
        <v>0</v>
      </c>
      <c r="T559" s="18">
        <v>0</v>
      </c>
      <c r="U559" s="14">
        <v>0.26654124899999998</v>
      </c>
      <c r="W559" s="39">
        <f t="shared" si="68"/>
        <v>0</v>
      </c>
      <c r="AB559" s="37" t="str">
        <f t="shared" si="69"/>
        <v>Maintenance</v>
      </c>
      <c r="AC559" s="36">
        <f t="shared" si="70"/>
        <v>0</v>
      </c>
    </row>
    <row r="560" spans="1:29" ht="13" thickBot="1" x14ac:dyDescent="0.3">
      <c r="A560" s="7" t="s">
        <v>72</v>
      </c>
      <c r="B560" s="19" t="s">
        <v>20</v>
      </c>
      <c r="C560" s="20" t="s">
        <v>21</v>
      </c>
      <c r="D560" s="21">
        <v>0</v>
      </c>
      <c r="E560" s="21">
        <v>0</v>
      </c>
      <c r="F560" s="21">
        <v>0</v>
      </c>
      <c r="G560" s="21">
        <v>0</v>
      </c>
      <c r="H560" s="22">
        <v>0</v>
      </c>
      <c r="I560" s="23">
        <v>0</v>
      </c>
      <c r="J560" s="21">
        <v>0</v>
      </c>
      <c r="K560" s="21">
        <v>0</v>
      </c>
      <c r="L560" s="21">
        <v>0</v>
      </c>
      <c r="M560" s="21">
        <v>0</v>
      </c>
      <c r="N560" s="21">
        <v>0</v>
      </c>
      <c r="O560" s="21">
        <v>0</v>
      </c>
      <c r="P560" s="21">
        <v>0</v>
      </c>
      <c r="Q560" s="21">
        <v>0</v>
      </c>
      <c r="R560" s="21">
        <v>0</v>
      </c>
      <c r="S560" s="21">
        <v>0</v>
      </c>
      <c r="T560" s="24">
        <v>0</v>
      </c>
      <c r="U560" s="14">
        <v>0.26654124899999998</v>
      </c>
      <c r="W560" s="39">
        <f t="shared" si="68"/>
        <v>0</v>
      </c>
      <c r="AB560" s="37" t="str">
        <f t="shared" si="69"/>
        <v>Startup</v>
      </c>
      <c r="AC560" s="36">
        <f t="shared" si="70"/>
        <v>0</v>
      </c>
    </row>
    <row r="561" spans="1:29" ht="13" thickBot="1" x14ac:dyDescent="0.3">
      <c r="A561" s="20" t="s">
        <v>72</v>
      </c>
      <c r="B561" s="25" t="s">
        <v>12</v>
      </c>
      <c r="C561" s="26" t="s">
        <v>21</v>
      </c>
      <c r="D561" s="27">
        <v>0</v>
      </c>
      <c r="E561" s="27">
        <v>0</v>
      </c>
      <c r="F561" s="27">
        <v>0</v>
      </c>
      <c r="G561" s="27">
        <v>0</v>
      </c>
      <c r="H561" s="28">
        <v>531</v>
      </c>
      <c r="I561" s="29">
        <v>219</v>
      </c>
      <c r="J561" s="27">
        <v>130</v>
      </c>
      <c r="K561" s="27">
        <v>67</v>
      </c>
      <c r="L561" s="27">
        <v>70</v>
      </c>
      <c r="M561" s="27">
        <v>44</v>
      </c>
      <c r="N561" s="27">
        <v>0</v>
      </c>
      <c r="O561" s="27">
        <v>0</v>
      </c>
      <c r="P561" s="27">
        <v>0</v>
      </c>
      <c r="Q561" s="27">
        <v>0</v>
      </c>
      <c r="R561" s="27">
        <v>0</v>
      </c>
      <c r="S561" s="27">
        <v>0</v>
      </c>
      <c r="T561" s="29">
        <v>0</v>
      </c>
      <c r="U561" s="14">
        <v>0.26654124899999998</v>
      </c>
      <c r="W561" s="39">
        <f t="shared" si="68"/>
        <v>141.26686196999998</v>
      </c>
      <c r="X561" s="35">
        <f>W560+W559+W556</f>
        <v>0</v>
      </c>
      <c r="Y561" s="35">
        <f>W554</f>
        <v>61.304487269999996</v>
      </c>
      <c r="Z561" s="40" t="e">
        <f>V552/X561</f>
        <v>#DIV/0!</v>
      </c>
      <c r="AA561" s="40">
        <f>IF((Y561=0),0,Y553/Y561)</f>
        <v>0</v>
      </c>
      <c r="AB561" s="48"/>
      <c r="AC561" s="48"/>
    </row>
    <row r="562" spans="1:29" ht="13" thickBot="1" x14ac:dyDescent="0.3">
      <c r="A562" s="9" t="s">
        <v>83</v>
      </c>
      <c r="B562" s="30" t="s">
        <v>15</v>
      </c>
      <c r="C562" s="31" t="s">
        <v>94</v>
      </c>
      <c r="D562" s="32" t="s">
        <v>47</v>
      </c>
      <c r="E562" s="53" t="s">
        <v>116</v>
      </c>
      <c r="F562" s="53" t="s">
        <v>117</v>
      </c>
      <c r="G562" s="53" t="s">
        <v>118</v>
      </c>
      <c r="H562" s="28" t="s">
        <v>12</v>
      </c>
      <c r="I562" s="54" t="s">
        <v>119</v>
      </c>
      <c r="J562" s="53" t="s">
        <v>174</v>
      </c>
      <c r="K562" s="53" t="s">
        <v>175</v>
      </c>
      <c r="L562" s="53" t="s">
        <v>99</v>
      </c>
      <c r="M562" s="53" t="s">
        <v>100</v>
      </c>
      <c r="N562" s="53" t="s">
        <v>101</v>
      </c>
      <c r="O562" s="53" t="s">
        <v>102</v>
      </c>
      <c r="P562" s="53" t="s">
        <v>103</v>
      </c>
      <c r="Q562" s="53" t="s">
        <v>104</v>
      </c>
      <c r="R562" s="53" t="s">
        <v>105</v>
      </c>
      <c r="S562" s="53" t="s">
        <v>106</v>
      </c>
      <c r="T562" s="55" t="s">
        <v>107</v>
      </c>
      <c r="U562" s="14">
        <v>1</v>
      </c>
      <c r="V562" s="14" t="s">
        <v>183</v>
      </c>
      <c r="W562" s="39">
        <f t="shared" si="68"/>
        <v>0</v>
      </c>
      <c r="X562" s="14" t="s">
        <v>37</v>
      </c>
      <c r="Y562" s="14" t="s">
        <v>38</v>
      </c>
      <c r="AB562" s="48"/>
      <c r="AC562" s="48"/>
    </row>
    <row r="563" spans="1:29" x14ac:dyDescent="0.25">
      <c r="A563" s="7" t="s">
        <v>83</v>
      </c>
      <c r="B563" s="8" t="s">
        <v>17</v>
      </c>
      <c r="C563" s="9" t="s">
        <v>18</v>
      </c>
      <c r="D563" s="10">
        <v>43</v>
      </c>
      <c r="E563" s="10">
        <v>0</v>
      </c>
      <c r="F563" s="10">
        <v>0</v>
      </c>
      <c r="G563" s="10">
        <v>163</v>
      </c>
      <c r="H563" s="11">
        <v>1065</v>
      </c>
      <c r="I563" s="12">
        <v>299</v>
      </c>
      <c r="J563" s="10">
        <v>341</v>
      </c>
      <c r="K563" s="10">
        <v>113</v>
      </c>
      <c r="L563" s="10">
        <v>45</v>
      </c>
      <c r="M563" s="10">
        <v>60</v>
      </c>
      <c r="N563" s="10">
        <v>0</v>
      </c>
      <c r="O563" s="10">
        <v>0</v>
      </c>
      <c r="P563" s="10">
        <v>0</v>
      </c>
      <c r="Q563" s="10">
        <v>0</v>
      </c>
      <c r="R563" s="10">
        <v>0</v>
      </c>
      <c r="S563" s="10">
        <v>0</v>
      </c>
      <c r="T563" s="13">
        <v>0</v>
      </c>
      <c r="U563" s="14">
        <v>1</v>
      </c>
      <c r="V563" s="42">
        <f>SUM(I563:T563)/H563</f>
        <v>0.80563380281690145</v>
      </c>
      <c r="W563" s="39">
        <f t="shared" si="68"/>
        <v>858</v>
      </c>
    </row>
    <row r="564" spans="1:29" x14ac:dyDescent="0.25">
      <c r="A564" s="7" t="s">
        <v>83</v>
      </c>
      <c r="B564" s="15" t="s">
        <v>66</v>
      </c>
      <c r="C564" s="7" t="s">
        <v>18</v>
      </c>
      <c r="D564" s="14">
        <v>0</v>
      </c>
      <c r="E564" s="14">
        <v>0</v>
      </c>
      <c r="F564" s="14">
        <v>0</v>
      </c>
      <c r="G564" s="14">
        <v>71</v>
      </c>
      <c r="H564" s="16">
        <v>318</v>
      </c>
      <c r="I564" s="17">
        <v>0</v>
      </c>
      <c r="J564" s="14">
        <v>116</v>
      </c>
      <c r="K564" s="14">
        <v>0</v>
      </c>
      <c r="L564" s="14">
        <v>131</v>
      </c>
      <c r="M564" s="14">
        <v>0</v>
      </c>
      <c r="N564" s="14">
        <v>0</v>
      </c>
      <c r="O564" s="14">
        <v>0</v>
      </c>
      <c r="P564" s="14">
        <v>0</v>
      </c>
      <c r="Q564" s="14">
        <v>0</v>
      </c>
      <c r="R564" s="14">
        <v>0</v>
      </c>
      <c r="S564" s="14">
        <v>0</v>
      </c>
      <c r="T564" s="18">
        <v>0</v>
      </c>
      <c r="U564" s="14">
        <v>1</v>
      </c>
      <c r="V564" s="44"/>
      <c r="W564" s="39">
        <f t="shared" si="68"/>
        <v>247</v>
      </c>
    </row>
    <row r="565" spans="1:29" x14ac:dyDescent="0.25">
      <c r="A565" s="7" t="s">
        <v>83</v>
      </c>
      <c r="B565" s="15" t="s">
        <v>13</v>
      </c>
      <c r="C565" s="7" t="s">
        <v>18</v>
      </c>
      <c r="D565" s="14">
        <v>0</v>
      </c>
      <c r="E565" s="14">
        <v>26</v>
      </c>
      <c r="F565" s="14">
        <v>0</v>
      </c>
      <c r="G565" s="14">
        <v>196</v>
      </c>
      <c r="H565" s="16">
        <v>800</v>
      </c>
      <c r="I565" s="17">
        <v>2</v>
      </c>
      <c r="J565" s="14">
        <v>376</v>
      </c>
      <c r="K565" s="14">
        <v>0</v>
      </c>
      <c r="L565" s="14">
        <v>0</v>
      </c>
      <c r="M565" s="14">
        <v>200</v>
      </c>
      <c r="N565" s="14">
        <v>0</v>
      </c>
      <c r="O565" s="14">
        <v>0</v>
      </c>
      <c r="P565" s="14">
        <v>0</v>
      </c>
      <c r="Q565" s="14">
        <v>0</v>
      </c>
      <c r="R565" s="14">
        <v>0</v>
      </c>
      <c r="S565" s="14">
        <v>0</v>
      </c>
      <c r="T565" s="18">
        <v>0</v>
      </c>
      <c r="U565" s="14">
        <v>1</v>
      </c>
      <c r="V565" s="41"/>
      <c r="W565" s="39">
        <f t="shared" si="68"/>
        <v>578</v>
      </c>
    </row>
    <row r="566" spans="1:29" x14ac:dyDescent="0.25">
      <c r="A566" s="7" t="s">
        <v>83</v>
      </c>
      <c r="B566" s="15" t="s">
        <v>67</v>
      </c>
      <c r="C566" s="7" t="s">
        <v>18</v>
      </c>
      <c r="D566" s="14">
        <v>0</v>
      </c>
      <c r="E566" s="14">
        <v>0</v>
      </c>
      <c r="F566" s="14">
        <v>0</v>
      </c>
      <c r="G566" s="14">
        <v>83</v>
      </c>
      <c r="H566" s="16">
        <v>289</v>
      </c>
      <c r="I566" s="17">
        <v>60</v>
      </c>
      <c r="J566" s="14">
        <v>0</v>
      </c>
      <c r="K566" s="14">
        <v>146</v>
      </c>
      <c r="L566" s="14">
        <v>0</v>
      </c>
      <c r="M566" s="14">
        <v>0</v>
      </c>
      <c r="N566" s="14">
        <v>0</v>
      </c>
      <c r="O566" s="14">
        <v>0</v>
      </c>
      <c r="P566" s="14">
        <v>0</v>
      </c>
      <c r="Q566" s="14">
        <v>0</v>
      </c>
      <c r="R566" s="14">
        <v>0</v>
      </c>
      <c r="S566" s="14">
        <v>0</v>
      </c>
      <c r="T566" s="18">
        <v>0</v>
      </c>
      <c r="U566" s="14">
        <v>1</v>
      </c>
      <c r="V566" s="41"/>
      <c r="W566" s="39">
        <f t="shared" si="68"/>
        <v>206</v>
      </c>
    </row>
    <row r="567" spans="1:29" x14ac:dyDescent="0.25">
      <c r="A567" s="7" t="s">
        <v>83</v>
      </c>
      <c r="B567" s="15" t="s">
        <v>73</v>
      </c>
      <c r="C567" s="7" t="s">
        <v>18</v>
      </c>
      <c r="D567" s="14">
        <v>0</v>
      </c>
      <c r="E567" s="14">
        <v>0</v>
      </c>
      <c r="F567" s="14">
        <v>0</v>
      </c>
      <c r="G567" s="14">
        <v>88</v>
      </c>
      <c r="H567" s="16">
        <v>267</v>
      </c>
      <c r="I567" s="17">
        <v>8</v>
      </c>
      <c r="J567" s="14">
        <v>150</v>
      </c>
      <c r="K567" s="14">
        <v>0</v>
      </c>
      <c r="L567" s="14">
        <v>0</v>
      </c>
      <c r="M567" s="14">
        <v>21</v>
      </c>
      <c r="N567" s="14">
        <v>0</v>
      </c>
      <c r="O567" s="14">
        <v>0</v>
      </c>
      <c r="P567" s="14">
        <v>0</v>
      </c>
      <c r="Q567" s="14">
        <v>0</v>
      </c>
      <c r="R567" s="14">
        <v>0</v>
      </c>
      <c r="S567" s="14">
        <v>0</v>
      </c>
      <c r="T567" s="18">
        <v>0</v>
      </c>
      <c r="U567" s="14">
        <v>1</v>
      </c>
      <c r="V567" s="41"/>
      <c r="W567" s="39">
        <f t="shared" si="68"/>
        <v>179</v>
      </c>
    </row>
    <row r="568" spans="1:29" x14ac:dyDescent="0.25">
      <c r="A568" s="7" t="s">
        <v>83</v>
      </c>
      <c r="B568" s="15" t="s">
        <v>19</v>
      </c>
      <c r="C568" s="7" t="s">
        <v>18</v>
      </c>
      <c r="D568" s="14">
        <v>0</v>
      </c>
      <c r="E568" s="14">
        <v>0</v>
      </c>
      <c r="F568" s="14">
        <v>0</v>
      </c>
      <c r="G568" s="14">
        <v>20</v>
      </c>
      <c r="H568" s="16">
        <v>67</v>
      </c>
      <c r="I568" s="17">
        <v>39</v>
      </c>
      <c r="J568" s="14">
        <v>9</v>
      </c>
      <c r="K568" s="14">
        <v>0</v>
      </c>
      <c r="L568" s="14">
        <v>0</v>
      </c>
      <c r="M568" s="14">
        <v>0</v>
      </c>
      <c r="N568" s="14">
        <v>0</v>
      </c>
      <c r="O568" s="14">
        <v>0</v>
      </c>
      <c r="P568" s="14">
        <v>0</v>
      </c>
      <c r="Q568" s="14">
        <v>0</v>
      </c>
      <c r="R568" s="14">
        <v>0</v>
      </c>
      <c r="S568" s="14">
        <v>0</v>
      </c>
      <c r="T568" s="18">
        <v>0</v>
      </c>
      <c r="U568" s="14">
        <v>1</v>
      </c>
      <c r="V568" s="41"/>
      <c r="W568" s="39">
        <f t="shared" si="68"/>
        <v>48</v>
      </c>
    </row>
    <row r="569" spans="1:29" ht="13" thickBot="1" x14ac:dyDescent="0.3">
      <c r="A569" s="7" t="s">
        <v>83</v>
      </c>
      <c r="B569" s="19" t="s">
        <v>20</v>
      </c>
      <c r="C569" s="20" t="s">
        <v>18</v>
      </c>
      <c r="D569" s="21">
        <v>0</v>
      </c>
      <c r="E569" s="21">
        <v>0</v>
      </c>
      <c r="F569" s="21">
        <v>0</v>
      </c>
      <c r="G569" s="21">
        <v>0</v>
      </c>
      <c r="H569" s="22">
        <v>0</v>
      </c>
      <c r="I569" s="23">
        <v>0</v>
      </c>
      <c r="J569" s="21">
        <v>0</v>
      </c>
      <c r="K569" s="21">
        <v>0</v>
      </c>
      <c r="L569" s="21">
        <v>0</v>
      </c>
      <c r="M569" s="21">
        <v>0</v>
      </c>
      <c r="N569" s="21">
        <v>0</v>
      </c>
      <c r="O569" s="21">
        <v>0</v>
      </c>
      <c r="P569" s="21">
        <v>0</v>
      </c>
      <c r="Q569" s="21">
        <v>0</v>
      </c>
      <c r="R569" s="21">
        <v>0</v>
      </c>
      <c r="S569" s="21">
        <v>0</v>
      </c>
      <c r="T569" s="24">
        <v>0</v>
      </c>
      <c r="U569" s="14">
        <v>1</v>
      </c>
      <c r="V569" s="44"/>
      <c r="W569" s="39">
        <f t="shared" si="68"/>
        <v>0</v>
      </c>
    </row>
    <row r="570" spans="1:29" ht="13" thickBot="1" x14ac:dyDescent="0.3">
      <c r="A570" s="7" t="s">
        <v>83</v>
      </c>
      <c r="B570" s="25" t="s">
        <v>12</v>
      </c>
      <c r="C570" s="26" t="s">
        <v>18</v>
      </c>
      <c r="D570" s="27">
        <v>43</v>
      </c>
      <c r="E570" s="27">
        <v>26</v>
      </c>
      <c r="F570" s="27">
        <v>0</v>
      </c>
      <c r="G570" s="27">
        <v>621</v>
      </c>
      <c r="H570" s="28">
        <v>2806</v>
      </c>
      <c r="I570" s="29">
        <v>408</v>
      </c>
      <c r="J570" s="27">
        <v>992</v>
      </c>
      <c r="K570" s="27">
        <v>259</v>
      </c>
      <c r="L570" s="27">
        <v>176</v>
      </c>
      <c r="M570" s="27">
        <v>281</v>
      </c>
      <c r="N570" s="27">
        <v>0</v>
      </c>
      <c r="O570" s="27">
        <v>0</v>
      </c>
      <c r="P570" s="27">
        <v>0</v>
      </c>
      <c r="Q570" s="27">
        <v>0</v>
      </c>
      <c r="R570" s="27">
        <v>0</v>
      </c>
      <c r="S570" s="27">
        <v>0</v>
      </c>
      <c r="T570" s="29">
        <v>0</v>
      </c>
      <c r="U570" s="14">
        <v>1</v>
      </c>
      <c r="V570" s="43">
        <f>SUM(I565:T568)/SUM(H565:H568)</f>
        <v>0.71047083626141949</v>
      </c>
      <c r="W570" s="39">
        <f t="shared" si="68"/>
        <v>2116</v>
      </c>
      <c r="X570" s="35">
        <f>W568+W565</f>
        <v>626</v>
      </c>
      <c r="Y570" s="35">
        <f>W563</f>
        <v>858</v>
      </c>
    </row>
    <row r="571" spans="1:29" x14ac:dyDescent="0.25">
      <c r="A571" s="7" t="s">
        <v>83</v>
      </c>
      <c r="B571" s="8" t="s">
        <v>17</v>
      </c>
      <c r="C571" s="9" t="s">
        <v>21</v>
      </c>
      <c r="D571" s="10">
        <v>0</v>
      </c>
      <c r="E571" s="10">
        <v>0</v>
      </c>
      <c r="F571" s="10">
        <v>0</v>
      </c>
      <c r="G571" s="10">
        <v>0</v>
      </c>
      <c r="H571" s="11">
        <v>314</v>
      </c>
      <c r="I571" s="12">
        <v>45</v>
      </c>
      <c r="J571" s="10">
        <v>200</v>
      </c>
      <c r="K571" s="10">
        <v>60</v>
      </c>
      <c r="L571" s="10">
        <v>9</v>
      </c>
      <c r="M571" s="10">
        <v>0</v>
      </c>
      <c r="N571" s="10">
        <v>0</v>
      </c>
      <c r="O571" s="10">
        <v>0</v>
      </c>
      <c r="P571" s="10">
        <v>1</v>
      </c>
      <c r="Q571" s="10">
        <v>0</v>
      </c>
      <c r="R571" s="10">
        <v>0</v>
      </c>
      <c r="S571" s="10">
        <v>0</v>
      </c>
      <c r="T571" s="13">
        <v>0</v>
      </c>
      <c r="U571" s="14">
        <v>1</v>
      </c>
      <c r="W571" s="39">
        <f t="shared" si="68"/>
        <v>315</v>
      </c>
      <c r="AB571" s="37" t="str">
        <f t="shared" ref="AB571:AB577" si="71">B571</f>
        <v>Parts-OTC</v>
      </c>
      <c r="AC571" s="36">
        <f t="shared" ref="AC571:AC577" si="72">I571*U571</f>
        <v>45</v>
      </c>
    </row>
    <row r="572" spans="1:29" x14ac:dyDescent="0.25">
      <c r="A572" s="7" t="s">
        <v>83</v>
      </c>
      <c r="B572" s="15" t="s">
        <v>66</v>
      </c>
      <c r="C572" s="7" t="s">
        <v>21</v>
      </c>
      <c r="D572" s="14">
        <v>0</v>
      </c>
      <c r="E572" s="14">
        <v>0</v>
      </c>
      <c r="F572" s="14">
        <v>0</v>
      </c>
      <c r="G572" s="14">
        <v>0</v>
      </c>
      <c r="H572" s="16">
        <v>29</v>
      </c>
      <c r="I572" s="17">
        <v>21</v>
      </c>
      <c r="J572" s="14">
        <v>8</v>
      </c>
      <c r="K572" s="14">
        <v>0</v>
      </c>
      <c r="L572" s="14">
        <v>0</v>
      </c>
      <c r="M572" s="14">
        <v>0</v>
      </c>
      <c r="N572" s="14">
        <v>0</v>
      </c>
      <c r="O572" s="14">
        <v>0</v>
      </c>
      <c r="P572" s="14">
        <v>0</v>
      </c>
      <c r="Q572" s="14">
        <v>0</v>
      </c>
      <c r="R572" s="14">
        <v>0</v>
      </c>
      <c r="S572" s="14">
        <v>0</v>
      </c>
      <c r="T572" s="18">
        <v>0</v>
      </c>
      <c r="U572" s="14">
        <v>1</v>
      </c>
      <c r="W572" s="39">
        <f t="shared" si="68"/>
        <v>29</v>
      </c>
      <c r="AB572" s="37" t="str">
        <f t="shared" si="71"/>
        <v>CTKS</v>
      </c>
      <c r="AC572" s="36">
        <f t="shared" si="72"/>
        <v>21</v>
      </c>
    </row>
    <row r="573" spans="1:29" x14ac:dyDescent="0.25">
      <c r="A573" s="7" t="s">
        <v>83</v>
      </c>
      <c r="B573" s="15" t="s">
        <v>13</v>
      </c>
      <c r="C573" s="7" t="s">
        <v>21</v>
      </c>
      <c r="D573" s="14">
        <v>0</v>
      </c>
      <c r="E573" s="14">
        <v>0</v>
      </c>
      <c r="F573" s="14">
        <v>0</v>
      </c>
      <c r="G573" s="14">
        <v>0</v>
      </c>
      <c r="H573" s="16">
        <v>19</v>
      </c>
      <c r="I573" s="17">
        <v>19</v>
      </c>
      <c r="J573" s="14">
        <v>0</v>
      </c>
      <c r="K573" s="14">
        <v>0</v>
      </c>
      <c r="L573" s="14">
        <v>0</v>
      </c>
      <c r="M573" s="14">
        <v>0</v>
      </c>
      <c r="N573" s="14">
        <v>0</v>
      </c>
      <c r="O573" s="14">
        <v>0</v>
      </c>
      <c r="P573" s="14">
        <v>0</v>
      </c>
      <c r="Q573" s="14">
        <v>0</v>
      </c>
      <c r="R573" s="14">
        <v>0</v>
      </c>
      <c r="S573" s="14">
        <v>0</v>
      </c>
      <c r="T573" s="18">
        <v>0</v>
      </c>
      <c r="U573" s="14">
        <v>1</v>
      </c>
      <c r="W573" s="39">
        <f t="shared" si="68"/>
        <v>19</v>
      </c>
      <c r="AB573" s="37" t="str">
        <f t="shared" si="71"/>
        <v>Repair</v>
      </c>
      <c r="AC573" s="36">
        <f t="shared" si="72"/>
        <v>19</v>
      </c>
    </row>
    <row r="574" spans="1:29" x14ac:dyDescent="0.25">
      <c r="A574" s="7" t="s">
        <v>83</v>
      </c>
      <c r="B574" s="15" t="s">
        <v>67</v>
      </c>
      <c r="C574" s="7" t="s">
        <v>21</v>
      </c>
      <c r="D574" s="14">
        <v>0</v>
      </c>
      <c r="E574" s="14">
        <v>0</v>
      </c>
      <c r="F574" s="14">
        <v>0</v>
      </c>
      <c r="G574" s="14">
        <v>0</v>
      </c>
      <c r="H574" s="16">
        <v>152</v>
      </c>
      <c r="I574" s="17">
        <v>41</v>
      </c>
      <c r="J574" s="14">
        <v>16</v>
      </c>
      <c r="K574" s="14">
        <v>16</v>
      </c>
      <c r="L574" s="14">
        <v>16</v>
      </c>
      <c r="M574" s="14">
        <v>14</v>
      </c>
      <c r="N574" s="14">
        <v>12</v>
      </c>
      <c r="O574" s="14">
        <v>6</v>
      </c>
      <c r="P574" s="14">
        <v>6</v>
      </c>
      <c r="Q574" s="14">
        <v>6</v>
      </c>
      <c r="R574" s="14">
        <v>6</v>
      </c>
      <c r="S574" s="14">
        <v>6</v>
      </c>
      <c r="T574" s="18">
        <v>6</v>
      </c>
      <c r="U574" s="14">
        <v>1</v>
      </c>
      <c r="W574" s="39">
        <f t="shared" si="68"/>
        <v>151</v>
      </c>
      <c r="AB574" s="37" t="str">
        <f t="shared" si="71"/>
        <v>Rental</v>
      </c>
      <c r="AC574" s="36">
        <f t="shared" si="72"/>
        <v>41</v>
      </c>
    </row>
    <row r="575" spans="1:29" x14ac:dyDescent="0.25">
      <c r="A575" s="7" t="s">
        <v>83</v>
      </c>
      <c r="B575" s="15" t="s">
        <v>73</v>
      </c>
      <c r="C575" s="7" t="s">
        <v>21</v>
      </c>
      <c r="D575" s="14">
        <v>0</v>
      </c>
      <c r="E575" s="14">
        <v>0</v>
      </c>
      <c r="F575" s="14">
        <v>0</v>
      </c>
      <c r="G575" s="14">
        <v>0</v>
      </c>
      <c r="H575" s="16">
        <v>34</v>
      </c>
      <c r="I575" s="17">
        <v>16</v>
      </c>
      <c r="J575" s="14">
        <v>0</v>
      </c>
      <c r="K575" s="14">
        <v>0</v>
      </c>
      <c r="L575" s="14">
        <v>16</v>
      </c>
      <c r="M575" s="14">
        <v>2</v>
      </c>
      <c r="N575" s="14">
        <v>0</v>
      </c>
      <c r="O575" s="14">
        <v>0</v>
      </c>
      <c r="P575" s="14">
        <v>0</v>
      </c>
      <c r="Q575" s="14">
        <v>0</v>
      </c>
      <c r="R575" s="14">
        <v>0</v>
      </c>
      <c r="S575" s="14">
        <v>0</v>
      </c>
      <c r="T575" s="18">
        <v>0</v>
      </c>
      <c r="U575" s="14">
        <v>1</v>
      </c>
      <c r="W575" s="39">
        <f t="shared" si="68"/>
        <v>34</v>
      </c>
      <c r="AB575" s="37"/>
    </row>
    <row r="576" spans="1:29" x14ac:dyDescent="0.25">
      <c r="A576" s="7" t="s">
        <v>83</v>
      </c>
      <c r="B576" s="15" t="s">
        <v>19</v>
      </c>
      <c r="C576" s="7" t="s">
        <v>21</v>
      </c>
      <c r="D576" s="14">
        <v>0</v>
      </c>
      <c r="E576" s="14">
        <v>0</v>
      </c>
      <c r="F576" s="14">
        <v>0</v>
      </c>
      <c r="G576" s="14">
        <v>0</v>
      </c>
      <c r="H576" s="16">
        <v>51</v>
      </c>
      <c r="I576" s="17">
        <v>5</v>
      </c>
      <c r="J576" s="14">
        <v>5</v>
      </c>
      <c r="K576" s="14">
        <v>5</v>
      </c>
      <c r="L576" s="14">
        <v>5</v>
      </c>
      <c r="M576" s="14">
        <v>5</v>
      </c>
      <c r="N576" s="14">
        <v>4</v>
      </c>
      <c r="O576" s="14">
        <v>4</v>
      </c>
      <c r="P576" s="14">
        <v>4</v>
      </c>
      <c r="Q576" s="14">
        <v>4</v>
      </c>
      <c r="R576" s="14">
        <v>4</v>
      </c>
      <c r="S576" s="14">
        <v>3</v>
      </c>
      <c r="T576" s="18">
        <v>1</v>
      </c>
      <c r="U576" s="14">
        <v>1</v>
      </c>
      <c r="W576" s="39">
        <f t="shared" si="68"/>
        <v>49</v>
      </c>
      <c r="AB576" s="37" t="str">
        <f t="shared" si="71"/>
        <v>Maintenance</v>
      </c>
      <c r="AC576" s="36">
        <f t="shared" si="72"/>
        <v>5</v>
      </c>
    </row>
    <row r="577" spans="1:29" ht="13" thickBot="1" x14ac:dyDescent="0.3">
      <c r="A577" s="7" t="s">
        <v>83</v>
      </c>
      <c r="B577" s="19" t="s">
        <v>20</v>
      </c>
      <c r="C577" s="20" t="s">
        <v>21</v>
      </c>
      <c r="D577" s="21">
        <v>0</v>
      </c>
      <c r="E577" s="21">
        <v>0</v>
      </c>
      <c r="F577" s="21">
        <v>0</v>
      </c>
      <c r="G577" s="21">
        <v>0</v>
      </c>
      <c r="H577" s="22">
        <v>36</v>
      </c>
      <c r="I577" s="23">
        <v>0</v>
      </c>
      <c r="J577" s="21">
        <v>0</v>
      </c>
      <c r="K577" s="21">
        <v>0</v>
      </c>
      <c r="L577" s="21">
        <v>30</v>
      </c>
      <c r="M577" s="21">
        <v>0</v>
      </c>
      <c r="N577" s="21">
        <v>0</v>
      </c>
      <c r="O577" s="21">
        <v>6</v>
      </c>
      <c r="P577" s="21">
        <v>0</v>
      </c>
      <c r="Q577" s="21">
        <v>0</v>
      </c>
      <c r="R577" s="21">
        <v>0</v>
      </c>
      <c r="S577" s="21">
        <v>0</v>
      </c>
      <c r="T577" s="24">
        <v>0</v>
      </c>
      <c r="U577" s="14">
        <v>1</v>
      </c>
      <c r="W577" s="39">
        <f t="shared" si="68"/>
        <v>36</v>
      </c>
      <c r="AB577" s="37" t="str">
        <f t="shared" si="71"/>
        <v>Startup</v>
      </c>
      <c r="AC577" s="36">
        <f t="shared" si="72"/>
        <v>0</v>
      </c>
    </row>
    <row r="578" spans="1:29" ht="13" thickBot="1" x14ac:dyDescent="0.3">
      <c r="A578" s="20" t="s">
        <v>83</v>
      </c>
      <c r="B578" s="25" t="s">
        <v>12</v>
      </c>
      <c r="C578" s="26" t="s">
        <v>21</v>
      </c>
      <c r="D578" s="27">
        <v>0</v>
      </c>
      <c r="E578" s="27">
        <v>0</v>
      </c>
      <c r="F578" s="27">
        <v>0</v>
      </c>
      <c r="G578" s="27">
        <v>0</v>
      </c>
      <c r="H578" s="28">
        <v>635</v>
      </c>
      <c r="I578" s="29">
        <v>147</v>
      </c>
      <c r="J578" s="27">
        <v>229</v>
      </c>
      <c r="K578" s="27">
        <v>81</v>
      </c>
      <c r="L578" s="27">
        <v>76</v>
      </c>
      <c r="M578" s="27">
        <v>21</v>
      </c>
      <c r="N578" s="27">
        <v>16</v>
      </c>
      <c r="O578" s="27">
        <v>16</v>
      </c>
      <c r="P578" s="27">
        <v>11</v>
      </c>
      <c r="Q578" s="27">
        <v>10</v>
      </c>
      <c r="R578" s="27">
        <v>10</v>
      </c>
      <c r="S578" s="27">
        <v>9</v>
      </c>
      <c r="T578" s="29">
        <v>7</v>
      </c>
      <c r="U578" s="14">
        <v>1</v>
      </c>
      <c r="W578" s="39">
        <f t="shared" si="68"/>
        <v>633</v>
      </c>
      <c r="X578" s="35">
        <f>W577+W576+W573</f>
        <v>104</v>
      </c>
      <c r="Y578" s="35">
        <f>W571</f>
        <v>315</v>
      </c>
      <c r="Z578" s="40">
        <f>V569/X578</f>
        <v>0</v>
      </c>
      <c r="AA578" s="40">
        <f>IF((Y578=0),0,Y570/Y578)</f>
        <v>2.7238095238095239</v>
      </c>
      <c r="AB578" s="48"/>
      <c r="AC578" s="48"/>
    </row>
    <row r="579" spans="1:29" ht="13" thickBot="1" x14ac:dyDescent="0.3">
      <c r="A579" s="9" t="s">
        <v>32</v>
      </c>
      <c r="B579" s="30" t="s">
        <v>15</v>
      </c>
      <c r="C579" s="31" t="s">
        <v>94</v>
      </c>
      <c r="D579" s="32" t="s">
        <v>47</v>
      </c>
      <c r="E579" s="53" t="s">
        <v>116</v>
      </c>
      <c r="F579" s="53" t="s">
        <v>117</v>
      </c>
      <c r="G579" s="53" t="s">
        <v>118</v>
      </c>
      <c r="H579" s="28" t="s">
        <v>12</v>
      </c>
      <c r="I579" s="54" t="s">
        <v>119</v>
      </c>
      <c r="J579" s="53" t="s">
        <v>174</v>
      </c>
      <c r="K579" s="53" t="s">
        <v>175</v>
      </c>
      <c r="L579" s="53" t="s">
        <v>99</v>
      </c>
      <c r="M579" s="53" t="s">
        <v>100</v>
      </c>
      <c r="N579" s="53" t="s">
        <v>101</v>
      </c>
      <c r="O579" s="53" t="s">
        <v>102</v>
      </c>
      <c r="P579" s="53" t="s">
        <v>103</v>
      </c>
      <c r="Q579" s="53" t="s">
        <v>104</v>
      </c>
      <c r="R579" s="53" t="s">
        <v>105</v>
      </c>
      <c r="S579" s="53" t="s">
        <v>106</v>
      </c>
      <c r="T579" s="55" t="s">
        <v>107</v>
      </c>
      <c r="U579" s="14">
        <v>3.2567780380000002</v>
      </c>
      <c r="V579" s="14" t="s">
        <v>183</v>
      </c>
      <c r="W579" s="39">
        <f t="shared" si="68"/>
        <v>0</v>
      </c>
      <c r="X579" s="14" t="s">
        <v>37</v>
      </c>
      <c r="Y579" s="14" t="s">
        <v>38</v>
      </c>
      <c r="AB579" s="48"/>
      <c r="AC579" s="48"/>
    </row>
    <row r="580" spans="1:29" x14ac:dyDescent="0.25">
      <c r="A580" s="7" t="s">
        <v>32</v>
      </c>
      <c r="B580" s="8" t="s">
        <v>17</v>
      </c>
      <c r="C580" s="9" t="s">
        <v>18</v>
      </c>
      <c r="D580" s="10">
        <v>0</v>
      </c>
      <c r="E580" s="10">
        <v>0</v>
      </c>
      <c r="F580" s="10">
        <v>0</v>
      </c>
      <c r="G580" s="10">
        <v>170</v>
      </c>
      <c r="H580" s="11">
        <v>567</v>
      </c>
      <c r="I580" s="12">
        <v>344</v>
      </c>
      <c r="J580" s="10">
        <v>53</v>
      </c>
      <c r="K580" s="10">
        <v>0</v>
      </c>
      <c r="L580" s="10">
        <v>0</v>
      </c>
      <c r="M580" s="10">
        <v>0</v>
      </c>
      <c r="N580" s="10">
        <v>0</v>
      </c>
      <c r="O580" s="10">
        <v>0</v>
      </c>
      <c r="P580" s="10">
        <v>0</v>
      </c>
      <c r="Q580" s="10">
        <v>0</v>
      </c>
      <c r="R580" s="10">
        <v>0</v>
      </c>
      <c r="S580" s="10">
        <v>0</v>
      </c>
      <c r="T580" s="13">
        <v>0</v>
      </c>
      <c r="U580" s="14">
        <v>3.2567780380000002</v>
      </c>
      <c r="V580" s="42">
        <f>SUM(I580:T580)/H580</f>
        <v>0.70017636684303353</v>
      </c>
      <c r="W580" s="39">
        <f t="shared" si="68"/>
        <v>1292.940881086</v>
      </c>
    </row>
    <row r="581" spans="1:29" x14ac:dyDescent="0.25">
      <c r="A581" s="7" t="s">
        <v>32</v>
      </c>
      <c r="B581" s="15" t="s">
        <v>66</v>
      </c>
      <c r="C581" s="7" t="s">
        <v>18</v>
      </c>
      <c r="D581" s="14">
        <v>0</v>
      </c>
      <c r="E581" s="14">
        <v>0</v>
      </c>
      <c r="F581" s="14">
        <v>0</v>
      </c>
      <c r="G581" s="14">
        <v>367</v>
      </c>
      <c r="H581" s="16">
        <v>467</v>
      </c>
      <c r="I581" s="17">
        <v>23</v>
      </c>
      <c r="J581" s="14">
        <v>54</v>
      </c>
      <c r="K581" s="14">
        <v>0</v>
      </c>
      <c r="L581" s="14">
        <v>0</v>
      </c>
      <c r="M581" s="14">
        <v>25</v>
      </c>
      <c r="N581" s="14">
        <v>0</v>
      </c>
      <c r="O581" s="14">
        <v>0</v>
      </c>
      <c r="P581" s="14">
        <v>0</v>
      </c>
      <c r="Q581" s="14">
        <v>0</v>
      </c>
      <c r="R581" s="14">
        <v>0</v>
      </c>
      <c r="S581" s="14">
        <v>0</v>
      </c>
      <c r="T581" s="18">
        <v>0</v>
      </c>
      <c r="U581" s="14">
        <v>3.2567780380000002</v>
      </c>
      <c r="V581" s="44"/>
      <c r="W581" s="39">
        <f t="shared" si="68"/>
        <v>332.19135987600004</v>
      </c>
    </row>
    <row r="582" spans="1:29" x14ac:dyDescent="0.25">
      <c r="A582" s="7" t="s">
        <v>32</v>
      </c>
      <c r="B582" s="15" t="s">
        <v>13</v>
      </c>
      <c r="C582" s="7" t="s">
        <v>18</v>
      </c>
      <c r="D582" s="14">
        <v>0</v>
      </c>
      <c r="E582" s="14">
        <v>0</v>
      </c>
      <c r="F582" s="14">
        <v>0</v>
      </c>
      <c r="G582" s="14">
        <v>831</v>
      </c>
      <c r="H582" s="16">
        <v>1379</v>
      </c>
      <c r="I582" s="17">
        <v>318</v>
      </c>
      <c r="J582" s="14">
        <v>198</v>
      </c>
      <c r="K582" s="14">
        <v>0</v>
      </c>
      <c r="L582" s="14">
        <v>0</v>
      </c>
      <c r="M582" s="14">
        <v>0</v>
      </c>
      <c r="N582" s="14">
        <v>0</v>
      </c>
      <c r="O582" s="14">
        <v>0</v>
      </c>
      <c r="P582" s="14">
        <v>32</v>
      </c>
      <c r="Q582" s="14">
        <v>0</v>
      </c>
      <c r="R582" s="14">
        <v>0</v>
      </c>
      <c r="S582" s="14">
        <v>0</v>
      </c>
      <c r="T582" s="18">
        <v>0</v>
      </c>
      <c r="U582" s="14">
        <v>3.2567780380000002</v>
      </c>
      <c r="V582" s="41"/>
      <c r="W582" s="39">
        <f t="shared" si="68"/>
        <v>1784.7143648240001</v>
      </c>
    </row>
    <row r="583" spans="1:29" x14ac:dyDescent="0.25">
      <c r="A583" s="7" t="s">
        <v>32</v>
      </c>
      <c r="B583" s="15" t="s">
        <v>67</v>
      </c>
      <c r="C583" s="7" t="s">
        <v>18</v>
      </c>
      <c r="D583" s="14">
        <v>0</v>
      </c>
      <c r="E583" s="14">
        <v>0</v>
      </c>
      <c r="F583" s="14">
        <v>0</v>
      </c>
      <c r="G583" s="14">
        <v>196</v>
      </c>
      <c r="H583" s="16">
        <v>243</v>
      </c>
      <c r="I583" s="17">
        <v>21</v>
      </c>
      <c r="J583" s="14">
        <v>27</v>
      </c>
      <c r="K583" s="14">
        <v>0</v>
      </c>
      <c r="L583" s="14">
        <v>0</v>
      </c>
      <c r="M583" s="14">
        <v>0</v>
      </c>
      <c r="N583" s="14">
        <v>0</v>
      </c>
      <c r="O583" s="14">
        <v>0</v>
      </c>
      <c r="P583" s="14">
        <v>0</v>
      </c>
      <c r="Q583" s="14">
        <v>0</v>
      </c>
      <c r="R583" s="14">
        <v>0</v>
      </c>
      <c r="S583" s="14">
        <v>0</v>
      </c>
      <c r="T583" s="18">
        <v>0</v>
      </c>
      <c r="U583" s="14">
        <v>3.2567780380000002</v>
      </c>
      <c r="V583" s="41"/>
      <c r="W583" s="39">
        <f t="shared" si="68"/>
        <v>156.32534582400001</v>
      </c>
    </row>
    <row r="584" spans="1:29" x14ac:dyDescent="0.25">
      <c r="A584" s="7" t="s">
        <v>32</v>
      </c>
      <c r="B584" s="15" t="s">
        <v>73</v>
      </c>
      <c r="C584" s="7" t="s">
        <v>18</v>
      </c>
      <c r="D584" s="14">
        <v>0</v>
      </c>
      <c r="E584" s="14">
        <v>0</v>
      </c>
      <c r="F584" s="14">
        <v>0</v>
      </c>
      <c r="G584" s="14">
        <v>467</v>
      </c>
      <c r="H584" s="16">
        <v>750</v>
      </c>
      <c r="I584" s="17">
        <v>182</v>
      </c>
      <c r="J584" s="14">
        <v>20</v>
      </c>
      <c r="K584" s="14">
        <v>0</v>
      </c>
      <c r="L584" s="14">
        <v>0</v>
      </c>
      <c r="M584" s="14">
        <v>0</v>
      </c>
      <c r="N584" s="14">
        <v>0</v>
      </c>
      <c r="O584" s="14">
        <v>0</v>
      </c>
      <c r="P584" s="14">
        <v>81</v>
      </c>
      <c r="Q584" s="14">
        <v>0</v>
      </c>
      <c r="R584" s="14">
        <v>0</v>
      </c>
      <c r="S584" s="14">
        <v>0</v>
      </c>
      <c r="T584" s="18">
        <v>0</v>
      </c>
      <c r="U584" s="14">
        <v>3.2567780380000002</v>
      </c>
      <c r="V584" s="41"/>
      <c r="W584" s="39">
        <f t="shared" si="68"/>
        <v>921.66818475400009</v>
      </c>
    </row>
    <row r="585" spans="1:29" x14ac:dyDescent="0.25">
      <c r="A585" s="7" t="s">
        <v>32</v>
      </c>
      <c r="B585" s="15" t="s">
        <v>19</v>
      </c>
      <c r="C585" s="7" t="s">
        <v>18</v>
      </c>
      <c r="D585" s="14">
        <v>0</v>
      </c>
      <c r="E585" s="14">
        <v>0</v>
      </c>
      <c r="F585" s="14">
        <v>0</v>
      </c>
      <c r="G585" s="14">
        <v>25</v>
      </c>
      <c r="H585" s="16">
        <v>231</v>
      </c>
      <c r="I585" s="17">
        <v>202</v>
      </c>
      <c r="J585" s="14">
        <v>5</v>
      </c>
      <c r="K585" s="14">
        <v>0</v>
      </c>
      <c r="L585" s="14">
        <v>0</v>
      </c>
      <c r="M585" s="14">
        <v>0</v>
      </c>
      <c r="N585" s="14">
        <v>0</v>
      </c>
      <c r="O585" s="14">
        <v>0</v>
      </c>
      <c r="P585" s="14">
        <v>0</v>
      </c>
      <c r="Q585" s="14">
        <v>0</v>
      </c>
      <c r="R585" s="14">
        <v>0</v>
      </c>
      <c r="S585" s="14">
        <v>0</v>
      </c>
      <c r="T585" s="18">
        <v>0</v>
      </c>
      <c r="U585" s="14">
        <v>3.2567780380000002</v>
      </c>
      <c r="V585" s="41"/>
      <c r="W585" s="39">
        <f t="shared" si="68"/>
        <v>674.15305386600005</v>
      </c>
    </row>
    <row r="586" spans="1:29" ht="13" thickBot="1" x14ac:dyDescent="0.3">
      <c r="A586" s="7" t="s">
        <v>32</v>
      </c>
      <c r="B586" s="19" t="s">
        <v>20</v>
      </c>
      <c r="C586" s="20" t="s">
        <v>18</v>
      </c>
      <c r="D586" s="21">
        <v>0</v>
      </c>
      <c r="E586" s="21">
        <v>0</v>
      </c>
      <c r="F586" s="21">
        <v>0</v>
      </c>
      <c r="G586" s="21">
        <v>0</v>
      </c>
      <c r="H586" s="22">
        <v>16</v>
      </c>
      <c r="I586" s="23">
        <v>16</v>
      </c>
      <c r="J586" s="21">
        <v>0</v>
      </c>
      <c r="K586" s="21">
        <v>0</v>
      </c>
      <c r="L586" s="21">
        <v>0</v>
      </c>
      <c r="M586" s="21">
        <v>0</v>
      </c>
      <c r="N586" s="21">
        <v>0</v>
      </c>
      <c r="O586" s="21">
        <v>0</v>
      </c>
      <c r="P586" s="21">
        <v>0</v>
      </c>
      <c r="Q586" s="21">
        <v>0</v>
      </c>
      <c r="R586" s="21">
        <v>0</v>
      </c>
      <c r="S586" s="21">
        <v>0</v>
      </c>
      <c r="T586" s="24">
        <v>0</v>
      </c>
      <c r="U586" s="14">
        <v>3.2567780380000002</v>
      </c>
      <c r="V586" s="44"/>
      <c r="W586" s="39">
        <f t="shared" si="68"/>
        <v>52.108448608000003</v>
      </c>
    </row>
    <row r="587" spans="1:29" ht="13" thickBot="1" x14ac:dyDescent="0.3">
      <c r="A587" s="7" t="s">
        <v>32</v>
      </c>
      <c r="B587" s="25" t="s">
        <v>12</v>
      </c>
      <c r="C587" s="26" t="s">
        <v>18</v>
      </c>
      <c r="D587" s="27">
        <v>0</v>
      </c>
      <c r="E587" s="27">
        <v>0</v>
      </c>
      <c r="F587" s="27">
        <v>0</v>
      </c>
      <c r="G587" s="27">
        <v>2056</v>
      </c>
      <c r="H587" s="28">
        <v>3653</v>
      </c>
      <c r="I587" s="29">
        <v>1106</v>
      </c>
      <c r="J587" s="27">
        <v>357</v>
      </c>
      <c r="K587" s="27">
        <v>0</v>
      </c>
      <c r="L587" s="27">
        <v>0</v>
      </c>
      <c r="M587" s="27">
        <v>25</v>
      </c>
      <c r="N587" s="27">
        <v>0</v>
      </c>
      <c r="O587" s="27">
        <v>0</v>
      </c>
      <c r="P587" s="27">
        <v>113</v>
      </c>
      <c r="Q587" s="27">
        <v>0</v>
      </c>
      <c r="R587" s="27">
        <v>0</v>
      </c>
      <c r="S587" s="27">
        <v>0</v>
      </c>
      <c r="T587" s="29">
        <v>0</v>
      </c>
      <c r="U587" s="14">
        <v>3.2567780380000002</v>
      </c>
      <c r="V587" s="43">
        <f>SUM(I582:T585)/SUM(H582:H585)</f>
        <v>0.4172109104878986</v>
      </c>
      <c r="W587" s="39">
        <f t="shared" si="68"/>
        <v>5214.1016388380003</v>
      </c>
      <c r="X587" s="35">
        <f>W585+W582</f>
        <v>2458.8674186900002</v>
      </c>
      <c r="Y587" s="35">
        <f>W580</f>
        <v>1292.940881086</v>
      </c>
    </row>
    <row r="588" spans="1:29" x14ac:dyDescent="0.25">
      <c r="A588" s="7" t="s">
        <v>32</v>
      </c>
      <c r="B588" s="8" t="s">
        <v>17</v>
      </c>
      <c r="C588" s="9" t="s">
        <v>21</v>
      </c>
      <c r="D588" s="10">
        <v>0</v>
      </c>
      <c r="E588" s="10">
        <v>0</v>
      </c>
      <c r="F588" s="10">
        <v>0</v>
      </c>
      <c r="G588" s="10">
        <v>0</v>
      </c>
      <c r="H588" s="11">
        <v>11</v>
      </c>
      <c r="I588" s="12">
        <v>7</v>
      </c>
      <c r="J588" s="10">
        <v>0</v>
      </c>
      <c r="K588" s="10">
        <v>0</v>
      </c>
      <c r="L588" s="10">
        <v>0</v>
      </c>
      <c r="M588" s="10">
        <v>0</v>
      </c>
      <c r="N588" s="10">
        <v>0</v>
      </c>
      <c r="O588" s="10">
        <v>0</v>
      </c>
      <c r="P588" s="10">
        <v>4</v>
      </c>
      <c r="Q588" s="10">
        <v>0</v>
      </c>
      <c r="R588" s="10">
        <v>0</v>
      </c>
      <c r="S588" s="10">
        <v>0</v>
      </c>
      <c r="T588" s="13">
        <v>0</v>
      </c>
      <c r="U588" s="14">
        <v>3.2567780380000002</v>
      </c>
      <c r="W588" s="39">
        <f t="shared" si="68"/>
        <v>35.824558418000002</v>
      </c>
      <c r="AB588" s="37" t="str">
        <f t="shared" ref="AB588:AB594" si="73">B588</f>
        <v>Parts-OTC</v>
      </c>
      <c r="AC588" s="36">
        <f t="shared" ref="AC588:AC594" si="74">I588*U588</f>
        <v>22.797446266000001</v>
      </c>
    </row>
    <row r="589" spans="1:29" x14ac:dyDescent="0.25">
      <c r="A589" s="7" t="s">
        <v>32</v>
      </c>
      <c r="B589" s="15" t="s">
        <v>66</v>
      </c>
      <c r="C589" s="7" t="s">
        <v>21</v>
      </c>
      <c r="D589" s="14">
        <v>0</v>
      </c>
      <c r="E589" s="14">
        <v>0</v>
      </c>
      <c r="F589" s="14">
        <v>0</v>
      </c>
      <c r="G589" s="14">
        <v>0</v>
      </c>
      <c r="H589" s="16">
        <v>38</v>
      </c>
      <c r="I589" s="17">
        <v>35</v>
      </c>
      <c r="J589" s="14">
        <v>3</v>
      </c>
      <c r="K589" s="14">
        <v>0</v>
      </c>
      <c r="L589" s="14">
        <v>0</v>
      </c>
      <c r="M589" s="14">
        <v>0</v>
      </c>
      <c r="N589" s="14">
        <v>0</v>
      </c>
      <c r="O589" s="14">
        <v>0</v>
      </c>
      <c r="P589" s="14">
        <v>0</v>
      </c>
      <c r="Q589" s="14">
        <v>0</v>
      </c>
      <c r="R589" s="14">
        <v>0</v>
      </c>
      <c r="S589" s="14">
        <v>0</v>
      </c>
      <c r="T589" s="18">
        <v>0</v>
      </c>
      <c r="U589" s="14">
        <v>3.2567780380000002</v>
      </c>
      <c r="W589" s="39">
        <f t="shared" si="68"/>
        <v>123.75756544400001</v>
      </c>
      <c r="AB589" s="37" t="str">
        <f t="shared" si="73"/>
        <v>CTKS</v>
      </c>
      <c r="AC589" s="36">
        <f t="shared" si="74"/>
        <v>113.98723133000001</v>
      </c>
    </row>
    <row r="590" spans="1:29" x14ac:dyDescent="0.25">
      <c r="A590" s="7" t="s">
        <v>32</v>
      </c>
      <c r="B590" s="15" t="s">
        <v>13</v>
      </c>
      <c r="C590" s="7" t="s">
        <v>21</v>
      </c>
      <c r="D590" s="14">
        <v>0</v>
      </c>
      <c r="E590" s="14">
        <v>0</v>
      </c>
      <c r="F590" s="14">
        <v>0</v>
      </c>
      <c r="G590" s="14">
        <v>0</v>
      </c>
      <c r="H590" s="16">
        <v>68</v>
      </c>
      <c r="I590" s="33">
        <v>4</v>
      </c>
      <c r="J590" s="34">
        <v>22</v>
      </c>
      <c r="K590" s="34">
        <v>1</v>
      </c>
      <c r="L590" s="14">
        <v>1</v>
      </c>
      <c r="M590" s="14">
        <v>4</v>
      </c>
      <c r="N590" s="14">
        <v>15</v>
      </c>
      <c r="O590" s="14">
        <v>15</v>
      </c>
      <c r="P590" s="14">
        <v>4</v>
      </c>
      <c r="Q590" s="14">
        <v>0</v>
      </c>
      <c r="R590" s="14">
        <v>0</v>
      </c>
      <c r="S590" s="14">
        <v>1</v>
      </c>
      <c r="T590" s="18">
        <v>0</v>
      </c>
      <c r="U590" s="14">
        <v>3.2567780380000002</v>
      </c>
      <c r="W590" s="39">
        <f t="shared" si="68"/>
        <v>218.20412854600002</v>
      </c>
      <c r="AB590" s="37" t="str">
        <f t="shared" si="73"/>
        <v>Repair</v>
      </c>
      <c r="AC590" s="36">
        <f t="shared" si="74"/>
        <v>13.027112152000001</v>
      </c>
    </row>
    <row r="591" spans="1:29" x14ac:dyDescent="0.25">
      <c r="A591" s="7" t="s">
        <v>32</v>
      </c>
      <c r="B591" s="15" t="s">
        <v>67</v>
      </c>
      <c r="C591" s="7" t="s">
        <v>21</v>
      </c>
      <c r="D591" s="14">
        <v>0</v>
      </c>
      <c r="E591" s="14">
        <v>0</v>
      </c>
      <c r="F591" s="14">
        <v>0</v>
      </c>
      <c r="G591" s="14">
        <v>0</v>
      </c>
      <c r="H591" s="16">
        <v>40</v>
      </c>
      <c r="I591" s="17">
        <v>9</v>
      </c>
      <c r="J591" s="14">
        <v>16</v>
      </c>
      <c r="K591" s="14">
        <v>10</v>
      </c>
      <c r="L591" s="14">
        <v>2</v>
      </c>
      <c r="M591" s="14">
        <v>2</v>
      </c>
      <c r="N591" s="14">
        <v>2</v>
      </c>
      <c r="O591" s="14">
        <v>0</v>
      </c>
      <c r="P591" s="14">
        <v>0</v>
      </c>
      <c r="Q591" s="14">
        <v>0</v>
      </c>
      <c r="R591" s="14">
        <v>0</v>
      </c>
      <c r="S591" s="14">
        <v>0</v>
      </c>
      <c r="T591" s="18">
        <v>0</v>
      </c>
      <c r="U591" s="14">
        <v>3.2567780380000002</v>
      </c>
      <c r="W591" s="39">
        <f t="shared" si="68"/>
        <v>133.527899558</v>
      </c>
      <c r="AB591" s="37" t="str">
        <f t="shared" si="73"/>
        <v>Rental</v>
      </c>
      <c r="AC591" s="36">
        <f t="shared" si="74"/>
        <v>29.311002342000002</v>
      </c>
    </row>
    <row r="592" spans="1:29" x14ac:dyDescent="0.25">
      <c r="A592" s="7" t="s">
        <v>32</v>
      </c>
      <c r="B592" s="15" t="s">
        <v>73</v>
      </c>
      <c r="C592" s="7" t="s">
        <v>21</v>
      </c>
      <c r="D592" s="14">
        <v>0</v>
      </c>
      <c r="E592" s="14">
        <v>0</v>
      </c>
      <c r="F592" s="14">
        <v>0</v>
      </c>
      <c r="G592" s="14">
        <v>0</v>
      </c>
      <c r="H592" s="16">
        <v>46</v>
      </c>
      <c r="I592" s="17">
        <v>10</v>
      </c>
      <c r="J592" s="14">
        <v>3</v>
      </c>
      <c r="K592" s="14">
        <v>1</v>
      </c>
      <c r="L592" s="14">
        <v>2</v>
      </c>
      <c r="M592" s="14">
        <v>0</v>
      </c>
      <c r="N592" s="14">
        <v>0</v>
      </c>
      <c r="O592" s="14">
        <v>0</v>
      </c>
      <c r="P592" s="14">
        <v>0</v>
      </c>
      <c r="Q592" s="14">
        <v>0</v>
      </c>
      <c r="R592" s="14">
        <v>9</v>
      </c>
      <c r="S592" s="14">
        <v>1</v>
      </c>
      <c r="T592" s="18">
        <v>20</v>
      </c>
      <c r="U592" s="14">
        <v>3.2567780380000002</v>
      </c>
      <c r="W592" s="39">
        <f t="shared" si="68"/>
        <v>149.81178974800002</v>
      </c>
      <c r="AB592" s="37"/>
    </row>
    <row r="593" spans="1:29" x14ac:dyDescent="0.25">
      <c r="A593" s="7" t="s">
        <v>32</v>
      </c>
      <c r="B593" s="15" t="s">
        <v>19</v>
      </c>
      <c r="C593" s="7" t="s">
        <v>21</v>
      </c>
      <c r="D593" s="14">
        <v>0</v>
      </c>
      <c r="E593" s="14">
        <v>0</v>
      </c>
      <c r="F593" s="14">
        <v>0</v>
      </c>
      <c r="G593" s="14">
        <v>0</v>
      </c>
      <c r="H593" s="16">
        <v>98</v>
      </c>
      <c r="I593" s="17">
        <v>18</v>
      </c>
      <c r="J593" s="14">
        <v>12</v>
      </c>
      <c r="K593" s="14">
        <v>12</v>
      </c>
      <c r="L593" s="14">
        <v>11</v>
      </c>
      <c r="M593" s="14">
        <v>10</v>
      </c>
      <c r="N593" s="14">
        <v>10</v>
      </c>
      <c r="O593" s="14">
        <v>10</v>
      </c>
      <c r="P593" s="14">
        <v>10</v>
      </c>
      <c r="Q593" s="14">
        <v>3</v>
      </c>
      <c r="R593" s="14">
        <v>2</v>
      </c>
      <c r="S593" s="14">
        <v>2</v>
      </c>
      <c r="T593" s="18">
        <v>0</v>
      </c>
      <c r="U593" s="14">
        <v>3.2567780380000002</v>
      </c>
      <c r="W593" s="39">
        <f t="shared" si="68"/>
        <v>325.67780379999999</v>
      </c>
      <c r="AB593" s="37" t="str">
        <f t="shared" si="73"/>
        <v>Maintenance</v>
      </c>
      <c r="AC593" s="36">
        <f t="shared" si="74"/>
        <v>58.622004684000004</v>
      </c>
    </row>
    <row r="594" spans="1:29" ht="13" thickBot="1" x14ac:dyDescent="0.3">
      <c r="A594" s="7" t="s">
        <v>32</v>
      </c>
      <c r="B594" s="19" t="s">
        <v>20</v>
      </c>
      <c r="C594" s="20" t="s">
        <v>21</v>
      </c>
      <c r="D594" s="21">
        <v>0</v>
      </c>
      <c r="E594" s="21">
        <v>0</v>
      </c>
      <c r="F594" s="21">
        <v>0</v>
      </c>
      <c r="G594" s="21">
        <v>0</v>
      </c>
      <c r="H594" s="22">
        <v>13</v>
      </c>
      <c r="I594" s="23">
        <v>0</v>
      </c>
      <c r="J594" s="21">
        <v>12</v>
      </c>
      <c r="K594" s="21">
        <v>0</v>
      </c>
      <c r="L594" s="21">
        <v>0</v>
      </c>
      <c r="M594" s="21">
        <v>0</v>
      </c>
      <c r="N594" s="21">
        <v>0</v>
      </c>
      <c r="O594" s="21">
        <v>0</v>
      </c>
      <c r="P594" s="21">
        <v>1</v>
      </c>
      <c r="Q594" s="21">
        <v>0</v>
      </c>
      <c r="R594" s="21">
        <v>0</v>
      </c>
      <c r="S594" s="21">
        <v>0</v>
      </c>
      <c r="T594" s="24">
        <v>1</v>
      </c>
      <c r="U594" s="14">
        <v>3.2567780380000002</v>
      </c>
      <c r="W594" s="39">
        <f t="shared" si="68"/>
        <v>45.594892532000003</v>
      </c>
      <c r="AB594" s="37" t="str">
        <f t="shared" si="73"/>
        <v>Startup</v>
      </c>
      <c r="AC594" s="36">
        <f t="shared" si="74"/>
        <v>0</v>
      </c>
    </row>
    <row r="595" spans="1:29" ht="13" thickBot="1" x14ac:dyDescent="0.3">
      <c r="A595" s="20" t="s">
        <v>32</v>
      </c>
      <c r="B595" s="25" t="s">
        <v>12</v>
      </c>
      <c r="C595" s="26" t="s">
        <v>21</v>
      </c>
      <c r="D595" s="27">
        <v>0</v>
      </c>
      <c r="E595" s="27">
        <v>0</v>
      </c>
      <c r="F595" s="27">
        <v>0</v>
      </c>
      <c r="G595" s="27">
        <v>0</v>
      </c>
      <c r="H595" s="28">
        <v>314</v>
      </c>
      <c r="I595" s="29">
        <v>83</v>
      </c>
      <c r="J595" s="27">
        <v>68</v>
      </c>
      <c r="K595" s="27">
        <v>24</v>
      </c>
      <c r="L595" s="27">
        <v>16</v>
      </c>
      <c r="M595" s="27">
        <v>16</v>
      </c>
      <c r="N595" s="27">
        <v>27</v>
      </c>
      <c r="O595" s="27">
        <v>25</v>
      </c>
      <c r="P595" s="27">
        <v>19</v>
      </c>
      <c r="Q595" s="27">
        <v>3</v>
      </c>
      <c r="R595" s="27">
        <v>11</v>
      </c>
      <c r="S595" s="27">
        <v>4</v>
      </c>
      <c r="T595" s="29">
        <v>21</v>
      </c>
      <c r="U595" s="14">
        <v>3.2567780380000002</v>
      </c>
      <c r="W595" s="39">
        <f t="shared" si="68"/>
        <v>1032.3986380460001</v>
      </c>
      <c r="X595" s="35">
        <f>W594+W593+W590</f>
        <v>589.476824878</v>
      </c>
      <c r="Y595" s="35">
        <f>W588</f>
        <v>35.824558418000002</v>
      </c>
      <c r="Z595" s="40">
        <f>V586/X595</f>
        <v>0</v>
      </c>
      <c r="AA595" s="40">
        <f>IF((Y595=0),0,Y587/Y595)</f>
        <v>36.090909090909086</v>
      </c>
      <c r="AB595" s="48"/>
      <c r="AC595" s="48"/>
    </row>
    <row r="596" spans="1:29" ht="13" thickBot="1" x14ac:dyDescent="0.3">
      <c r="A596" s="9" t="s">
        <v>33</v>
      </c>
      <c r="B596" s="30" t="s">
        <v>15</v>
      </c>
      <c r="C596" s="31" t="s">
        <v>46</v>
      </c>
      <c r="D596" s="32" t="s">
        <v>47</v>
      </c>
      <c r="E596" s="53">
        <v>45689</v>
      </c>
      <c r="F596" s="53">
        <v>45717</v>
      </c>
      <c r="G596" s="53">
        <v>45748</v>
      </c>
      <c r="H596" s="28" t="s">
        <v>12</v>
      </c>
      <c r="I596" s="54">
        <v>45778</v>
      </c>
      <c r="J596" s="53">
        <v>45809</v>
      </c>
      <c r="K596" s="53">
        <v>45839</v>
      </c>
      <c r="L596" s="53">
        <v>45870</v>
      </c>
      <c r="M596" s="53">
        <v>45901</v>
      </c>
      <c r="N596" s="53">
        <v>45931</v>
      </c>
      <c r="O596" s="53">
        <v>45962</v>
      </c>
      <c r="P596" s="53">
        <v>45992</v>
      </c>
      <c r="Q596" s="53">
        <v>46023</v>
      </c>
      <c r="R596" s="53">
        <v>46054</v>
      </c>
      <c r="S596" s="53">
        <v>46082</v>
      </c>
      <c r="T596" s="55">
        <v>46113</v>
      </c>
      <c r="U596" s="14">
        <v>1.11668E-5</v>
      </c>
      <c r="V596" s="14" t="s">
        <v>183</v>
      </c>
      <c r="W596" s="39">
        <f t="shared" si="68"/>
        <v>6.1568598471999998</v>
      </c>
      <c r="X596" s="14" t="s">
        <v>37</v>
      </c>
      <c r="Y596" s="14" t="s">
        <v>38</v>
      </c>
      <c r="AB596" s="48"/>
      <c r="AC596" s="48"/>
    </row>
    <row r="597" spans="1:29" x14ac:dyDescent="0.25">
      <c r="A597" s="7" t="s">
        <v>33</v>
      </c>
      <c r="B597" s="8" t="s">
        <v>17</v>
      </c>
      <c r="C597" s="9" t="s">
        <v>18</v>
      </c>
      <c r="D597" s="10">
        <v>226</v>
      </c>
      <c r="E597" s="10">
        <v>0</v>
      </c>
      <c r="F597" s="10">
        <v>0</v>
      </c>
      <c r="G597" s="10">
        <v>0</v>
      </c>
      <c r="H597" s="11">
        <v>226</v>
      </c>
      <c r="I597" s="12">
        <v>0</v>
      </c>
      <c r="J597" s="10">
        <v>0</v>
      </c>
      <c r="K597" s="10">
        <v>0</v>
      </c>
      <c r="L597" s="10">
        <v>0</v>
      </c>
      <c r="M597" s="10">
        <v>0</v>
      </c>
      <c r="N597" s="10">
        <v>0</v>
      </c>
      <c r="O597" s="10">
        <v>0</v>
      </c>
      <c r="P597" s="10">
        <v>0</v>
      </c>
      <c r="Q597" s="10">
        <v>0</v>
      </c>
      <c r="R597" s="10">
        <v>0</v>
      </c>
      <c r="S597" s="10">
        <v>0</v>
      </c>
      <c r="T597" s="13">
        <v>0</v>
      </c>
      <c r="U597" s="14">
        <v>1.11668E-5</v>
      </c>
      <c r="V597" s="42">
        <f>SUM(I597:T597)/H597</f>
        <v>0</v>
      </c>
      <c r="W597" s="39">
        <f t="shared" si="68"/>
        <v>0</v>
      </c>
    </row>
    <row r="598" spans="1:29" x14ac:dyDescent="0.25">
      <c r="A598" s="7" t="s">
        <v>33</v>
      </c>
      <c r="B598" s="15" t="s">
        <v>66</v>
      </c>
      <c r="C598" s="7" t="s">
        <v>18</v>
      </c>
      <c r="D598" s="14">
        <v>0</v>
      </c>
      <c r="E598" s="14">
        <v>0</v>
      </c>
      <c r="F598" s="14">
        <v>0</v>
      </c>
      <c r="G598" s="14">
        <v>46</v>
      </c>
      <c r="H598" s="16">
        <v>46</v>
      </c>
      <c r="I598" s="17">
        <v>0</v>
      </c>
      <c r="J598" s="14">
        <v>0</v>
      </c>
      <c r="K598" s="14">
        <v>0</v>
      </c>
      <c r="L598" s="14">
        <v>0</v>
      </c>
      <c r="M598" s="14">
        <v>0</v>
      </c>
      <c r="N598" s="14">
        <v>0</v>
      </c>
      <c r="O598" s="14">
        <v>0</v>
      </c>
      <c r="P598" s="14">
        <v>0</v>
      </c>
      <c r="Q598" s="14">
        <v>0</v>
      </c>
      <c r="R598" s="14">
        <v>0</v>
      </c>
      <c r="S598" s="14">
        <v>0</v>
      </c>
      <c r="T598" s="18">
        <v>0</v>
      </c>
      <c r="U598" s="14">
        <v>1.11668E-5</v>
      </c>
      <c r="V598" s="44"/>
      <c r="W598" s="39">
        <f t="shared" si="68"/>
        <v>0</v>
      </c>
    </row>
    <row r="599" spans="1:29" x14ac:dyDescent="0.25">
      <c r="A599" s="7" t="s">
        <v>33</v>
      </c>
      <c r="B599" s="15" t="s">
        <v>13</v>
      </c>
      <c r="C599" s="7" t="s">
        <v>18</v>
      </c>
      <c r="D599" s="14">
        <v>18</v>
      </c>
      <c r="E599" s="14">
        <v>1</v>
      </c>
      <c r="F599" s="14">
        <v>0</v>
      </c>
      <c r="G599" s="14">
        <v>720</v>
      </c>
      <c r="H599" s="16">
        <v>739</v>
      </c>
      <c r="I599" s="17">
        <v>0</v>
      </c>
      <c r="J599" s="14">
        <v>0</v>
      </c>
      <c r="K599" s="14">
        <v>0</v>
      </c>
      <c r="L599" s="14">
        <v>0</v>
      </c>
      <c r="M599" s="14">
        <v>0</v>
      </c>
      <c r="N599" s="14">
        <v>0</v>
      </c>
      <c r="O599" s="14">
        <v>0</v>
      </c>
      <c r="P599" s="14">
        <v>0</v>
      </c>
      <c r="Q599" s="14">
        <v>0</v>
      </c>
      <c r="R599" s="14">
        <v>0</v>
      </c>
      <c r="S599" s="14">
        <v>0</v>
      </c>
      <c r="T599" s="18">
        <v>0</v>
      </c>
      <c r="U599" s="14">
        <v>1.11668E-5</v>
      </c>
      <c r="V599" s="41"/>
      <c r="W599" s="39">
        <f t="shared" si="68"/>
        <v>0</v>
      </c>
    </row>
    <row r="600" spans="1:29" x14ac:dyDescent="0.25">
      <c r="A600" s="7" t="s">
        <v>33</v>
      </c>
      <c r="B600" s="15" t="s">
        <v>67</v>
      </c>
      <c r="C600" s="7" t="s">
        <v>18</v>
      </c>
      <c r="D600" s="14">
        <v>0</v>
      </c>
      <c r="E600" s="14">
        <v>0</v>
      </c>
      <c r="F600" s="14">
        <v>0</v>
      </c>
      <c r="G600" s="14">
        <v>48</v>
      </c>
      <c r="H600" s="16">
        <v>48</v>
      </c>
      <c r="I600" s="17">
        <v>0</v>
      </c>
      <c r="J600" s="14">
        <v>0</v>
      </c>
      <c r="K600" s="14">
        <v>0</v>
      </c>
      <c r="L600" s="14">
        <v>0</v>
      </c>
      <c r="M600" s="14">
        <v>0</v>
      </c>
      <c r="N600" s="14">
        <v>0</v>
      </c>
      <c r="O600" s="14">
        <v>0</v>
      </c>
      <c r="P600" s="14">
        <v>0</v>
      </c>
      <c r="Q600" s="14">
        <v>0</v>
      </c>
      <c r="R600" s="14">
        <v>0</v>
      </c>
      <c r="S600" s="14">
        <v>0</v>
      </c>
      <c r="T600" s="18">
        <v>0</v>
      </c>
      <c r="U600" s="14">
        <v>1.11668E-5</v>
      </c>
      <c r="V600" s="41"/>
      <c r="W600" s="39">
        <f t="shared" si="68"/>
        <v>0</v>
      </c>
    </row>
    <row r="601" spans="1:29" x14ac:dyDescent="0.25">
      <c r="A601" s="7" t="s">
        <v>33</v>
      </c>
      <c r="B601" s="15" t="s">
        <v>73</v>
      </c>
      <c r="C601" s="7" t="s">
        <v>18</v>
      </c>
      <c r="D601" s="14">
        <v>5</v>
      </c>
      <c r="E601" s="14">
        <v>0</v>
      </c>
      <c r="F601" s="14">
        <v>0</v>
      </c>
      <c r="G601" s="14">
        <v>296</v>
      </c>
      <c r="H601" s="16">
        <v>301</v>
      </c>
      <c r="I601" s="17">
        <v>0</v>
      </c>
      <c r="J601" s="14">
        <v>0</v>
      </c>
      <c r="K601" s="14">
        <v>0</v>
      </c>
      <c r="L601" s="14">
        <v>0</v>
      </c>
      <c r="M601" s="14">
        <v>0</v>
      </c>
      <c r="N601" s="14">
        <v>0</v>
      </c>
      <c r="O601" s="14">
        <v>0</v>
      </c>
      <c r="P601" s="14">
        <v>0</v>
      </c>
      <c r="Q601" s="14">
        <v>0</v>
      </c>
      <c r="R601" s="14">
        <v>0</v>
      </c>
      <c r="S601" s="14">
        <v>0</v>
      </c>
      <c r="T601" s="18">
        <v>0</v>
      </c>
      <c r="U601" s="14">
        <v>1.11668E-5</v>
      </c>
      <c r="V601" s="41"/>
      <c r="W601" s="39">
        <f t="shared" si="68"/>
        <v>0</v>
      </c>
    </row>
    <row r="602" spans="1:29" x14ac:dyDescent="0.25">
      <c r="A602" s="7" t="s">
        <v>33</v>
      </c>
      <c r="B602" s="15" t="s">
        <v>19</v>
      </c>
      <c r="C602" s="7" t="s">
        <v>18</v>
      </c>
      <c r="D602" s="14">
        <v>3</v>
      </c>
      <c r="E602" s="14">
        <v>0</v>
      </c>
      <c r="F602" s="14">
        <v>0</v>
      </c>
      <c r="G602" s="14">
        <v>15804</v>
      </c>
      <c r="H602" s="16">
        <v>15807</v>
      </c>
      <c r="I602" s="17">
        <v>0</v>
      </c>
      <c r="J602" s="14">
        <v>0</v>
      </c>
      <c r="K602" s="14">
        <v>0</v>
      </c>
      <c r="L602" s="14">
        <v>0</v>
      </c>
      <c r="M602" s="14">
        <v>0</v>
      </c>
      <c r="N602" s="14">
        <v>0</v>
      </c>
      <c r="O602" s="14">
        <v>0</v>
      </c>
      <c r="P602" s="14">
        <v>0</v>
      </c>
      <c r="Q602" s="14">
        <v>0</v>
      </c>
      <c r="R602" s="14">
        <v>0</v>
      </c>
      <c r="S602" s="14">
        <v>0</v>
      </c>
      <c r="T602" s="18">
        <v>0</v>
      </c>
      <c r="U602" s="14">
        <v>1.11668E-5</v>
      </c>
      <c r="V602" s="41"/>
      <c r="W602" s="39">
        <f t="shared" si="68"/>
        <v>0</v>
      </c>
    </row>
    <row r="603" spans="1:29" ht="13" thickBot="1" x14ac:dyDescent="0.3">
      <c r="A603" s="7" t="s">
        <v>33</v>
      </c>
      <c r="B603" s="19" t="s">
        <v>20</v>
      </c>
      <c r="C603" s="20" t="s">
        <v>18</v>
      </c>
      <c r="D603" s="21">
        <v>0</v>
      </c>
      <c r="E603" s="21">
        <v>0</v>
      </c>
      <c r="F603" s="21">
        <v>0</v>
      </c>
      <c r="G603" s="21">
        <v>0</v>
      </c>
      <c r="H603" s="22">
        <v>0</v>
      </c>
      <c r="I603" s="23">
        <v>0</v>
      </c>
      <c r="J603" s="21">
        <v>0</v>
      </c>
      <c r="K603" s="21">
        <v>0</v>
      </c>
      <c r="L603" s="21">
        <v>0</v>
      </c>
      <c r="M603" s="21">
        <v>0</v>
      </c>
      <c r="N603" s="21">
        <v>0</v>
      </c>
      <c r="O603" s="21">
        <v>0</v>
      </c>
      <c r="P603" s="21">
        <v>0</v>
      </c>
      <c r="Q603" s="21">
        <v>0</v>
      </c>
      <c r="R603" s="21">
        <v>0</v>
      </c>
      <c r="S603" s="21">
        <v>0</v>
      </c>
      <c r="T603" s="24">
        <v>0</v>
      </c>
      <c r="U603" s="14">
        <v>1.11668E-5</v>
      </c>
      <c r="V603" s="44"/>
      <c r="W603" s="39">
        <f t="shared" si="68"/>
        <v>0</v>
      </c>
    </row>
    <row r="604" spans="1:29" ht="13" thickBot="1" x14ac:dyDescent="0.3">
      <c r="A604" s="7" t="s">
        <v>33</v>
      </c>
      <c r="B604" s="25" t="s">
        <v>12</v>
      </c>
      <c r="C604" s="26" t="s">
        <v>18</v>
      </c>
      <c r="D604" s="27">
        <v>252</v>
      </c>
      <c r="E604" s="27">
        <v>1</v>
      </c>
      <c r="F604" s="27">
        <v>0</v>
      </c>
      <c r="G604" s="27">
        <v>16914</v>
      </c>
      <c r="H604" s="28">
        <v>17167</v>
      </c>
      <c r="I604" s="29">
        <v>0</v>
      </c>
      <c r="J604" s="27">
        <v>0</v>
      </c>
      <c r="K604" s="27">
        <v>0</v>
      </c>
      <c r="L604" s="27">
        <v>0</v>
      </c>
      <c r="M604" s="27">
        <v>0</v>
      </c>
      <c r="N604" s="27">
        <v>0</v>
      </c>
      <c r="O604" s="27">
        <v>0</v>
      </c>
      <c r="P604" s="27">
        <v>0</v>
      </c>
      <c r="Q604" s="27">
        <v>0</v>
      </c>
      <c r="R604" s="27">
        <v>0</v>
      </c>
      <c r="S604" s="27">
        <v>0</v>
      </c>
      <c r="T604" s="29">
        <v>0</v>
      </c>
      <c r="U604" s="14">
        <v>1.11668E-5</v>
      </c>
      <c r="V604" s="43">
        <f>SUM(I599:T602)/SUM(H599:H602)</f>
        <v>0</v>
      </c>
      <c r="W604" s="39">
        <f t="shared" si="68"/>
        <v>0</v>
      </c>
      <c r="X604" s="35">
        <f>W602+W599</f>
        <v>0</v>
      </c>
      <c r="Y604" s="35">
        <f>W597</f>
        <v>0</v>
      </c>
    </row>
    <row r="605" spans="1:29" x14ac:dyDescent="0.25">
      <c r="A605" s="7" t="s">
        <v>33</v>
      </c>
      <c r="B605" s="8" t="s">
        <v>17</v>
      </c>
      <c r="C605" s="9" t="s">
        <v>21</v>
      </c>
      <c r="D605" s="10">
        <v>0</v>
      </c>
      <c r="E605" s="10">
        <v>0</v>
      </c>
      <c r="F605" s="10">
        <v>0</v>
      </c>
      <c r="G605" s="10">
        <v>0</v>
      </c>
      <c r="H605" s="11">
        <v>0</v>
      </c>
      <c r="I605" s="12">
        <v>0</v>
      </c>
      <c r="J605" s="10">
        <v>0</v>
      </c>
      <c r="K605" s="10">
        <v>0</v>
      </c>
      <c r="L605" s="10">
        <v>0</v>
      </c>
      <c r="M605" s="10">
        <v>0</v>
      </c>
      <c r="N605" s="10">
        <v>0</v>
      </c>
      <c r="O605" s="10">
        <v>0</v>
      </c>
      <c r="P605" s="10">
        <v>0</v>
      </c>
      <c r="Q605" s="10">
        <v>0</v>
      </c>
      <c r="R605" s="10">
        <v>0</v>
      </c>
      <c r="S605" s="10">
        <v>0</v>
      </c>
      <c r="T605" s="13">
        <v>0</v>
      </c>
      <c r="U605" s="14">
        <v>1</v>
      </c>
      <c r="W605" s="39">
        <f t="shared" si="68"/>
        <v>0</v>
      </c>
      <c r="AB605" s="37" t="str">
        <f t="shared" ref="AB605:AB611" si="75">B605</f>
        <v>Parts-OTC</v>
      </c>
      <c r="AC605" s="36">
        <f t="shared" ref="AC605:AC611" si="76">I605*U605</f>
        <v>0</v>
      </c>
    </row>
    <row r="606" spans="1:29" x14ac:dyDescent="0.25">
      <c r="A606" s="7" t="s">
        <v>33</v>
      </c>
      <c r="B606" s="15" t="s">
        <v>66</v>
      </c>
      <c r="C606" s="7" t="s">
        <v>21</v>
      </c>
      <c r="D606" s="14">
        <v>0</v>
      </c>
      <c r="E606" s="14">
        <v>0</v>
      </c>
      <c r="F606" s="14">
        <v>0</v>
      </c>
      <c r="G606" s="14">
        <v>0</v>
      </c>
      <c r="H606" s="16">
        <v>5</v>
      </c>
      <c r="I606" s="17">
        <v>0</v>
      </c>
      <c r="J606" s="14">
        <v>5</v>
      </c>
      <c r="K606" s="14">
        <v>0</v>
      </c>
      <c r="L606" s="14">
        <v>0</v>
      </c>
      <c r="M606" s="14">
        <v>0</v>
      </c>
      <c r="N606" s="14">
        <v>0</v>
      </c>
      <c r="O606" s="14">
        <v>0</v>
      </c>
      <c r="P606" s="14">
        <v>0</v>
      </c>
      <c r="Q606" s="14">
        <v>0</v>
      </c>
      <c r="R606" s="14">
        <v>0</v>
      </c>
      <c r="S606" s="14">
        <v>0</v>
      </c>
      <c r="T606" s="18">
        <v>0</v>
      </c>
      <c r="U606" s="14">
        <v>1</v>
      </c>
      <c r="W606" s="39">
        <f t="shared" si="68"/>
        <v>5</v>
      </c>
      <c r="AB606" s="37" t="str">
        <f t="shared" si="75"/>
        <v>CTKS</v>
      </c>
      <c r="AC606" s="36">
        <f t="shared" si="76"/>
        <v>0</v>
      </c>
    </row>
    <row r="607" spans="1:29" x14ac:dyDescent="0.25">
      <c r="A607" s="7" t="s">
        <v>33</v>
      </c>
      <c r="B607" s="15" t="s">
        <v>13</v>
      </c>
      <c r="C607" s="7" t="s">
        <v>21</v>
      </c>
      <c r="D607" s="14">
        <v>0</v>
      </c>
      <c r="E607" s="14">
        <v>0</v>
      </c>
      <c r="F607" s="14">
        <v>0</v>
      </c>
      <c r="G607" s="14">
        <v>0</v>
      </c>
      <c r="H607" s="16">
        <v>84</v>
      </c>
      <c r="I607" s="33">
        <v>46</v>
      </c>
      <c r="J607" s="34">
        <v>38</v>
      </c>
      <c r="K607" s="34">
        <v>0</v>
      </c>
      <c r="L607" s="14">
        <v>0</v>
      </c>
      <c r="M607" s="14">
        <v>0</v>
      </c>
      <c r="N607" s="14">
        <v>0</v>
      </c>
      <c r="O607" s="14">
        <v>0</v>
      </c>
      <c r="P607" s="14">
        <v>0</v>
      </c>
      <c r="Q607" s="14">
        <v>0</v>
      </c>
      <c r="R607" s="14">
        <v>0</v>
      </c>
      <c r="S607" s="14">
        <v>0</v>
      </c>
      <c r="T607" s="18">
        <v>0</v>
      </c>
      <c r="U607" s="14">
        <v>1</v>
      </c>
      <c r="W607" s="39">
        <f t="shared" si="68"/>
        <v>84</v>
      </c>
      <c r="AB607" s="37" t="str">
        <f t="shared" si="75"/>
        <v>Repair</v>
      </c>
      <c r="AC607" s="36">
        <f t="shared" si="76"/>
        <v>46</v>
      </c>
    </row>
    <row r="608" spans="1:29" x14ac:dyDescent="0.25">
      <c r="A608" s="7" t="s">
        <v>33</v>
      </c>
      <c r="B608" s="15" t="s">
        <v>67</v>
      </c>
      <c r="C608" s="7" t="s">
        <v>21</v>
      </c>
      <c r="D608" s="14">
        <v>0</v>
      </c>
      <c r="E608" s="14">
        <v>0</v>
      </c>
      <c r="F608" s="14">
        <v>0</v>
      </c>
      <c r="G608" s="14">
        <v>0</v>
      </c>
      <c r="H608" s="16">
        <v>0</v>
      </c>
      <c r="I608" s="17">
        <v>0</v>
      </c>
      <c r="J608" s="14">
        <v>0</v>
      </c>
      <c r="K608" s="14">
        <v>0</v>
      </c>
      <c r="L608" s="14">
        <v>0</v>
      </c>
      <c r="M608" s="14">
        <v>0</v>
      </c>
      <c r="N608" s="14">
        <v>0</v>
      </c>
      <c r="O608" s="14">
        <v>0</v>
      </c>
      <c r="P608" s="14">
        <v>0</v>
      </c>
      <c r="Q608" s="14">
        <v>0</v>
      </c>
      <c r="R608" s="14">
        <v>0</v>
      </c>
      <c r="S608" s="14">
        <v>0</v>
      </c>
      <c r="T608" s="18">
        <v>0</v>
      </c>
      <c r="U608" s="14">
        <v>1</v>
      </c>
      <c r="W608" s="39">
        <f t="shared" si="68"/>
        <v>0</v>
      </c>
      <c r="AB608" s="37" t="str">
        <f t="shared" si="75"/>
        <v>Rental</v>
      </c>
      <c r="AC608" s="36">
        <f t="shared" si="76"/>
        <v>0</v>
      </c>
    </row>
    <row r="609" spans="1:29" x14ac:dyDescent="0.25">
      <c r="A609" s="7" t="s">
        <v>33</v>
      </c>
      <c r="B609" s="15" t="s">
        <v>73</v>
      </c>
      <c r="C609" s="7" t="s">
        <v>21</v>
      </c>
      <c r="D609" s="14">
        <v>0</v>
      </c>
      <c r="E609" s="14">
        <v>0</v>
      </c>
      <c r="F609" s="14">
        <v>0</v>
      </c>
      <c r="G609" s="14">
        <v>0</v>
      </c>
      <c r="H609" s="16">
        <v>101</v>
      </c>
      <c r="I609" s="17">
        <v>27</v>
      </c>
      <c r="J609" s="14">
        <v>74</v>
      </c>
      <c r="K609" s="14">
        <v>0</v>
      </c>
      <c r="L609" s="14">
        <v>0</v>
      </c>
      <c r="M609" s="14">
        <v>0</v>
      </c>
      <c r="N609" s="14">
        <v>0</v>
      </c>
      <c r="O609" s="14">
        <v>0</v>
      </c>
      <c r="P609" s="14">
        <v>0</v>
      </c>
      <c r="Q609" s="14">
        <v>0</v>
      </c>
      <c r="R609" s="14">
        <v>0</v>
      </c>
      <c r="S609" s="14">
        <v>0</v>
      </c>
      <c r="T609" s="18">
        <v>0</v>
      </c>
      <c r="U609" s="14">
        <v>1</v>
      </c>
      <c r="W609" s="39">
        <f t="shared" si="68"/>
        <v>101</v>
      </c>
      <c r="AB609" s="37"/>
    </row>
    <row r="610" spans="1:29" x14ac:dyDescent="0.25">
      <c r="A610" s="7" t="s">
        <v>33</v>
      </c>
      <c r="B610" s="15" t="s">
        <v>19</v>
      </c>
      <c r="C610" s="7" t="s">
        <v>21</v>
      </c>
      <c r="D610" s="14">
        <v>0</v>
      </c>
      <c r="E610" s="14">
        <v>0</v>
      </c>
      <c r="F610" s="14">
        <v>0</v>
      </c>
      <c r="G610" s="14">
        <v>0</v>
      </c>
      <c r="H610" s="16">
        <v>77</v>
      </c>
      <c r="I610" s="17">
        <v>9</v>
      </c>
      <c r="J610" s="14">
        <v>0</v>
      </c>
      <c r="K610" s="14">
        <v>17</v>
      </c>
      <c r="L610" s="14">
        <v>13</v>
      </c>
      <c r="M610" s="14">
        <v>8</v>
      </c>
      <c r="N610" s="14">
        <v>5</v>
      </c>
      <c r="O610" s="14">
        <v>1</v>
      </c>
      <c r="P610" s="14">
        <v>0</v>
      </c>
      <c r="Q610" s="14">
        <v>0</v>
      </c>
      <c r="R610" s="14">
        <v>4</v>
      </c>
      <c r="S610" s="14">
        <v>12</v>
      </c>
      <c r="T610" s="18">
        <v>8</v>
      </c>
      <c r="U610" s="14">
        <v>1</v>
      </c>
      <c r="W610" s="39">
        <f t="shared" si="68"/>
        <v>77</v>
      </c>
      <c r="AB610" s="37" t="str">
        <f t="shared" si="75"/>
        <v>Maintenance</v>
      </c>
      <c r="AC610" s="36">
        <f t="shared" si="76"/>
        <v>9</v>
      </c>
    </row>
    <row r="611" spans="1:29" ht="13" thickBot="1" x14ac:dyDescent="0.3">
      <c r="A611" s="7" t="s">
        <v>33</v>
      </c>
      <c r="B611" s="19" t="s">
        <v>20</v>
      </c>
      <c r="C611" s="20" t="s">
        <v>21</v>
      </c>
      <c r="D611" s="21">
        <v>0</v>
      </c>
      <c r="E611" s="21">
        <v>0</v>
      </c>
      <c r="F611" s="21">
        <v>0</v>
      </c>
      <c r="G611" s="21">
        <v>0</v>
      </c>
      <c r="H611" s="22">
        <v>12</v>
      </c>
      <c r="I611" s="23">
        <v>1</v>
      </c>
      <c r="J611" s="21">
        <v>4</v>
      </c>
      <c r="K611" s="21">
        <v>2</v>
      </c>
      <c r="L611" s="21">
        <v>0</v>
      </c>
      <c r="M611" s="21">
        <v>0</v>
      </c>
      <c r="N611" s="21">
        <v>0</v>
      </c>
      <c r="O611" s="21">
        <v>0</v>
      </c>
      <c r="P611" s="21">
        <v>5</v>
      </c>
      <c r="Q611" s="21">
        <v>0</v>
      </c>
      <c r="R611" s="21">
        <v>0</v>
      </c>
      <c r="S611" s="21">
        <v>0</v>
      </c>
      <c r="T611" s="24">
        <v>0</v>
      </c>
      <c r="U611" s="14">
        <v>1</v>
      </c>
      <c r="W611" s="39">
        <f t="shared" si="68"/>
        <v>12</v>
      </c>
      <c r="AB611" s="37" t="str">
        <f t="shared" si="75"/>
        <v>Startup</v>
      </c>
      <c r="AC611" s="36">
        <f t="shared" si="76"/>
        <v>1</v>
      </c>
    </row>
    <row r="612" spans="1:29" ht="13" thickBot="1" x14ac:dyDescent="0.3">
      <c r="A612" s="7" t="s">
        <v>33</v>
      </c>
      <c r="B612" s="136" t="s">
        <v>12</v>
      </c>
      <c r="C612" s="26" t="s">
        <v>21</v>
      </c>
      <c r="D612" s="27">
        <v>0</v>
      </c>
      <c r="E612" s="27">
        <v>0</v>
      </c>
      <c r="F612" s="27">
        <v>0</v>
      </c>
      <c r="G612" s="27">
        <v>0</v>
      </c>
      <c r="H612" s="28">
        <v>279</v>
      </c>
      <c r="I612" s="29">
        <v>83</v>
      </c>
      <c r="J612" s="27">
        <v>121</v>
      </c>
      <c r="K612" s="27">
        <v>19</v>
      </c>
      <c r="L612" s="27">
        <v>13</v>
      </c>
      <c r="M612" s="27">
        <v>8</v>
      </c>
      <c r="N612" s="27">
        <v>5</v>
      </c>
      <c r="O612" s="27">
        <v>1</v>
      </c>
      <c r="P612" s="27">
        <v>5</v>
      </c>
      <c r="Q612" s="27">
        <v>0</v>
      </c>
      <c r="R612" s="27">
        <v>4</v>
      </c>
      <c r="S612" s="27">
        <v>12</v>
      </c>
      <c r="T612" s="29">
        <v>8</v>
      </c>
      <c r="U612" s="14">
        <v>1</v>
      </c>
      <c r="W612" s="39">
        <f t="shared" ref="W612:W692" si="77">SUM(I612:T612)*U612</f>
        <v>279</v>
      </c>
      <c r="X612" s="35">
        <f>W611+W610+W607</f>
        <v>173</v>
      </c>
      <c r="Y612" s="35">
        <f>W605</f>
        <v>0</v>
      </c>
      <c r="Z612" s="40">
        <f>V603/X612</f>
        <v>0</v>
      </c>
      <c r="AA612" s="40">
        <f>IF((Y612=0),0,Y604/Y612)</f>
        <v>0</v>
      </c>
      <c r="AB612" s="48"/>
      <c r="AC612" s="48"/>
    </row>
    <row r="613" spans="1:29" ht="13" thickBot="1" x14ac:dyDescent="0.3">
      <c r="A613" s="9" t="s">
        <v>93</v>
      </c>
      <c r="B613" s="30" t="s">
        <v>15</v>
      </c>
      <c r="C613" s="31" t="s">
        <v>94</v>
      </c>
      <c r="D613" s="32" t="s">
        <v>47</v>
      </c>
      <c r="E613" s="53" t="s">
        <v>116</v>
      </c>
      <c r="F613" s="53" t="s">
        <v>117</v>
      </c>
      <c r="G613" s="53" t="s">
        <v>118</v>
      </c>
      <c r="H613" s="28" t="s">
        <v>12</v>
      </c>
      <c r="I613" s="54" t="s">
        <v>119</v>
      </c>
      <c r="J613" s="53" t="s">
        <v>174</v>
      </c>
      <c r="K613" s="53" t="s">
        <v>175</v>
      </c>
      <c r="L613" s="53" t="s">
        <v>99</v>
      </c>
      <c r="M613" s="53" t="s">
        <v>100</v>
      </c>
      <c r="N613" s="53" t="s">
        <v>101</v>
      </c>
      <c r="O613" s="53" t="s">
        <v>102</v>
      </c>
      <c r="P613" s="53" t="s">
        <v>103</v>
      </c>
      <c r="Q613" s="53" t="s">
        <v>104</v>
      </c>
      <c r="R613" s="53" t="s">
        <v>105</v>
      </c>
      <c r="S613" s="53" t="s">
        <v>106</v>
      </c>
      <c r="T613" s="55" t="s">
        <v>107</v>
      </c>
      <c r="U613" s="14">
        <v>1</v>
      </c>
      <c r="V613" s="14" t="s">
        <v>183</v>
      </c>
      <c r="W613" s="35"/>
      <c r="X613" s="14" t="s">
        <v>37</v>
      </c>
      <c r="Y613" s="14" t="s">
        <v>38</v>
      </c>
      <c r="AB613" s="48"/>
      <c r="AC613" s="48"/>
    </row>
    <row r="614" spans="1:29" x14ac:dyDescent="0.25">
      <c r="A614" s="7" t="s">
        <v>93</v>
      </c>
      <c r="B614" s="8" t="s">
        <v>17</v>
      </c>
      <c r="C614" s="9" t="s">
        <v>18</v>
      </c>
      <c r="D614" s="10">
        <v>0</v>
      </c>
      <c r="E614" s="10">
        <v>0</v>
      </c>
      <c r="F614" s="10">
        <v>0</v>
      </c>
      <c r="G614" s="10">
        <v>0</v>
      </c>
      <c r="H614" s="11">
        <v>1539</v>
      </c>
      <c r="I614" s="12">
        <v>1105</v>
      </c>
      <c r="J614" s="10">
        <v>202</v>
      </c>
      <c r="K614" s="10">
        <v>0</v>
      </c>
      <c r="L614" s="10">
        <v>232</v>
      </c>
      <c r="M614" s="10">
        <v>0</v>
      </c>
      <c r="N614" s="10">
        <v>0</v>
      </c>
      <c r="O614" s="10">
        <v>0</v>
      </c>
      <c r="P614" s="10">
        <v>0</v>
      </c>
      <c r="Q614" s="10">
        <v>0</v>
      </c>
      <c r="R614" s="10">
        <v>0</v>
      </c>
      <c r="S614" s="10">
        <v>0</v>
      </c>
      <c r="T614" s="13">
        <v>0</v>
      </c>
      <c r="U614" s="14">
        <v>1</v>
      </c>
      <c r="V614" s="42">
        <f>SUM(I614:T614)/H614</f>
        <v>1</v>
      </c>
      <c r="W614" s="39">
        <f>SUM(I614:T614)*U614</f>
        <v>1539</v>
      </c>
    </row>
    <row r="615" spans="1:29" x14ac:dyDescent="0.25">
      <c r="A615" s="7" t="s">
        <v>93</v>
      </c>
      <c r="B615" s="15" t="s">
        <v>66</v>
      </c>
      <c r="C615" s="7" t="s">
        <v>18</v>
      </c>
      <c r="D615" s="14">
        <v>0</v>
      </c>
      <c r="E615" s="14">
        <v>0</v>
      </c>
      <c r="F615" s="14">
        <v>0</v>
      </c>
      <c r="G615" s="14">
        <v>0</v>
      </c>
      <c r="H615" s="16">
        <v>0</v>
      </c>
      <c r="I615" s="17">
        <v>0</v>
      </c>
      <c r="J615" s="14">
        <v>0</v>
      </c>
      <c r="K615" s="14">
        <v>0</v>
      </c>
      <c r="L615" s="14">
        <v>0</v>
      </c>
      <c r="M615" s="14">
        <v>0</v>
      </c>
      <c r="N615" s="14">
        <v>0</v>
      </c>
      <c r="O615" s="14">
        <v>0</v>
      </c>
      <c r="P615" s="14">
        <v>0</v>
      </c>
      <c r="Q615" s="14">
        <v>0</v>
      </c>
      <c r="R615" s="14">
        <v>0</v>
      </c>
      <c r="S615" s="14">
        <v>0</v>
      </c>
      <c r="T615" s="18">
        <v>0</v>
      </c>
      <c r="U615" s="14">
        <v>1</v>
      </c>
      <c r="V615" s="44"/>
      <c r="W615" s="39">
        <f t="shared" ref="W615:W621" si="78">SUM(I615:T615)*U615</f>
        <v>0</v>
      </c>
    </row>
    <row r="616" spans="1:29" x14ac:dyDescent="0.25">
      <c r="A616" s="7" t="s">
        <v>93</v>
      </c>
      <c r="B616" s="15" t="s">
        <v>13</v>
      </c>
      <c r="C616" s="7" t="s">
        <v>18</v>
      </c>
      <c r="D616" s="14">
        <v>0</v>
      </c>
      <c r="E616" s="14">
        <v>0</v>
      </c>
      <c r="F616" s="14">
        <v>0</v>
      </c>
      <c r="G616" s="14">
        <v>0</v>
      </c>
      <c r="H616" s="16">
        <v>203</v>
      </c>
      <c r="I616" s="17">
        <v>203</v>
      </c>
      <c r="J616" s="14">
        <v>0</v>
      </c>
      <c r="K616" s="14">
        <v>0</v>
      </c>
      <c r="L616" s="14">
        <v>0</v>
      </c>
      <c r="M616" s="14">
        <v>0</v>
      </c>
      <c r="N616" s="14">
        <v>0</v>
      </c>
      <c r="O616" s="14">
        <v>0</v>
      </c>
      <c r="P616" s="14">
        <v>0</v>
      </c>
      <c r="Q616" s="14">
        <v>0</v>
      </c>
      <c r="R616" s="14">
        <v>0</v>
      </c>
      <c r="S616" s="14">
        <v>0</v>
      </c>
      <c r="T616" s="18">
        <v>0</v>
      </c>
      <c r="U616" s="14">
        <v>1</v>
      </c>
      <c r="V616" s="41"/>
      <c r="W616" s="39">
        <f t="shared" si="78"/>
        <v>203</v>
      </c>
    </row>
    <row r="617" spans="1:29" x14ac:dyDescent="0.25">
      <c r="A617" s="7" t="s">
        <v>93</v>
      </c>
      <c r="B617" s="15" t="s">
        <v>67</v>
      </c>
      <c r="C617" s="7" t="s">
        <v>18</v>
      </c>
      <c r="D617" s="14">
        <v>0</v>
      </c>
      <c r="E617" s="14">
        <v>0</v>
      </c>
      <c r="F617" s="14">
        <v>0</v>
      </c>
      <c r="G617" s="14">
        <v>0</v>
      </c>
      <c r="H617" s="16">
        <v>1452</v>
      </c>
      <c r="I617" s="17">
        <v>772</v>
      </c>
      <c r="J617" s="14">
        <v>681</v>
      </c>
      <c r="K617" s="14">
        <v>0</v>
      </c>
      <c r="L617" s="14">
        <v>0</v>
      </c>
      <c r="M617" s="14">
        <v>0</v>
      </c>
      <c r="N617" s="14">
        <v>0</v>
      </c>
      <c r="O617" s="14">
        <v>0</v>
      </c>
      <c r="P617" s="14">
        <v>0</v>
      </c>
      <c r="Q617" s="14">
        <v>0</v>
      </c>
      <c r="R617" s="14">
        <v>0</v>
      </c>
      <c r="S617" s="14">
        <v>0</v>
      </c>
      <c r="T617" s="18">
        <v>0</v>
      </c>
      <c r="U617" s="14">
        <v>1</v>
      </c>
      <c r="V617" s="41"/>
      <c r="W617" s="39">
        <f t="shared" si="78"/>
        <v>1453</v>
      </c>
    </row>
    <row r="618" spans="1:29" x14ac:dyDescent="0.25">
      <c r="A618" s="7" t="s">
        <v>93</v>
      </c>
      <c r="B618" s="15" t="s">
        <v>73</v>
      </c>
      <c r="C618" s="7" t="s">
        <v>18</v>
      </c>
      <c r="D618" s="14">
        <v>0</v>
      </c>
      <c r="E618" s="14">
        <v>0</v>
      </c>
      <c r="F618" s="14">
        <v>0</v>
      </c>
      <c r="G618" s="14">
        <v>0</v>
      </c>
      <c r="H618" s="16">
        <v>2348</v>
      </c>
      <c r="I618" s="17">
        <v>0</v>
      </c>
      <c r="J618" s="14">
        <v>1606</v>
      </c>
      <c r="K618" s="14">
        <v>0</v>
      </c>
      <c r="L618" s="14">
        <v>0</v>
      </c>
      <c r="M618" s="14">
        <v>0</v>
      </c>
      <c r="N618" s="14">
        <v>0</v>
      </c>
      <c r="O618" s="14">
        <v>742</v>
      </c>
      <c r="P618" s="14">
        <v>0</v>
      </c>
      <c r="Q618" s="14">
        <v>0</v>
      </c>
      <c r="R618" s="14">
        <v>0</v>
      </c>
      <c r="S618" s="14">
        <v>0</v>
      </c>
      <c r="T618" s="18">
        <v>0</v>
      </c>
      <c r="U618" s="14">
        <v>1</v>
      </c>
      <c r="V618" s="41"/>
      <c r="W618" s="39">
        <f t="shared" si="78"/>
        <v>2348</v>
      </c>
    </row>
    <row r="619" spans="1:29" x14ac:dyDescent="0.25">
      <c r="A619" s="7" t="s">
        <v>93</v>
      </c>
      <c r="B619" s="15" t="s">
        <v>19</v>
      </c>
      <c r="C619" s="7" t="s">
        <v>18</v>
      </c>
      <c r="D619" s="14">
        <v>0</v>
      </c>
      <c r="E619" s="14">
        <v>0</v>
      </c>
      <c r="F619" s="14">
        <v>0</v>
      </c>
      <c r="G619" s="14">
        <v>697</v>
      </c>
      <c r="H619" s="16">
        <v>1939</v>
      </c>
      <c r="I619" s="17">
        <v>1030</v>
      </c>
      <c r="J619" s="14">
        <v>0</v>
      </c>
      <c r="K619" s="14">
        <v>212</v>
      </c>
      <c r="L619" s="14">
        <v>0</v>
      </c>
      <c r="M619" s="14">
        <v>0</v>
      </c>
      <c r="N619" s="14">
        <v>0</v>
      </c>
      <c r="O619" s="14">
        <v>0</v>
      </c>
      <c r="P619" s="14">
        <v>0</v>
      </c>
      <c r="Q619" s="14">
        <v>0</v>
      </c>
      <c r="R619" s="14">
        <v>0</v>
      </c>
      <c r="S619" s="14">
        <v>0</v>
      </c>
      <c r="T619" s="18">
        <v>0</v>
      </c>
      <c r="U619" s="14">
        <v>1</v>
      </c>
      <c r="V619" s="41"/>
      <c r="W619" s="39">
        <f t="shared" si="78"/>
        <v>1242</v>
      </c>
    </row>
    <row r="620" spans="1:29" ht="13" thickBot="1" x14ac:dyDescent="0.3">
      <c r="A620" s="7" t="s">
        <v>93</v>
      </c>
      <c r="B620" s="19" t="s">
        <v>20</v>
      </c>
      <c r="C620" s="20" t="s">
        <v>18</v>
      </c>
      <c r="D620" s="21">
        <v>0</v>
      </c>
      <c r="E620" s="21">
        <v>0</v>
      </c>
      <c r="F620" s="21">
        <v>0</v>
      </c>
      <c r="G620" s="21">
        <v>0</v>
      </c>
      <c r="H620" s="22">
        <v>51</v>
      </c>
      <c r="I620" s="23">
        <v>51</v>
      </c>
      <c r="J620" s="21">
        <v>0</v>
      </c>
      <c r="K620" s="21">
        <v>0</v>
      </c>
      <c r="L620" s="21">
        <v>0</v>
      </c>
      <c r="M620" s="21">
        <v>0</v>
      </c>
      <c r="N620" s="21">
        <v>0</v>
      </c>
      <c r="O620" s="21">
        <v>0</v>
      </c>
      <c r="P620" s="21">
        <v>0</v>
      </c>
      <c r="Q620" s="21">
        <v>0</v>
      </c>
      <c r="R620" s="21">
        <v>0</v>
      </c>
      <c r="S620" s="21">
        <v>0</v>
      </c>
      <c r="T620" s="24">
        <v>0</v>
      </c>
      <c r="U620" s="14">
        <v>1</v>
      </c>
      <c r="V620" s="44"/>
      <c r="W620" s="39">
        <f t="shared" si="78"/>
        <v>51</v>
      </c>
    </row>
    <row r="621" spans="1:29" ht="13" thickBot="1" x14ac:dyDescent="0.3">
      <c r="A621" s="7" t="s">
        <v>93</v>
      </c>
      <c r="B621" s="25" t="s">
        <v>12</v>
      </c>
      <c r="C621" s="26" t="s">
        <v>18</v>
      </c>
      <c r="D621" s="27">
        <v>0</v>
      </c>
      <c r="E621" s="27">
        <v>0</v>
      </c>
      <c r="F621" s="27">
        <v>0</v>
      </c>
      <c r="G621" s="27">
        <v>697</v>
      </c>
      <c r="H621" s="28">
        <v>7532</v>
      </c>
      <c r="I621" s="29">
        <v>3161</v>
      </c>
      <c r="J621" s="27">
        <v>2489</v>
      </c>
      <c r="K621" s="27">
        <v>212</v>
      </c>
      <c r="L621" s="27">
        <v>232</v>
      </c>
      <c r="M621" s="27">
        <v>0</v>
      </c>
      <c r="N621" s="27">
        <v>0</v>
      </c>
      <c r="O621" s="27">
        <v>742</v>
      </c>
      <c r="P621" s="27">
        <v>0</v>
      </c>
      <c r="Q621" s="27">
        <v>0</v>
      </c>
      <c r="R621" s="27">
        <v>0</v>
      </c>
      <c r="S621" s="27">
        <v>0</v>
      </c>
      <c r="T621" s="29">
        <v>0</v>
      </c>
      <c r="U621" s="14">
        <v>1</v>
      </c>
      <c r="V621" s="43">
        <f>SUM(I616:T619)/SUM(H616:H619)</f>
        <v>0.88286772130595759</v>
      </c>
      <c r="W621" s="39">
        <f t="shared" si="78"/>
        <v>6836</v>
      </c>
      <c r="X621" s="35">
        <f>W619+W616</f>
        <v>1445</v>
      </c>
      <c r="Y621" s="35">
        <f>W614</f>
        <v>1539</v>
      </c>
    </row>
    <row r="622" spans="1:29" x14ac:dyDescent="0.25">
      <c r="A622" s="7" t="s">
        <v>93</v>
      </c>
      <c r="B622" s="8" t="s">
        <v>17</v>
      </c>
      <c r="C622" s="9" t="s">
        <v>21</v>
      </c>
      <c r="D622" s="10">
        <v>0</v>
      </c>
      <c r="E622" s="10">
        <v>0</v>
      </c>
      <c r="F622" s="10">
        <v>0</v>
      </c>
      <c r="G622" s="10">
        <v>0</v>
      </c>
      <c r="H622" s="11">
        <v>303</v>
      </c>
      <c r="I622" s="12">
        <v>303</v>
      </c>
      <c r="J622" s="10">
        <v>0</v>
      </c>
      <c r="K622" s="10">
        <v>0</v>
      </c>
      <c r="L622" s="10">
        <v>0</v>
      </c>
      <c r="M622" s="10">
        <v>0</v>
      </c>
      <c r="N622" s="10">
        <v>0</v>
      </c>
      <c r="O622" s="10">
        <v>0</v>
      </c>
      <c r="P622" s="10">
        <v>0</v>
      </c>
      <c r="Q622" s="10">
        <v>0</v>
      </c>
      <c r="R622" s="10">
        <v>0</v>
      </c>
      <c r="S622" s="10">
        <v>0</v>
      </c>
      <c r="T622" s="13">
        <v>0</v>
      </c>
      <c r="U622" s="14">
        <v>1</v>
      </c>
      <c r="W622" s="38">
        <f t="shared" ref="W622:W629" si="79">H622*U622</f>
        <v>303</v>
      </c>
      <c r="AB622" s="37" t="str">
        <f t="shared" ref="AB622:AB625" si="80">B622</f>
        <v>Parts-OTC</v>
      </c>
      <c r="AC622" s="36">
        <f t="shared" ref="AC622:AC625" si="81">I622*U622</f>
        <v>303</v>
      </c>
    </row>
    <row r="623" spans="1:29" x14ac:dyDescent="0.25">
      <c r="A623" s="7" t="s">
        <v>93</v>
      </c>
      <c r="B623" s="15" t="s">
        <v>66</v>
      </c>
      <c r="C623" s="7" t="s">
        <v>21</v>
      </c>
      <c r="D623" s="14">
        <v>0</v>
      </c>
      <c r="E623" s="14">
        <v>0</v>
      </c>
      <c r="F623" s="14">
        <v>0</v>
      </c>
      <c r="G623" s="14">
        <v>0</v>
      </c>
      <c r="H623" s="16">
        <v>3</v>
      </c>
      <c r="I623" s="17">
        <v>3</v>
      </c>
      <c r="J623" s="14">
        <v>0</v>
      </c>
      <c r="K623" s="14">
        <v>0</v>
      </c>
      <c r="L623" s="14">
        <v>0</v>
      </c>
      <c r="M623" s="14">
        <v>0</v>
      </c>
      <c r="N623" s="14">
        <v>0</v>
      </c>
      <c r="O623" s="14">
        <v>0</v>
      </c>
      <c r="P623" s="14">
        <v>0</v>
      </c>
      <c r="Q623" s="14">
        <v>0</v>
      </c>
      <c r="R623" s="14">
        <v>0</v>
      </c>
      <c r="S623" s="14">
        <v>0</v>
      </c>
      <c r="T623" s="18">
        <v>0</v>
      </c>
      <c r="U623" s="14">
        <v>1</v>
      </c>
      <c r="W623" s="38">
        <f t="shared" si="79"/>
        <v>3</v>
      </c>
      <c r="AB623" s="37" t="str">
        <f t="shared" si="80"/>
        <v>CTKS</v>
      </c>
      <c r="AC623" s="36">
        <f t="shared" si="81"/>
        <v>3</v>
      </c>
    </row>
    <row r="624" spans="1:29" x14ac:dyDescent="0.25">
      <c r="A624" s="7" t="s">
        <v>93</v>
      </c>
      <c r="B624" s="15" t="s">
        <v>13</v>
      </c>
      <c r="C624" s="7" t="s">
        <v>21</v>
      </c>
      <c r="D624" s="14">
        <v>0</v>
      </c>
      <c r="E624" s="14">
        <v>0</v>
      </c>
      <c r="F624" s="14">
        <v>0</v>
      </c>
      <c r="G624" s="14">
        <v>0</v>
      </c>
      <c r="H624" s="16">
        <v>70</v>
      </c>
      <c r="I624" s="33">
        <v>70</v>
      </c>
      <c r="J624" s="34">
        <v>0</v>
      </c>
      <c r="K624" s="34">
        <v>0</v>
      </c>
      <c r="L624" s="14">
        <v>0</v>
      </c>
      <c r="M624" s="14">
        <v>0</v>
      </c>
      <c r="N624" s="14">
        <v>0</v>
      </c>
      <c r="O624" s="14">
        <v>0</v>
      </c>
      <c r="P624" s="14">
        <v>0</v>
      </c>
      <c r="Q624" s="14">
        <v>0</v>
      </c>
      <c r="R624" s="14">
        <v>0</v>
      </c>
      <c r="S624" s="14">
        <v>0</v>
      </c>
      <c r="T624" s="18">
        <v>0</v>
      </c>
      <c r="U624" s="14">
        <v>1</v>
      </c>
      <c r="W624" s="38">
        <f t="shared" si="79"/>
        <v>70</v>
      </c>
      <c r="AB624" s="37" t="str">
        <f t="shared" si="80"/>
        <v>Repair</v>
      </c>
      <c r="AC624" s="36">
        <f t="shared" si="81"/>
        <v>70</v>
      </c>
    </row>
    <row r="625" spans="1:29" x14ac:dyDescent="0.25">
      <c r="A625" s="7" t="s">
        <v>93</v>
      </c>
      <c r="B625" s="15" t="s">
        <v>67</v>
      </c>
      <c r="C625" s="7" t="s">
        <v>21</v>
      </c>
      <c r="D625" s="14">
        <v>0</v>
      </c>
      <c r="E625" s="14">
        <v>0</v>
      </c>
      <c r="F625" s="14">
        <v>0</v>
      </c>
      <c r="G625" s="14">
        <v>0</v>
      </c>
      <c r="H625" s="16">
        <v>155</v>
      </c>
      <c r="I625" s="17">
        <v>55</v>
      </c>
      <c r="J625" s="14">
        <v>50</v>
      </c>
      <c r="K625" s="14">
        <v>50</v>
      </c>
      <c r="L625" s="14">
        <v>0</v>
      </c>
      <c r="M625" s="14">
        <v>0</v>
      </c>
      <c r="N625" s="14">
        <v>0</v>
      </c>
      <c r="O625" s="14">
        <v>0</v>
      </c>
      <c r="P625" s="14">
        <v>0</v>
      </c>
      <c r="Q625" s="14">
        <v>0</v>
      </c>
      <c r="R625" s="14">
        <v>0</v>
      </c>
      <c r="S625" s="14">
        <v>0</v>
      </c>
      <c r="T625" s="18">
        <v>0</v>
      </c>
      <c r="U625" s="14">
        <v>1</v>
      </c>
      <c r="W625" s="38">
        <f t="shared" si="79"/>
        <v>155</v>
      </c>
      <c r="AB625" s="37" t="str">
        <f t="shared" si="80"/>
        <v>Rental</v>
      </c>
      <c r="AC625" s="36">
        <f t="shared" si="81"/>
        <v>55</v>
      </c>
    </row>
    <row r="626" spans="1:29" x14ac:dyDescent="0.25">
      <c r="A626" s="7" t="s">
        <v>93</v>
      </c>
      <c r="B626" s="15" t="s">
        <v>73</v>
      </c>
      <c r="C626" s="7" t="s">
        <v>21</v>
      </c>
      <c r="D626" s="14">
        <v>0</v>
      </c>
      <c r="E626" s="14">
        <v>0</v>
      </c>
      <c r="F626" s="14">
        <v>0</v>
      </c>
      <c r="G626" s="14">
        <v>0</v>
      </c>
      <c r="H626" s="16">
        <v>279</v>
      </c>
      <c r="I626" s="17">
        <v>279</v>
      </c>
      <c r="J626" s="14">
        <v>0</v>
      </c>
      <c r="K626" s="14">
        <v>0</v>
      </c>
      <c r="L626" s="14">
        <v>0</v>
      </c>
      <c r="M626" s="14">
        <v>0</v>
      </c>
      <c r="N626" s="14">
        <v>0</v>
      </c>
      <c r="O626" s="14">
        <v>0</v>
      </c>
      <c r="P626" s="14">
        <v>0</v>
      </c>
      <c r="Q626" s="14">
        <v>0</v>
      </c>
      <c r="R626" s="14">
        <v>0</v>
      </c>
      <c r="S626" s="14">
        <v>0</v>
      </c>
      <c r="T626" s="18">
        <v>0</v>
      </c>
      <c r="U626" s="14">
        <v>1</v>
      </c>
      <c r="W626" s="38">
        <f t="shared" si="79"/>
        <v>279</v>
      </c>
      <c r="AB626" s="37"/>
    </row>
    <row r="627" spans="1:29" x14ac:dyDescent="0.25">
      <c r="A627" s="7" t="s">
        <v>93</v>
      </c>
      <c r="B627" s="15" t="s">
        <v>19</v>
      </c>
      <c r="C627" s="7" t="s">
        <v>21</v>
      </c>
      <c r="D627" s="14">
        <v>0</v>
      </c>
      <c r="E627" s="14">
        <v>0</v>
      </c>
      <c r="F627" s="14">
        <v>0</v>
      </c>
      <c r="G627" s="14">
        <v>0</v>
      </c>
      <c r="H627" s="16">
        <v>278</v>
      </c>
      <c r="I627" s="17">
        <v>45</v>
      </c>
      <c r="J627" s="14">
        <v>45</v>
      </c>
      <c r="K627" s="14">
        <v>45</v>
      </c>
      <c r="L627" s="14">
        <v>45</v>
      </c>
      <c r="M627" s="14">
        <v>45</v>
      </c>
      <c r="N627" s="14">
        <v>13</v>
      </c>
      <c r="O627" s="14">
        <v>13</v>
      </c>
      <c r="P627" s="14">
        <v>13</v>
      </c>
      <c r="Q627" s="14">
        <v>13</v>
      </c>
      <c r="R627" s="14">
        <v>0</v>
      </c>
      <c r="S627" s="14">
        <v>0</v>
      </c>
      <c r="T627" s="18">
        <v>0</v>
      </c>
      <c r="U627" s="14">
        <v>1</v>
      </c>
      <c r="W627" s="38">
        <f t="shared" si="79"/>
        <v>278</v>
      </c>
      <c r="AB627" s="37" t="str">
        <f t="shared" ref="AB627:AB628" si="82">B627</f>
        <v>Maintenance</v>
      </c>
      <c r="AC627" s="36">
        <f t="shared" ref="AC627:AC628" si="83">I627*U627</f>
        <v>45</v>
      </c>
    </row>
    <row r="628" spans="1:29" ht="13" thickBot="1" x14ac:dyDescent="0.3">
      <c r="A628" s="7" t="s">
        <v>93</v>
      </c>
      <c r="B628" s="19" t="s">
        <v>20</v>
      </c>
      <c r="C628" s="20" t="s">
        <v>21</v>
      </c>
      <c r="D628" s="21">
        <v>0</v>
      </c>
      <c r="E628" s="21">
        <v>0</v>
      </c>
      <c r="F628" s="21">
        <v>0</v>
      </c>
      <c r="G628" s="21">
        <v>0</v>
      </c>
      <c r="H628" s="22">
        <v>217</v>
      </c>
      <c r="I628" s="23">
        <v>217</v>
      </c>
      <c r="J628" s="21">
        <v>0</v>
      </c>
      <c r="K628" s="21">
        <v>0</v>
      </c>
      <c r="L628" s="21">
        <v>0</v>
      </c>
      <c r="M628" s="21">
        <v>0</v>
      </c>
      <c r="N628" s="21">
        <v>0</v>
      </c>
      <c r="O628" s="21">
        <v>0</v>
      </c>
      <c r="P628" s="21">
        <v>0</v>
      </c>
      <c r="Q628" s="21">
        <v>0</v>
      </c>
      <c r="R628" s="21">
        <v>0</v>
      </c>
      <c r="S628" s="21">
        <v>0</v>
      </c>
      <c r="T628" s="24">
        <v>0</v>
      </c>
      <c r="U628" s="14">
        <v>1</v>
      </c>
      <c r="W628" s="38">
        <f t="shared" si="79"/>
        <v>217</v>
      </c>
      <c r="AB628" s="37" t="str">
        <f t="shared" si="82"/>
        <v>Startup</v>
      </c>
      <c r="AC628" s="36">
        <f t="shared" si="83"/>
        <v>217</v>
      </c>
    </row>
    <row r="629" spans="1:29" ht="13" thickBot="1" x14ac:dyDescent="0.3">
      <c r="A629" s="20" t="s">
        <v>93</v>
      </c>
      <c r="B629" s="25" t="s">
        <v>12</v>
      </c>
      <c r="C629" s="26" t="s">
        <v>21</v>
      </c>
      <c r="D629" s="27">
        <v>0</v>
      </c>
      <c r="E629" s="27">
        <v>0</v>
      </c>
      <c r="F629" s="27">
        <v>0</v>
      </c>
      <c r="G629" s="27">
        <v>0</v>
      </c>
      <c r="H629" s="28">
        <v>1305</v>
      </c>
      <c r="I629" s="29">
        <v>972</v>
      </c>
      <c r="J629" s="27">
        <v>95</v>
      </c>
      <c r="K629" s="27">
        <v>95</v>
      </c>
      <c r="L629" s="27">
        <v>45</v>
      </c>
      <c r="M629" s="27">
        <v>45</v>
      </c>
      <c r="N629" s="27">
        <v>13</v>
      </c>
      <c r="O629" s="27">
        <v>13</v>
      </c>
      <c r="P629" s="27">
        <v>13</v>
      </c>
      <c r="Q629" s="27">
        <v>13</v>
      </c>
      <c r="R629" s="27">
        <v>0</v>
      </c>
      <c r="S629" s="27">
        <v>0</v>
      </c>
      <c r="T629" s="29">
        <v>0</v>
      </c>
      <c r="U629" s="14">
        <v>1</v>
      </c>
      <c r="W629" s="38">
        <f t="shared" si="79"/>
        <v>1305</v>
      </c>
      <c r="X629" s="35">
        <f>W628+W627+W624</f>
        <v>565</v>
      </c>
      <c r="Y629" s="35">
        <f>W622</f>
        <v>303</v>
      </c>
      <c r="Z629" s="40">
        <f>V620/X629</f>
        <v>0</v>
      </c>
      <c r="AA629" s="40">
        <f>IF((Y629=0),0,Y621/Y629)</f>
        <v>5.0792079207920793</v>
      </c>
      <c r="AB629" s="48"/>
      <c r="AC629" s="48"/>
    </row>
    <row r="630" spans="1:29" ht="13" thickBot="1" x14ac:dyDescent="0.3">
      <c r="A630" s="9" t="s">
        <v>86</v>
      </c>
      <c r="B630" s="30" t="s">
        <v>15</v>
      </c>
      <c r="C630" s="31" t="s">
        <v>94</v>
      </c>
      <c r="D630" s="32" t="s">
        <v>47</v>
      </c>
      <c r="E630" s="53" t="s">
        <v>116</v>
      </c>
      <c r="F630" s="53" t="s">
        <v>117</v>
      </c>
      <c r="G630" s="53" t="s">
        <v>118</v>
      </c>
      <c r="H630" s="28" t="s">
        <v>12</v>
      </c>
      <c r="I630" s="54" t="s">
        <v>119</v>
      </c>
      <c r="J630" s="53" t="s">
        <v>174</v>
      </c>
      <c r="K630" s="53" t="s">
        <v>175</v>
      </c>
      <c r="L630" s="53" t="s">
        <v>99</v>
      </c>
      <c r="M630" s="53" t="s">
        <v>100</v>
      </c>
      <c r="N630" s="53" t="s">
        <v>101</v>
      </c>
      <c r="O630" s="53" t="s">
        <v>102</v>
      </c>
      <c r="P630" s="53" t="s">
        <v>103</v>
      </c>
      <c r="Q630" s="53" t="s">
        <v>104</v>
      </c>
      <c r="R630" s="53" t="s">
        <v>105</v>
      </c>
      <c r="S630" s="53" t="s">
        <v>106</v>
      </c>
      <c r="T630" s="55" t="s">
        <v>107</v>
      </c>
      <c r="U630" s="14">
        <v>1</v>
      </c>
      <c r="V630" s="14" t="s">
        <v>183</v>
      </c>
      <c r="W630" s="39">
        <f t="shared" si="77"/>
        <v>0</v>
      </c>
    </row>
    <row r="631" spans="1:29" x14ac:dyDescent="0.25">
      <c r="A631" s="7" t="s">
        <v>86</v>
      </c>
      <c r="B631" s="8" t="s">
        <v>17</v>
      </c>
      <c r="C631" s="9" t="s">
        <v>18</v>
      </c>
      <c r="D631" s="10">
        <v>0</v>
      </c>
      <c r="E631" s="10">
        <v>0</v>
      </c>
      <c r="F631" s="10">
        <v>0</v>
      </c>
      <c r="G631" s="10">
        <v>0</v>
      </c>
      <c r="H631" s="11">
        <v>2086</v>
      </c>
      <c r="I631" s="12">
        <v>2086</v>
      </c>
      <c r="J631" s="10">
        <v>0</v>
      </c>
      <c r="K631" s="10">
        <v>0</v>
      </c>
      <c r="L631" s="10">
        <v>0</v>
      </c>
      <c r="M631" s="10">
        <v>0</v>
      </c>
      <c r="N631" s="10">
        <v>0</v>
      </c>
      <c r="O631" s="10">
        <v>0</v>
      </c>
      <c r="P631" s="10">
        <v>0</v>
      </c>
      <c r="Q631" s="10">
        <v>0</v>
      </c>
      <c r="R631" s="10">
        <v>0</v>
      </c>
      <c r="S631" s="10">
        <v>0</v>
      </c>
      <c r="T631" s="13">
        <v>0</v>
      </c>
      <c r="U631" s="14">
        <v>1</v>
      </c>
      <c r="V631" s="42">
        <f>SUM(I631:T631)/H631</f>
        <v>1</v>
      </c>
      <c r="W631" s="39">
        <f t="shared" si="77"/>
        <v>2086</v>
      </c>
    </row>
    <row r="632" spans="1:29" x14ac:dyDescent="0.25">
      <c r="A632" s="7" t="s">
        <v>86</v>
      </c>
      <c r="B632" s="15" t="s">
        <v>66</v>
      </c>
      <c r="C632" s="7" t="s">
        <v>18</v>
      </c>
      <c r="D632" s="14">
        <v>0</v>
      </c>
      <c r="E632" s="14">
        <v>0</v>
      </c>
      <c r="F632" s="14">
        <v>0</v>
      </c>
      <c r="G632" s="14">
        <v>0</v>
      </c>
      <c r="H632" s="16">
        <v>0</v>
      </c>
      <c r="I632" s="17">
        <v>0</v>
      </c>
      <c r="J632" s="14">
        <v>0</v>
      </c>
      <c r="K632" s="14">
        <v>0</v>
      </c>
      <c r="L632" s="14">
        <v>0</v>
      </c>
      <c r="M632" s="14">
        <v>0</v>
      </c>
      <c r="N632" s="14">
        <v>0</v>
      </c>
      <c r="O632" s="14">
        <v>0</v>
      </c>
      <c r="P632" s="14">
        <v>0</v>
      </c>
      <c r="Q632" s="14">
        <v>0</v>
      </c>
      <c r="R632" s="14">
        <v>0</v>
      </c>
      <c r="S632" s="14">
        <v>0</v>
      </c>
      <c r="T632" s="18">
        <v>0</v>
      </c>
      <c r="U632" s="14">
        <v>1</v>
      </c>
      <c r="V632" s="44"/>
      <c r="W632" s="39">
        <f t="shared" si="77"/>
        <v>0</v>
      </c>
    </row>
    <row r="633" spans="1:29" x14ac:dyDescent="0.25">
      <c r="A633" s="7" t="s">
        <v>86</v>
      </c>
      <c r="B633" s="15" t="s">
        <v>13</v>
      </c>
      <c r="C633" s="7" t="s">
        <v>18</v>
      </c>
      <c r="D633" s="14">
        <v>0</v>
      </c>
      <c r="E633" s="14">
        <v>0</v>
      </c>
      <c r="F633" s="14">
        <v>0</v>
      </c>
      <c r="G633" s="14">
        <v>0</v>
      </c>
      <c r="H633" s="16">
        <v>51</v>
      </c>
      <c r="I633" s="17">
        <v>51</v>
      </c>
      <c r="J633" s="14">
        <v>0</v>
      </c>
      <c r="K633" s="14">
        <v>0</v>
      </c>
      <c r="L633" s="14">
        <v>0</v>
      </c>
      <c r="M633" s="14">
        <v>0</v>
      </c>
      <c r="N633" s="14">
        <v>0</v>
      </c>
      <c r="O633" s="14">
        <v>0</v>
      </c>
      <c r="P633" s="14">
        <v>0</v>
      </c>
      <c r="Q633" s="14">
        <v>0</v>
      </c>
      <c r="R633" s="14">
        <v>0</v>
      </c>
      <c r="S633" s="14">
        <v>0</v>
      </c>
      <c r="T633" s="18">
        <v>0</v>
      </c>
      <c r="U633" s="14">
        <v>1</v>
      </c>
      <c r="V633" s="41"/>
      <c r="W633" s="39">
        <f t="shared" si="77"/>
        <v>51</v>
      </c>
    </row>
    <row r="634" spans="1:29" x14ac:dyDescent="0.25">
      <c r="A634" s="7" t="s">
        <v>86</v>
      </c>
      <c r="B634" s="15" t="s">
        <v>67</v>
      </c>
      <c r="C634" s="7" t="s">
        <v>18</v>
      </c>
      <c r="D634" s="14">
        <v>0</v>
      </c>
      <c r="E634" s="14">
        <v>0</v>
      </c>
      <c r="F634" s="14">
        <v>0</v>
      </c>
      <c r="G634" s="14">
        <v>0</v>
      </c>
      <c r="H634" s="16">
        <v>0</v>
      </c>
      <c r="I634" s="17">
        <v>0</v>
      </c>
      <c r="J634" s="14">
        <v>0</v>
      </c>
      <c r="K634" s="14">
        <v>0</v>
      </c>
      <c r="L634" s="14">
        <v>0</v>
      </c>
      <c r="M634" s="14">
        <v>0</v>
      </c>
      <c r="N634" s="14">
        <v>0</v>
      </c>
      <c r="O634" s="14">
        <v>0</v>
      </c>
      <c r="P634" s="14">
        <v>0</v>
      </c>
      <c r="Q634" s="14">
        <v>0</v>
      </c>
      <c r="R634" s="14">
        <v>0</v>
      </c>
      <c r="S634" s="14">
        <v>0</v>
      </c>
      <c r="T634" s="18">
        <v>0</v>
      </c>
      <c r="U634" s="14">
        <v>1</v>
      </c>
      <c r="V634" s="41"/>
      <c r="W634" s="39">
        <f t="shared" si="77"/>
        <v>0</v>
      </c>
    </row>
    <row r="635" spans="1:29" x14ac:dyDescent="0.25">
      <c r="A635" s="7" t="s">
        <v>86</v>
      </c>
      <c r="B635" s="15" t="s">
        <v>73</v>
      </c>
      <c r="C635" s="7" t="s">
        <v>18</v>
      </c>
      <c r="D635" s="14">
        <v>0</v>
      </c>
      <c r="E635" s="14">
        <v>0</v>
      </c>
      <c r="F635" s="14">
        <v>32</v>
      </c>
      <c r="G635" s="14">
        <v>0</v>
      </c>
      <c r="H635" s="16">
        <v>339</v>
      </c>
      <c r="I635" s="17">
        <v>307</v>
      </c>
      <c r="J635" s="14">
        <v>0</v>
      </c>
      <c r="K635" s="14">
        <v>0</v>
      </c>
      <c r="L635" s="14">
        <v>0</v>
      </c>
      <c r="M635" s="14">
        <v>0</v>
      </c>
      <c r="N635" s="14">
        <v>0</v>
      </c>
      <c r="O635" s="14">
        <v>0</v>
      </c>
      <c r="P635" s="14">
        <v>0</v>
      </c>
      <c r="Q635" s="14">
        <v>0</v>
      </c>
      <c r="R635" s="14">
        <v>0</v>
      </c>
      <c r="S635" s="14">
        <v>0</v>
      </c>
      <c r="T635" s="18">
        <v>0</v>
      </c>
      <c r="U635" s="14">
        <v>1</v>
      </c>
      <c r="V635" s="41"/>
      <c r="W635" s="39">
        <f t="shared" si="77"/>
        <v>307</v>
      </c>
    </row>
    <row r="636" spans="1:29" x14ac:dyDescent="0.25">
      <c r="A636" s="7" t="s">
        <v>86</v>
      </c>
      <c r="B636" s="15" t="s">
        <v>19</v>
      </c>
      <c r="C636" s="7" t="s">
        <v>18</v>
      </c>
      <c r="D636" s="14">
        <v>0</v>
      </c>
      <c r="E636" s="14">
        <v>0</v>
      </c>
      <c r="F636" s="14">
        <v>0</v>
      </c>
      <c r="G636" s="14">
        <v>50</v>
      </c>
      <c r="H636" s="16">
        <v>93</v>
      </c>
      <c r="I636" s="17">
        <v>43</v>
      </c>
      <c r="J636" s="14">
        <v>0</v>
      </c>
      <c r="K636" s="14">
        <v>0</v>
      </c>
      <c r="L636" s="14">
        <v>0</v>
      </c>
      <c r="M636" s="14">
        <v>0</v>
      </c>
      <c r="N636" s="14">
        <v>0</v>
      </c>
      <c r="O636" s="14">
        <v>0</v>
      </c>
      <c r="P636" s="14">
        <v>0</v>
      </c>
      <c r="Q636" s="14">
        <v>0</v>
      </c>
      <c r="R636" s="14">
        <v>0</v>
      </c>
      <c r="S636" s="14">
        <v>0</v>
      </c>
      <c r="T636" s="18">
        <v>0</v>
      </c>
      <c r="U636" s="14">
        <v>1</v>
      </c>
      <c r="V636" s="41"/>
      <c r="W636" s="39">
        <f t="shared" si="77"/>
        <v>43</v>
      </c>
    </row>
    <row r="637" spans="1:29" ht="13" thickBot="1" x14ac:dyDescent="0.3">
      <c r="A637" s="7" t="s">
        <v>86</v>
      </c>
      <c r="B637" s="19" t="s">
        <v>20</v>
      </c>
      <c r="C637" s="20" t="s">
        <v>18</v>
      </c>
      <c r="D637" s="21">
        <v>0</v>
      </c>
      <c r="E637" s="21">
        <v>0</v>
      </c>
      <c r="F637" s="21">
        <v>0</v>
      </c>
      <c r="G637" s="21">
        <v>0</v>
      </c>
      <c r="H637" s="22">
        <v>0</v>
      </c>
      <c r="I637" s="23">
        <v>0</v>
      </c>
      <c r="J637" s="21">
        <v>0</v>
      </c>
      <c r="K637" s="21">
        <v>0</v>
      </c>
      <c r="L637" s="21">
        <v>0</v>
      </c>
      <c r="M637" s="21">
        <v>0</v>
      </c>
      <c r="N637" s="21">
        <v>0</v>
      </c>
      <c r="O637" s="21">
        <v>0</v>
      </c>
      <c r="P637" s="21">
        <v>0</v>
      </c>
      <c r="Q637" s="21">
        <v>0</v>
      </c>
      <c r="R637" s="21">
        <v>0</v>
      </c>
      <c r="S637" s="21">
        <v>0</v>
      </c>
      <c r="T637" s="24">
        <v>0</v>
      </c>
      <c r="U637" s="14">
        <v>1</v>
      </c>
      <c r="V637" s="44"/>
      <c r="W637" s="39">
        <f t="shared" si="77"/>
        <v>0</v>
      </c>
    </row>
    <row r="638" spans="1:29" ht="13" thickBot="1" x14ac:dyDescent="0.3">
      <c r="A638" s="7" t="s">
        <v>86</v>
      </c>
      <c r="B638" s="25" t="s">
        <v>12</v>
      </c>
      <c r="C638" s="26" t="s">
        <v>18</v>
      </c>
      <c r="D638" s="27">
        <v>0</v>
      </c>
      <c r="E638" s="27">
        <v>0</v>
      </c>
      <c r="F638" s="27">
        <v>32</v>
      </c>
      <c r="G638" s="27">
        <v>50</v>
      </c>
      <c r="H638" s="28">
        <v>2569</v>
      </c>
      <c r="I638" s="29">
        <v>2487</v>
      </c>
      <c r="J638" s="27">
        <v>0</v>
      </c>
      <c r="K638" s="27">
        <v>0</v>
      </c>
      <c r="L638" s="27">
        <v>0</v>
      </c>
      <c r="M638" s="27">
        <v>0</v>
      </c>
      <c r="N638" s="27">
        <v>0</v>
      </c>
      <c r="O638" s="27">
        <v>0</v>
      </c>
      <c r="P638" s="27">
        <v>0</v>
      </c>
      <c r="Q638" s="27">
        <v>0</v>
      </c>
      <c r="R638" s="27">
        <v>0</v>
      </c>
      <c r="S638" s="27">
        <v>0</v>
      </c>
      <c r="T638" s="29">
        <v>0</v>
      </c>
      <c r="U638" s="14">
        <v>1</v>
      </c>
      <c r="V638" s="43">
        <f>SUM(I633:T636)/SUM(H633:H636)</f>
        <v>0.83022774327122151</v>
      </c>
      <c r="W638" s="39">
        <f t="shared" si="77"/>
        <v>2487</v>
      </c>
    </row>
    <row r="639" spans="1:29" x14ac:dyDescent="0.25">
      <c r="A639" s="7" t="s">
        <v>86</v>
      </c>
      <c r="B639" s="8" t="s">
        <v>17</v>
      </c>
      <c r="C639" s="9" t="s">
        <v>21</v>
      </c>
      <c r="D639" s="10">
        <v>0</v>
      </c>
      <c r="E639" s="10">
        <v>0</v>
      </c>
      <c r="F639" s="10">
        <v>0</v>
      </c>
      <c r="G639" s="10">
        <v>0</v>
      </c>
      <c r="H639" s="11">
        <v>23</v>
      </c>
      <c r="I639" s="12">
        <v>18</v>
      </c>
      <c r="J639" s="10">
        <v>5</v>
      </c>
      <c r="K639" s="10">
        <v>0</v>
      </c>
      <c r="L639" s="10">
        <v>0</v>
      </c>
      <c r="M639" s="10">
        <v>0</v>
      </c>
      <c r="N639" s="10">
        <v>0</v>
      </c>
      <c r="O639" s="10">
        <v>0</v>
      </c>
      <c r="P639" s="10">
        <v>0</v>
      </c>
      <c r="Q639" s="10">
        <v>0</v>
      </c>
      <c r="R639" s="10">
        <v>0</v>
      </c>
      <c r="S639" s="10">
        <v>0</v>
      </c>
      <c r="T639" s="13">
        <v>0</v>
      </c>
      <c r="U639" s="14">
        <v>1</v>
      </c>
      <c r="W639" s="39">
        <f t="shared" si="77"/>
        <v>23</v>
      </c>
    </row>
    <row r="640" spans="1:29" x14ac:dyDescent="0.25">
      <c r="A640" s="7" t="s">
        <v>86</v>
      </c>
      <c r="B640" s="15" t="s">
        <v>66</v>
      </c>
      <c r="C640" s="7" t="s">
        <v>21</v>
      </c>
      <c r="D640" s="14">
        <v>0</v>
      </c>
      <c r="E640" s="14">
        <v>0</v>
      </c>
      <c r="F640" s="14">
        <v>0</v>
      </c>
      <c r="G640" s="14">
        <v>0</v>
      </c>
      <c r="H640" s="16">
        <v>13</v>
      </c>
      <c r="I640" s="17">
        <v>13</v>
      </c>
      <c r="J640" s="14">
        <v>0</v>
      </c>
      <c r="K640" s="14">
        <v>0</v>
      </c>
      <c r="L640" s="14">
        <v>0</v>
      </c>
      <c r="M640" s="14">
        <v>0</v>
      </c>
      <c r="N640" s="14">
        <v>0</v>
      </c>
      <c r="O640" s="14">
        <v>0</v>
      </c>
      <c r="P640" s="14">
        <v>0</v>
      </c>
      <c r="Q640" s="14">
        <v>0</v>
      </c>
      <c r="R640" s="14">
        <v>0</v>
      </c>
      <c r="S640" s="14">
        <v>0</v>
      </c>
      <c r="T640" s="18">
        <v>0</v>
      </c>
      <c r="U640" s="14">
        <v>1</v>
      </c>
      <c r="W640" s="39">
        <f t="shared" si="77"/>
        <v>13</v>
      </c>
    </row>
    <row r="641" spans="1:23" x14ac:dyDescent="0.25">
      <c r="A641" s="7" t="s">
        <v>86</v>
      </c>
      <c r="B641" s="15" t="s">
        <v>13</v>
      </c>
      <c r="C641" s="7" t="s">
        <v>21</v>
      </c>
      <c r="D641" s="14">
        <v>0</v>
      </c>
      <c r="E641" s="14">
        <v>0</v>
      </c>
      <c r="F641" s="14">
        <v>0</v>
      </c>
      <c r="G641" s="14">
        <v>0</v>
      </c>
      <c r="H641" s="16">
        <v>2</v>
      </c>
      <c r="I641" s="17">
        <v>2</v>
      </c>
      <c r="J641" s="14">
        <v>0</v>
      </c>
      <c r="K641" s="14">
        <v>0</v>
      </c>
      <c r="L641" s="14">
        <v>0</v>
      </c>
      <c r="M641" s="14">
        <v>0</v>
      </c>
      <c r="N641" s="14">
        <v>0</v>
      </c>
      <c r="O641" s="14">
        <v>0</v>
      </c>
      <c r="P641" s="14">
        <v>0</v>
      </c>
      <c r="Q641" s="14">
        <v>0</v>
      </c>
      <c r="R641" s="14">
        <v>0</v>
      </c>
      <c r="S641" s="14">
        <v>0</v>
      </c>
      <c r="T641" s="18">
        <v>0</v>
      </c>
      <c r="U641" s="14">
        <v>1</v>
      </c>
      <c r="W641" s="39">
        <f t="shared" si="77"/>
        <v>2</v>
      </c>
    </row>
    <row r="642" spans="1:23" x14ac:dyDescent="0.25">
      <c r="A642" s="7" t="s">
        <v>86</v>
      </c>
      <c r="B642" s="15" t="s">
        <v>67</v>
      </c>
      <c r="C642" s="7" t="s">
        <v>21</v>
      </c>
      <c r="D642" s="14">
        <v>0</v>
      </c>
      <c r="E642" s="14">
        <v>0</v>
      </c>
      <c r="F642" s="14">
        <v>0</v>
      </c>
      <c r="G642" s="14">
        <v>0</v>
      </c>
      <c r="H642" s="16">
        <v>0</v>
      </c>
      <c r="I642" s="17">
        <v>0</v>
      </c>
      <c r="J642" s="14">
        <v>0</v>
      </c>
      <c r="K642" s="14">
        <v>0</v>
      </c>
      <c r="L642" s="14">
        <v>0</v>
      </c>
      <c r="M642" s="14">
        <v>0</v>
      </c>
      <c r="N642" s="14">
        <v>0</v>
      </c>
      <c r="O642" s="14">
        <v>0</v>
      </c>
      <c r="P642" s="14">
        <v>0</v>
      </c>
      <c r="Q642" s="14">
        <v>0</v>
      </c>
      <c r="R642" s="14">
        <v>0</v>
      </c>
      <c r="S642" s="14">
        <v>0</v>
      </c>
      <c r="T642" s="18">
        <v>0</v>
      </c>
      <c r="U642" s="14">
        <v>1</v>
      </c>
      <c r="W642" s="39">
        <f t="shared" si="77"/>
        <v>0</v>
      </c>
    </row>
    <row r="643" spans="1:23" x14ac:dyDescent="0.25">
      <c r="A643" s="7" t="s">
        <v>86</v>
      </c>
      <c r="B643" s="15" t="s">
        <v>73</v>
      </c>
      <c r="C643" s="7" t="s">
        <v>21</v>
      </c>
      <c r="D643" s="14">
        <v>0</v>
      </c>
      <c r="E643" s="14">
        <v>0</v>
      </c>
      <c r="F643" s="14">
        <v>0</v>
      </c>
      <c r="G643" s="14">
        <v>0</v>
      </c>
      <c r="H643" s="16">
        <v>45</v>
      </c>
      <c r="I643" s="17">
        <v>0</v>
      </c>
      <c r="J643" s="14">
        <v>45</v>
      </c>
      <c r="K643" s="14">
        <v>0</v>
      </c>
      <c r="L643" s="14">
        <v>0</v>
      </c>
      <c r="M643" s="14">
        <v>0</v>
      </c>
      <c r="N643" s="14">
        <v>0</v>
      </c>
      <c r="O643" s="14">
        <v>0</v>
      </c>
      <c r="P643" s="14">
        <v>0</v>
      </c>
      <c r="Q643" s="14">
        <v>0</v>
      </c>
      <c r="R643" s="14">
        <v>0</v>
      </c>
      <c r="S643" s="14">
        <v>0</v>
      </c>
      <c r="T643" s="18">
        <v>0</v>
      </c>
      <c r="U643" s="14">
        <v>1</v>
      </c>
      <c r="W643" s="39">
        <f t="shared" si="77"/>
        <v>45</v>
      </c>
    </row>
    <row r="644" spans="1:23" x14ac:dyDescent="0.25">
      <c r="A644" s="7" t="s">
        <v>86</v>
      </c>
      <c r="B644" s="15" t="s">
        <v>19</v>
      </c>
      <c r="C644" s="7" t="s">
        <v>21</v>
      </c>
      <c r="D644" s="14">
        <v>0</v>
      </c>
      <c r="E644" s="14">
        <v>0</v>
      </c>
      <c r="F644" s="14">
        <v>0</v>
      </c>
      <c r="G644" s="14">
        <v>0</v>
      </c>
      <c r="H644" s="16">
        <v>114</v>
      </c>
      <c r="I644" s="17">
        <v>12</v>
      </c>
      <c r="J644" s="14">
        <v>16</v>
      </c>
      <c r="K644" s="14">
        <v>12</v>
      </c>
      <c r="L644" s="14">
        <v>12</v>
      </c>
      <c r="M644" s="14">
        <v>12</v>
      </c>
      <c r="N644" s="14">
        <v>15</v>
      </c>
      <c r="O644" s="14">
        <v>10</v>
      </c>
      <c r="P644" s="14">
        <v>10</v>
      </c>
      <c r="Q644" s="14">
        <v>5</v>
      </c>
      <c r="R644" s="14">
        <v>5</v>
      </c>
      <c r="S644" s="14">
        <v>4</v>
      </c>
      <c r="T644" s="18">
        <v>2</v>
      </c>
      <c r="U644" s="14">
        <v>1</v>
      </c>
      <c r="W644" s="39">
        <f t="shared" si="77"/>
        <v>115</v>
      </c>
    </row>
    <row r="645" spans="1:23" ht="13" thickBot="1" x14ac:dyDescent="0.3">
      <c r="A645" s="7" t="s">
        <v>86</v>
      </c>
      <c r="B645" s="19" t="s">
        <v>20</v>
      </c>
      <c r="C645" s="20" t="s">
        <v>21</v>
      </c>
      <c r="D645" s="21">
        <v>0</v>
      </c>
      <c r="E645" s="21">
        <v>0</v>
      </c>
      <c r="F645" s="21">
        <v>0</v>
      </c>
      <c r="G645" s="21">
        <v>0</v>
      </c>
      <c r="H645" s="22">
        <v>2</v>
      </c>
      <c r="I645" s="23">
        <v>0</v>
      </c>
      <c r="J645" s="21">
        <v>0</v>
      </c>
      <c r="K645" s="21">
        <v>0</v>
      </c>
      <c r="L645" s="21">
        <v>0</v>
      </c>
      <c r="M645" s="21">
        <v>2</v>
      </c>
      <c r="N645" s="21">
        <v>0</v>
      </c>
      <c r="O645" s="21">
        <v>0</v>
      </c>
      <c r="P645" s="21">
        <v>0</v>
      </c>
      <c r="Q645" s="21">
        <v>0</v>
      </c>
      <c r="R645" s="21">
        <v>0</v>
      </c>
      <c r="S645" s="21">
        <v>0</v>
      </c>
      <c r="T645" s="24">
        <v>0</v>
      </c>
      <c r="U645" s="14">
        <v>1</v>
      </c>
      <c r="W645" s="39">
        <f t="shared" si="77"/>
        <v>2</v>
      </c>
    </row>
    <row r="646" spans="1:23" ht="13" thickBot="1" x14ac:dyDescent="0.3">
      <c r="A646" s="20" t="s">
        <v>86</v>
      </c>
      <c r="B646" s="25" t="s">
        <v>12</v>
      </c>
      <c r="C646" s="26" t="s">
        <v>21</v>
      </c>
      <c r="D646" s="27">
        <v>0</v>
      </c>
      <c r="E646" s="27">
        <v>0</v>
      </c>
      <c r="F646" s="27">
        <v>0</v>
      </c>
      <c r="G646" s="27">
        <v>0</v>
      </c>
      <c r="H646" s="28">
        <v>199</v>
      </c>
      <c r="I646" s="29">
        <v>45</v>
      </c>
      <c r="J646" s="27">
        <v>66</v>
      </c>
      <c r="K646" s="27">
        <v>12</v>
      </c>
      <c r="L646" s="27">
        <v>12</v>
      </c>
      <c r="M646" s="27">
        <v>14</v>
      </c>
      <c r="N646" s="27">
        <v>15</v>
      </c>
      <c r="O646" s="27">
        <v>10</v>
      </c>
      <c r="P646" s="27">
        <v>10</v>
      </c>
      <c r="Q646" s="27">
        <v>5</v>
      </c>
      <c r="R646" s="27">
        <v>5</v>
      </c>
      <c r="S646" s="27">
        <v>4</v>
      </c>
      <c r="T646" s="29">
        <v>2</v>
      </c>
      <c r="U646" s="14">
        <v>1</v>
      </c>
      <c r="W646" s="39">
        <f t="shared" si="77"/>
        <v>200</v>
      </c>
    </row>
    <row r="647" spans="1:23" ht="13" thickBot="1" x14ac:dyDescent="0.3">
      <c r="A647" s="9" t="s">
        <v>87</v>
      </c>
      <c r="B647" s="30" t="s">
        <v>15</v>
      </c>
      <c r="C647" s="31" t="s">
        <v>94</v>
      </c>
      <c r="D647" s="32" t="s">
        <v>47</v>
      </c>
      <c r="E647" s="53" t="s">
        <v>116</v>
      </c>
      <c r="F647" s="53" t="s">
        <v>117</v>
      </c>
      <c r="G647" s="53" t="s">
        <v>118</v>
      </c>
      <c r="H647" s="28" t="s">
        <v>12</v>
      </c>
      <c r="I647" s="54" t="s">
        <v>119</v>
      </c>
      <c r="J647" s="53" t="s">
        <v>174</v>
      </c>
      <c r="K647" s="53" t="s">
        <v>175</v>
      </c>
      <c r="L647" s="53" t="s">
        <v>99</v>
      </c>
      <c r="M647" s="53" t="s">
        <v>100</v>
      </c>
      <c r="N647" s="53" t="s">
        <v>101</v>
      </c>
      <c r="O647" s="53" t="s">
        <v>102</v>
      </c>
      <c r="P647" s="53" t="s">
        <v>103</v>
      </c>
      <c r="Q647" s="53" t="s">
        <v>104</v>
      </c>
      <c r="R647" s="53" t="s">
        <v>105</v>
      </c>
      <c r="S647" s="53" t="s">
        <v>106</v>
      </c>
      <c r="T647" s="55" t="s">
        <v>107</v>
      </c>
      <c r="U647" s="14">
        <v>1</v>
      </c>
      <c r="V647" s="14" t="s">
        <v>183</v>
      </c>
      <c r="W647" s="39">
        <f t="shared" si="77"/>
        <v>0</v>
      </c>
    </row>
    <row r="648" spans="1:23" x14ac:dyDescent="0.25">
      <c r="A648" s="7" t="s">
        <v>87</v>
      </c>
      <c r="B648" s="8" t="s">
        <v>17</v>
      </c>
      <c r="C648" s="9" t="s">
        <v>18</v>
      </c>
      <c r="D648" s="10">
        <v>0</v>
      </c>
      <c r="E648" s="10">
        <v>0</v>
      </c>
      <c r="F648" s="10">
        <v>0</v>
      </c>
      <c r="G648" s="10">
        <v>0</v>
      </c>
      <c r="H648" s="11">
        <v>46</v>
      </c>
      <c r="I648" s="12">
        <v>11</v>
      </c>
      <c r="J648" s="10">
        <v>33</v>
      </c>
      <c r="K648" s="10">
        <v>2</v>
      </c>
      <c r="L648" s="10">
        <v>0</v>
      </c>
      <c r="M648" s="10">
        <v>0</v>
      </c>
      <c r="N648" s="10">
        <v>0</v>
      </c>
      <c r="O648" s="10">
        <v>0</v>
      </c>
      <c r="P648" s="10">
        <v>0</v>
      </c>
      <c r="Q648" s="10">
        <v>0</v>
      </c>
      <c r="R648" s="10">
        <v>0</v>
      </c>
      <c r="S648" s="10">
        <v>0</v>
      </c>
      <c r="T648" s="13">
        <v>0</v>
      </c>
      <c r="U648" s="14">
        <v>0.38490000000000002</v>
      </c>
      <c r="V648" s="42">
        <f>SUM(I648:T648)/H648</f>
        <v>1</v>
      </c>
      <c r="W648" s="39">
        <f t="shared" si="77"/>
        <v>17.705400000000001</v>
      </c>
    </row>
    <row r="649" spans="1:23" x14ac:dyDescent="0.25">
      <c r="A649" s="7" t="s">
        <v>87</v>
      </c>
      <c r="B649" s="15" t="s">
        <v>66</v>
      </c>
      <c r="C649" s="7" t="s">
        <v>18</v>
      </c>
      <c r="D649" s="14">
        <v>0</v>
      </c>
      <c r="E649" s="14">
        <v>0</v>
      </c>
      <c r="F649" s="14">
        <v>0</v>
      </c>
      <c r="G649" s="14">
        <v>0</v>
      </c>
      <c r="H649" s="16">
        <v>28</v>
      </c>
      <c r="I649" s="17">
        <v>28</v>
      </c>
      <c r="J649" s="14">
        <v>0</v>
      </c>
      <c r="K649" s="14">
        <v>0</v>
      </c>
      <c r="L649" s="14">
        <v>0</v>
      </c>
      <c r="M649" s="14">
        <v>0</v>
      </c>
      <c r="N649" s="14">
        <v>0</v>
      </c>
      <c r="O649" s="14">
        <v>0</v>
      </c>
      <c r="P649" s="14">
        <v>0</v>
      </c>
      <c r="Q649" s="14">
        <v>0</v>
      </c>
      <c r="R649" s="14">
        <v>0</v>
      </c>
      <c r="S649" s="14">
        <v>0</v>
      </c>
      <c r="T649" s="18">
        <v>0</v>
      </c>
      <c r="U649" s="14">
        <v>0.38490000000000002</v>
      </c>
      <c r="V649" s="44"/>
      <c r="W649" s="39">
        <f t="shared" si="77"/>
        <v>10.777200000000001</v>
      </c>
    </row>
    <row r="650" spans="1:23" x14ac:dyDescent="0.25">
      <c r="A650" s="7" t="s">
        <v>87</v>
      </c>
      <c r="B650" s="15" t="s">
        <v>13</v>
      </c>
      <c r="C650" s="7" t="s">
        <v>18</v>
      </c>
      <c r="D650" s="14">
        <v>0</v>
      </c>
      <c r="E650" s="14">
        <v>0</v>
      </c>
      <c r="F650" s="14">
        <v>0</v>
      </c>
      <c r="G650" s="14">
        <v>0</v>
      </c>
      <c r="H650" s="16">
        <v>53</v>
      </c>
      <c r="I650" s="17">
        <v>3</v>
      </c>
      <c r="J650" s="14">
        <v>0</v>
      </c>
      <c r="K650" s="14">
        <v>11</v>
      </c>
      <c r="L650" s="14">
        <v>39</v>
      </c>
      <c r="M650" s="14">
        <v>0</v>
      </c>
      <c r="N650" s="14">
        <v>0</v>
      </c>
      <c r="O650" s="14">
        <v>0</v>
      </c>
      <c r="P650" s="14">
        <v>0</v>
      </c>
      <c r="Q650" s="14">
        <v>0</v>
      </c>
      <c r="R650" s="14">
        <v>0</v>
      </c>
      <c r="S650" s="14">
        <v>0</v>
      </c>
      <c r="T650" s="18">
        <v>0</v>
      </c>
      <c r="U650" s="14">
        <v>0.38490000000000002</v>
      </c>
      <c r="V650" s="41"/>
      <c r="W650" s="39">
        <f t="shared" si="77"/>
        <v>20.399700000000003</v>
      </c>
    </row>
    <row r="651" spans="1:23" x14ac:dyDescent="0.25">
      <c r="A651" s="7" t="s">
        <v>87</v>
      </c>
      <c r="B651" s="15" t="s">
        <v>67</v>
      </c>
      <c r="C651" s="7" t="s">
        <v>18</v>
      </c>
      <c r="D651" s="14">
        <v>0</v>
      </c>
      <c r="E651" s="14">
        <v>0</v>
      </c>
      <c r="F651" s="14">
        <v>0</v>
      </c>
      <c r="G651" s="14">
        <v>0</v>
      </c>
      <c r="H651" s="16">
        <v>0</v>
      </c>
      <c r="I651" s="17">
        <v>0</v>
      </c>
      <c r="J651" s="14">
        <v>0</v>
      </c>
      <c r="K651" s="14">
        <v>0</v>
      </c>
      <c r="L651" s="14">
        <v>0</v>
      </c>
      <c r="M651" s="14">
        <v>0</v>
      </c>
      <c r="N651" s="14">
        <v>0</v>
      </c>
      <c r="O651" s="14">
        <v>0</v>
      </c>
      <c r="P651" s="14">
        <v>0</v>
      </c>
      <c r="Q651" s="14">
        <v>0</v>
      </c>
      <c r="R651" s="14">
        <v>0</v>
      </c>
      <c r="S651" s="14">
        <v>0</v>
      </c>
      <c r="T651" s="18">
        <v>0</v>
      </c>
      <c r="U651" s="14">
        <v>0.38490000000000002</v>
      </c>
      <c r="V651" s="41"/>
      <c r="W651" s="39">
        <f t="shared" si="77"/>
        <v>0</v>
      </c>
    </row>
    <row r="652" spans="1:23" x14ac:dyDescent="0.25">
      <c r="A652" s="7" t="s">
        <v>87</v>
      </c>
      <c r="B652" s="15" t="s">
        <v>73</v>
      </c>
      <c r="C652" s="7" t="s">
        <v>18</v>
      </c>
      <c r="D652" s="14">
        <v>0</v>
      </c>
      <c r="E652" s="14">
        <v>0</v>
      </c>
      <c r="F652" s="14">
        <v>0</v>
      </c>
      <c r="G652" s="14">
        <v>0</v>
      </c>
      <c r="H652" s="16">
        <v>104</v>
      </c>
      <c r="I652" s="17">
        <v>57</v>
      </c>
      <c r="J652" s="14">
        <v>30</v>
      </c>
      <c r="K652" s="14">
        <v>0</v>
      </c>
      <c r="L652" s="14">
        <v>16</v>
      </c>
      <c r="M652" s="14">
        <v>0</v>
      </c>
      <c r="N652" s="14">
        <v>0</v>
      </c>
      <c r="O652" s="14">
        <v>0</v>
      </c>
      <c r="P652" s="14">
        <v>0</v>
      </c>
      <c r="Q652" s="14">
        <v>0</v>
      </c>
      <c r="R652" s="14">
        <v>0</v>
      </c>
      <c r="S652" s="14">
        <v>0</v>
      </c>
      <c r="T652" s="18">
        <v>0</v>
      </c>
      <c r="U652" s="14">
        <v>0.38490000000000002</v>
      </c>
      <c r="V652" s="41"/>
      <c r="W652" s="39">
        <f t="shared" si="77"/>
        <v>39.6447</v>
      </c>
    </row>
    <row r="653" spans="1:23" x14ac:dyDescent="0.25">
      <c r="A653" s="7" t="s">
        <v>87</v>
      </c>
      <c r="B653" s="15" t="s">
        <v>19</v>
      </c>
      <c r="C653" s="7" t="s">
        <v>18</v>
      </c>
      <c r="D653" s="14">
        <v>0</v>
      </c>
      <c r="E653" s="14">
        <v>0</v>
      </c>
      <c r="F653" s="14">
        <v>0</v>
      </c>
      <c r="G653" s="14">
        <v>0</v>
      </c>
      <c r="H653" s="16">
        <v>12</v>
      </c>
      <c r="I653" s="17">
        <v>12</v>
      </c>
      <c r="J653" s="14">
        <v>0</v>
      </c>
      <c r="K653" s="14">
        <v>0</v>
      </c>
      <c r="L653" s="14">
        <v>0</v>
      </c>
      <c r="M653" s="14">
        <v>0</v>
      </c>
      <c r="N653" s="14">
        <v>0</v>
      </c>
      <c r="O653" s="14">
        <v>0</v>
      </c>
      <c r="P653" s="14">
        <v>0</v>
      </c>
      <c r="Q653" s="14">
        <v>0</v>
      </c>
      <c r="R653" s="14">
        <v>0</v>
      </c>
      <c r="S653" s="14">
        <v>0</v>
      </c>
      <c r="T653" s="18">
        <v>0</v>
      </c>
      <c r="U653" s="14">
        <v>0.38490000000000002</v>
      </c>
      <c r="V653" s="41"/>
      <c r="W653" s="39">
        <f t="shared" si="77"/>
        <v>4.6188000000000002</v>
      </c>
    </row>
    <row r="654" spans="1:23" ht="13" thickBot="1" x14ac:dyDescent="0.3">
      <c r="A654" s="7" t="s">
        <v>87</v>
      </c>
      <c r="B654" s="19" t="s">
        <v>20</v>
      </c>
      <c r="C654" s="20" t="s">
        <v>18</v>
      </c>
      <c r="D654" s="21">
        <v>0</v>
      </c>
      <c r="E654" s="21">
        <v>0</v>
      </c>
      <c r="F654" s="21">
        <v>0</v>
      </c>
      <c r="G654" s="21">
        <v>0</v>
      </c>
      <c r="H654" s="22">
        <v>0</v>
      </c>
      <c r="I654" s="23">
        <v>0</v>
      </c>
      <c r="J654" s="21">
        <v>0</v>
      </c>
      <c r="K654" s="21">
        <v>0</v>
      </c>
      <c r="L654" s="21">
        <v>0</v>
      </c>
      <c r="M654" s="21">
        <v>0</v>
      </c>
      <c r="N654" s="21">
        <v>0</v>
      </c>
      <c r="O654" s="21">
        <v>0</v>
      </c>
      <c r="P654" s="21">
        <v>0</v>
      </c>
      <c r="Q654" s="21">
        <v>0</v>
      </c>
      <c r="R654" s="21">
        <v>0</v>
      </c>
      <c r="S654" s="21">
        <v>0</v>
      </c>
      <c r="T654" s="24">
        <v>0</v>
      </c>
      <c r="U654" s="14">
        <v>0.38490000000000002</v>
      </c>
      <c r="V654" s="44"/>
      <c r="W654" s="39">
        <f t="shared" si="77"/>
        <v>0</v>
      </c>
    </row>
    <row r="655" spans="1:23" ht="13" thickBot="1" x14ac:dyDescent="0.3">
      <c r="A655" s="7" t="s">
        <v>87</v>
      </c>
      <c r="B655" s="25" t="s">
        <v>12</v>
      </c>
      <c r="C655" s="26" t="s">
        <v>18</v>
      </c>
      <c r="D655" s="27">
        <v>0</v>
      </c>
      <c r="E655" s="27">
        <v>0</v>
      </c>
      <c r="F655" s="27">
        <v>0</v>
      </c>
      <c r="G655" s="27">
        <v>0</v>
      </c>
      <c r="H655" s="28">
        <v>243</v>
      </c>
      <c r="I655" s="29">
        <v>111</v>
      </c>
      <c r="J655" s="27">
        <v>63</v>
      </c>
      <c r="K655" s="27">
        <v>13</v>
      </c>
      <c r="L655" s="27">
        <v>55</v>
      </c>
      <c r="M655" s="27">
        <v>0</v>
      </c>
      <c r="N655" s="27">
        <v>0</v>
      </c>
      <c r="O655" s="27">
        <v>0</v>
      </c>
      <c r="P655" s="27">
        <v>0</v>
      </c>
      <c r="Q655" s="27">
        <v>0</v>
      </c>
      <c r="R655" s="27">
        <v>0</v>
      </c>
      <c r="S655" s="27">
        <v>0</v>
      </c>
      <c r="T655" s="29">
        <v>0</v>
      </c>
      <c r="U655" s="14">
        <v>0.38490000000000002</v>
      </c>
      <c r="V655" s="43">
        <f>SUM(I650:T653)/SUM(H650:H653)</f>
        <v>0.99408284023668636</v>
      </c>
      <c r="W655" s="39">
        <f t="shared" si="77"/>
        <v>93.145800000000008</v>
      </c>
    </row>
    <row r="656" spans="1:23" x14ac:dyDescent="0.25">
      <c r="A656" s="7" t="s">
        <v>87</v>
      </c>
      <c r="B656" s="8" t="s">
        <v>17</v>
      </c>
      <c r="C656" s="9" t="s">
        <v>21</v>
      </c>
      <c r="D656" s="10">
        <v>0</v>
      </c>
      <c r="E656" s="10">
        <v>0</v>
      </c>
      <c r="F656" s="10">
        <v>0</v>
      </c>
      <c r="G656" s="10">
        <v>0</v>
      </c>
      <c r="H656" s="11">
        <v>6</v>
      </c>
      <c r="I656" s="12">
        <v>6</v>
      </c>
      <c r="J656" s="10">
        <v>0</v>
      </c>
      <c r="K656" s="10">
        <v>0</v>
      </c>
      <c r="L656" s="10">
        <v>0</v>
      </c>
      <c r="M656" s="10">
        <v>0</v>
      </c>
      <c r="N656" s="10">
        <v>0</v>
      </c>
      <c r="O656" s="10">
        <v>0</v>
      </c>
      <c r="P656" s="10">
        <v>0</v>
      </c>
      <c r="Q656" s="10">
        <v>0</v>
      </c>
      <c r="R656" s="10">
        <v>0</v>
      </c>
      <c r="S656" s="10">
        <v>0</v>
      </c>
      <c r="T656" s="13">
        <v>0</v>
      </c>
      <c r="U656" s="14">
        <v>0.38490000000000002</v>
      </c>
      <c r="W656" s="39">
        <f t="shared" si="77"/>
        <v>2.3094000000000001</v>
      </c>
    </row>
    <row r="657" spans="1:23" x14ac:dyDescent="0.25">
      <c r="A657" s="7" t="s">
        <v>87</v>
      </c>
      <c r="B657" s="15" t="s">
        <v>66</v>
      </c>
      <c r="C657" s="7" t="s">
        <v>21</v>
      </c>
      <c r="D657" s="14">
        <v>0</v>
      </c>
      <c r="E657" s="14">
        <v>0</v>
      </c>
      <c r="F657" s="14">
        <v>0</v>
      </c>
      <c r="G657" s="14">
        <v>0</v>
      </c>
      <c r="H657" s="16">
        <v>54</v>
      </c>
      <c r="I657" s="17">
        <v>41</v>
      </c>
      <c r="J657" s="14">
        <v>14</v>
      </c>
      <c r="K657" s="14">
        <v>0</v>
      </c>
      <c r="L657" s="14">
        <v>0</v>
      </c>
      <c r="M657" s="14">
        <v>0</v>
      </c>
      <c r="N657" s="14">
        <v>0</v>
      </c>
      <c r="O657" s="14">
        <v>0</v>
      </c>
      <c r="P657" s="14">
        <v>0</v>
      </c>
      <c r="Q657" s="14">
        <v>0</v>
      </c>
      <c r="R657" s="14">
        <v>0</v>
      </c>
      <c r="S657" s="14">
        <v>0</v>
      </c>
      <c r="T657" s="18">
        <v>0</v>
      </c>
      <c r="U657" s="14">
        <v>0.38490000000000002</v>
      </c>
      <c r="W657" s="39">
        <f t="shared" si="77"/>
        <v>21.169499999999999</v>
      </c>
    </row>
    <row r="658" spans="1:23" x14ac:dyDescent="0.25">
      <c r="A658" s="7" t="s">
        <v>87</v>
      </c>
      <c r="B658" s="15" t="s">
        <v>13</v>
      </c>
      <c r="C658" s="7" t="s">
        <v>21</v>
      </c>
      <c r="D658" s="14">
        <v>0</v>
      </c>
      <c r="E658" s="14">
        <v>0</v>
      </c>
      <c r="F658" s="14">
        <v>0</v>
      </c>
      <c r="G658" s="14">
        <v>0</v>
      </c>
      <c r="H658" s="16">
        <v>0</v>
      </c>
      <c r="I658" s="17">
        <v>0</v>
      </c>
      <c r="J658" s="14">
        <v>0</v>
      </c>
      <c r="K658" s="14">
        <v>0</v>
      </c>
      <c r="L658" s="14">
        <v>0</v>
      </c>
      <c r="M658" s="14">
        <v>0</v>
      </c>
      <c r="N658" s="14">
        <v>0</v>
      </c>
      <c r="O658" s="14">
        <v>0</v>
      </c>
      <c r="P658" s="14">
        <v>0</v>
      </c>
      <c r="Q658" s="14">
        <v>0</v>
      </c>
      <c r="R658" s="14">
        <v>0</v>
      </c>
      <c r="S658" s="14">
        <v>0</v>
      </c>
      <c r="T658" s="18">
        <v>0</v>
      </c>
      <c r="U658" s="14">
        <v>0.38490000000000002</v>
      </c>
      <c r="W658" s="39">
        <f t="shared" si="77"/>
        <v>0</v>
      </c>
    </row>
    <row r="659" spans="1:23" x14ac:dyDescent="0.25">
      <c r="A659" s="7" t="s">
        <v>87</v>
      </c>
      <c r="B659" s="15" t="s">
        <v>67</v>
      </c>
      <c r="C659" s="7" t="s">
        <v>21</v>
      </c>
      <c r="D659" s="14">
        <v>0</v>
      </c>
      <c r="E659" s="14">
        <v>0</v>
      </c>
      <c r="F659" s="14">
        <v>0</v>
      </c>
      <c r="G659" s="14">
        <v>0</v>
      </c>
      <c r="H659" s="16">
        <v>88</v>
      </c>
      <c r="I659" s="17">
        <v>34</v>
      </c>
      <c r="J659" s="14">
        <v>17</v>
      </c>
      <c r="K659" s="14">
        <v>8</v>
      </c>
      <c r="L659" s="14">
        <v>4</v>
      </c>
      <c r="M659" s="14">
        <v>3</v>
      </c>
      <c r="N659" s="14">
        <v>3</v>
      </c>
      <c r="O659" s="14">
        <v>2</v>
      </c>
      <c r="P659" s="14">
        <v>3</v>
      </c>
      <c r="Q659" s="14">
        <v>3</v>
      </c>
      <c r="R659" s="14">
        <v>6</v>
      </c>
      <c r="S659" s="14">
        <v>2</v>
      </c>
      <c r="T659" s="18">
        <v>3</v>
      </c>
      <c r="U659" s="14">
        <v>0.38490000000000002</v>
      </c>
      <c r="W659" s="39">
        <f t="shared" si="77"/>
        <v>33.871200000000002</v>
      </c>
    </row>
    <row r="660" spans="1:23" x14ac:dyDescent="0.25">
      <c r="A660" s="7" t="s">
        <v>87</v>
      </c>
      <c r="B660" s="15" t="s">
        <v>73</v>
      </c>
      <c r="C660" s="7" t="s">
        <v>21</v>
      </c>
      <c r="D660" s="14">
        <v>0</v>
      </c>
      <c r="E660" s="14">
        <v>0</v>
      </c>
      <c r="F660" s="14">
        <v>0</v>
      </c>
      <c r="G660" s="14">
        <v>0</v>
      </c>
      <c r="H660" s="16">
        <v>0</v>
      </c>
      <c r="I660" s="17">
        <v>0</v>
      </c>
      <c r="J660" s="14">
        <v>0</v>
      </c>
      <c r="K660" s="14">
        <v>0</v>
      </c>
      <c r="L660" s="14">
        <v>0</v>
      </c>
      <c r="M660" s="14">
        <v>0</v>
      </c>
      <c r="N660" s="14">
        <v>0</v>
      </c>
      <c r="O660" s="14">
        <v>0</v>
      </c>
      <c r="P660" s="14">
        <v>0</v>
      </c>
      <c r="Q660" s="14">
        <v>0</v>
      </c>
      <c r="R660" s="14">
        <v>0</v>
      </c>
      <c r="S660" s="14">
        <v>0</v>
      </c>
      <c r="T660" s="18">
        <v>0</v>
      </c>
      <c r="U660" s="14">
        <v>0.38490000000000002</v>
      </c>
      <c r="W660" s="39">
        <f t="shared" si="77"/>
        <v>0</v>
      </c>
    </row>
    <row r="661" spans="1:23" x14ac:dyDescent="0.25">
      <c r="A661" s="7" t="s">
        <v>87</v>
      </c>
      <c r="B661" s="15" t="s">
        <v>19</v>
      </c>
      <c r="C661" s="7" t="s">
        <v>21</v>
      </c>
      <c r="D661" s="14">
        <v>0</v>
      </c>
      <c r="E661" s="14">
        <v>0</v>
      </c>
      <c r="F661" s="14">
        <v>0</v>
      </c>
      <c r="G661" s="14">
        <v>0</v>
      </c>
      <c r="H661" s="16">
        <v>0</v>
      </c>
      <c r="I661" s="17">
        <v>0</v>
      </c>
      <c r="J661" s="14">
        <v>0</v>
      </c>
      <c r="K661" s="14">
        <v>0</v>
      </c>
      <c r="L661" s="14">
        <v>0</v>
      </c>
      <c r="M661" s="14">
        <v>0</v>
      </c>
      <c r="N661" s="14">
        <v>0</v>
      </c>
      <c r="O661" s="14">
        <v>0</v>
      </c>
      <c r="P661" s="14">
        <v>0</v>
      </c>
      <c r="Q661" s="14">
        <v>0</v>
      </c>
      <c r="R661" s="14">
        <v>0</v>
      </c>
      <c r="S661" s="14">
        <v>0</v>
      </c>
      <c r="T661" s="18">
        <v>0</v>
      </c>
      <c r="U661" s="14">
        <v>0.38490000000000002</v>
      </c>
      <c r="W661" s="39">
        <f t="shared" si="77"/>
        <v>0</v>
      </c>
    </row>
    <row r="662" spans="1:23" ht="13" thickBot="1" x14ac:dyDescent="0.3">
      <c r="A662" s="7" t="s">
        <v>87</v>
      </c>
      <c r="B662" s="19" t="s">
        <v>20</v>
      </c>
      <c r="C662" s="20" t="s">
        <v>21</v>
      </c>
      <c r="D662" s="21">
        <v>0</v>
      </c>
      <c r="E662" s="21">
        <v>0</v>
      </c>
      <c r="F662" s="21">
        <v>0</v>
      </c>
      <c r="G662" s="21">
        <v>0</v>
      </c>
      <c r="H662" s="22">
        <v>0</v>
      </c>
      <c r="I662" s="23">
        <v>0</v>
      </c>
      <c r="J662" s="21">
        <v>0</v>
      </c>
      <c r="K662" s="21">
        <v>0</v>
      </c>
      <c r="L662" s="21">
        <v>0</v>
      </c>
      <c r="M662" s="21">
        <v>0</v>
      </c>
      <c r="N662" s="21">
        <v>0</v>
      </c>
      <c r="O662" s="21">
        <v>0</v>
      </c>
      <c r="P662" s="21">
        <v>0</v>
      </c>
      <c r="Q662" s="21">
        <v>0</v>
      </c>
      <c r="R662" s="21">
        <v>0</v>
      </c>
      <c r="S662" s="21">
        <v>0</v>
      </c>
      <c r="T662" s="24">
        <v>0</v>
      </c>
      <c r="U662" s="14">
        <v>0.38490000000000002</v>
      </c>
      <c r="W662" s="39">
        <f t="shared" si="77"/>
        <v>0</v>
      </c>
    </row>
    <row r="663" spans="1:23" ht="13" thickBot="1" x14ac:dyDescent="0.3">
      <c r="A663" s="20" t="s">
        <v>87</v>
      </c>
      <c r="B663" s="25" t="s">
        <v>12</v>
      </c>
      <c r="C663" s="26" t="s">
        <v>21</v>
      </c>
      <c r="D663" s="27">
        <v>0</v>
      </c>
      <c r="E663" s="27">
        <v>0</v>
      </c>
      <c r="F663" s="27">
        <v>0</v>
      </c>
      <c r="G663" s="27">
        <v>0</v>
      </c>
      <c r="H663" s="28">
        <v>148</v>
      </c>
      <c r="I663" s="29">
        <v>81</v>
      </c>
      <c r="J663" s="27">
        <v>31</v>
      </c>
      <c r="K663" s="27">
        <v>8</v>
      </c>
      <c r="L663" s="27">
        <v>4</v>
      </c>
      <c r="M663" s="27">
        <v>3</v>
      </c>
      <c r="N663" s="27">
        <v>3</v>
      </c>
      <c r="O663" s="27">
        <v>2</v>
      </c>
      <c r="P663" s="27">
        <v>3</v>
      </c>
      <c r="Q663" s="27">
        <v>3</v>
      </c>
      <c r="R663" s="27">
        <v>6</v>
      </c>
      <c r="S663" s="27">
        <v>2</v>
      </c>
      <c r="T663" s="29">
        <v>3</v>
      </c>
      <c r="U663" s="14">
        <v>0.38490000000000002</v>
      </c>
      <c r="W663" s="39">
        <f t="shared" si="77"/>
        <v>57.350100000000005</v>
      </c>
    </row>
    <row r="664" spans="1:23" ht="13" thickBot="1" x14ac:dyDescent="0.3">
      <c r="A664" s="9" t="s">
        <v>56</v>
      </c>
      <c r="B664" s="30" t="s">
        <v>15</v>
      </c>
      <c r="C664" s="31" t="s">
        <v>94</v>
      </c>
      <c r="D664" s="32" t="s">
        <v>47</v>
      </c>
      <c r="E664" s="53" t="s">
        <v>116</v>
      </c>
      <c r="F664" s="53" t="s">
        <v>117</v>
      </c>
      <c r="G664" s="53" t="s">
        <v>118</v>
      </c>
      <c r="H664" s="28" t="s">
        <v>12</v>
      </c>
      <c r="I664" s="54" t="s">
        <v>119</v>
      </c>
      <c r="J664" s="53" t="s">
        <v>174</v>
      </c>
      <c r="K664" s="53" t="s">
        <v>175</v>
      </c>
      <c r="L664" s="53" t="s">
        <v>99</v>
      </c>
      <c r="M664" s="53" t="s">
        <v>100</v>
      </c>
      <c r="N664" s="53" t="s">
        <v>101</v>
      </c>
      <c r="O664" s="53" t="s">
        <v>102</v>
      </c>
      <c r="P664" s="53" t="s">
        <v>103</v>
      </c>
      <c r="Q664" s="53" t="s">
        <v>104</v>
      </c>
      <c r="R664" s="53" t="s">
        <v>105</v>
      </c>
      <c r="S664" s="53" t="s">
        <v>106</v>
      </c>
      <c r="T664" s="55" t="s">
        <v>107</v>
      </c>
      <c r="U664" s="14">
        <v>0.27429695920000002</v>
      </c>
      <c r="V664" s="14" t="s">
        <v>183</v>
      </c>
      <c r="W664" s="39">
        <f t="shared" si="77"/>
        <v>0</v>
      </c>
    </row>
    <row r="665" spans="1:23" x14ac:dyDescent="0.25">
      <c r="A665" s="7" t="s">
        <v>56</v>
      </c>
      <c r="B665" s="8" t="s">
        <v>17</v>
      </c>
      <c r="C665" s="9" t="s">
        <v>18</v>
      </c>
      <c r="D665" s="10">
        <v>0</v>
      </c>
      <c r="E665" s="10">
        <v>0</v>
      </c>
      <c r="F665" s="10">
        <v>0</v>
      </c>
      <c r="G665" s="10">
        <v>0</v>
      </c>
      <c r="H665" s="11">
        <v>12826</v>
      </c>
      <c r="I665" s="12">
        <v>5923</v>
      </c>
      <c r="J665" s="10">
        <v>2570</v>
      </c>
      <c r="K665" s="10">
        <v>4301</v>
      </c>
      <c r="L665" s="10">
        <v>0</v>
      </c>
      <c r="M665" s="10">
        <v>0</v>
      </c>
      <c r="N665" s="10">
        <v>29</v>
      </c>
      <c r="O665" s="10">
        <v>3</v>
      </c>
      <c r="P665" s="10">
        <v>0</v>
      </c>
      <c r="Q665" s="10">
        <v>0</v>
      </c>
      <c r="R665" s="10">
        <v>0</v>
      </c>
      <c r="S665" s="10">
        <v>0</v>
      </c>
      <c r="T665" s="13">
        <v>0</v>
      </c>
      <c r="U665" s="14">
        <v>0.27429695920000002</v>
      </c>
      <c r="V665" s="42">
        <f>SUM(I665:T665)/H665</f>
        <v>1</v>
      </c>
      <c r="W665" s="39">
        <f t="shared" si="77"/>
        <v>3518.1327986992005</v>
      </c>
    </row>
    <row r="666" spans="1:23" x14ac:dyDescent="0.25">
      <c r="A666" s="7" t="s">
        <v>56</v>
      </c>
      <c r="B666" s="15" t="s">
        <v>66</v>
      </c>
      <c r="C666" s="7" t="s">
        <v>18</v>
      </c>
      <c r="D666" s="14">
        <v>0</v>
      </c>
      <c r="E666" s="14">
        <v>0</v>
      </c>
      <c r="F666" s="14">
        <v>0</v>
      </c>
      <c r="G666" s="14">
        <v>0</v>
      </c>
      <c r="H666" s="16">
        <v>29102</v>
      </c>
      <c r="I666" s="17">
        <v>12925</v>
      </c>
      <c r="J666" s="14">
        <v>2669</v>
      </c>
      <c r="K666" s="14">
        <v>9858</v>
      </c>
      <c r="L666" s="14">
        <v>0</v>
      </c>
      <c r="M666" s="14">
        <v>0</v>
      </c>
      <c r="N666" s="14">
        <v>0</v>
      </c>
      <c r="O666" s="14">
        <v>3650</v>
      </c>
      <c r="P666" s="14">
        <v>0</v>
      </c>
      <c r="Q666" s="14">
        <v>0</v>
      </c>
      <c r="R666" s="14">
        <v>0</v>
      </c>
      <c r="S666" s="14">
        <v>0</v>
      </c>
      <c r="T666" s="18">
        <v>0</v>
      </c>
      <c r="U666" s="14">
        <v>0.27429695920000002</v>
      </c>
      <c r="V666" s="44"/>
      <c r="W666" s="39">
        <f t="shared" si="77"/>
        <v>7982.5901066384004</v>
      </c>
    </row>
    <row r="667" spans="1:23" x14ac:dyDescent="0.25">
      <c r="A667" s="7" t="s">
        <v>56</v>
      </c>
      <c r="B667" s="15" t="s">
        <v>13</v>
      </c>
      <c r="C667" s="7" t="s">
        <v>18</v>
      </c>
      <c r="D667" s="14">
        <v>0</v>
      </c>
      <c r="E667" s="14">
        <v>0</v>
      </c>
      <c r="F667" s="14">
        <v>0</v>
      </c>
      <c r="G667" s="14">
        <v>0</v>
      </c>
      <c r="H667" s="16">
        <v>11976</v>
      </c>
      <c r="I667" s="17">
        <v>5676</v>
      </c>
      <c r="J667" s="14">
        <v>3064</v>
      </c>
      <c r="K667" s="14">
        <v>3214</v>
      </c>
      <c r="L667" s="14">
        <v>0</v>
      </c>
      <c r="M667" s="14">
        <v>0</v>
      </c>
      <c r="N667" s="14">
        <v>0</v>
      </c>
      <c r="O667" s="14">
        <v>0</v>
      </c>
      <c r="P667" s="14">
        <v>23</v>
      </c>
      <c r="Q667" s="14">
        <v>0</v>
      </c>
      <c r="R667" s="14">
        <v>0</v>
      </c>
      <c r="S667" s="14">
        <v>0</v>
      </c>
      <c r="T667" s="18">
        <v>0</v>
      </c>
      <c r="U667" s="14">
        <v>0.27429695920000002</v>
      </c>
      <c r="V667" s="41"/>
      <c r="W667" s="39">
        <f t="shared" si="77"/>
        <v>3285.2546803384002</v>
      </c>
    </row>
    <row r="668" spans="1:23" x14ac:dyDescent="0.25">
      <c r="A668" s="7" t="s">
        <v>56</v>
      </c>
      <c r="B668" s="15" t="s">
        <v>67</v>
      </c>
      <c r="C668" s="7" t="s">
        <v>18</v>
      </c>
      <c r="D668" s="14">
        <v>0</v>
      </c>
      <c r="E668" s="14">
        <v>0</v>
      </c>
      <c r="F668" s="14">
        <v>0</v>
      </c>
      <c r="G668" s="14">
        <v>0</v>
      </c>
      <c r="H668" s="16">
        <v>13305</v>
      </c>
      <c r="I668" s="17">
        <v>8443</v>
      </c>
      <c r="J668" s="14">
        <v>3396</v>
      </c>
      <c r="K668" s="14">
        <v>1462</v>
      </c>
      <c r="L668" s="14">
        <v>0</v>
      </c>
      <c r="M668" s="14">
        <v>0</v>
      </c>
      <c r="N668" s="14">
        <v>0</v>
      </c>
      <c r="O668" s="14">
        <v>0</v>
      </c>
      <c r="P668" s="14">
        <v>4</v>
      </c>
      <c r="Q668" s="14">
        <v>0</v>
      </c>
      <c r="R668" s="14">
        <v>0</v>
      </c>
      <c r="S668" s="14">
        <v>0</v>
      </c>
      <c r="T668" s="18">
        <v>0</v>
      </c>
      <c r="U668" s="14">
        <v>0.27429695920000002</v>
      </c>
      <c r="V668" s="41"/>
      <c r="W668" s="39">
        <f t="shared" si="77"/>
        <v>3649.5210421560005</v>
      </c>
    </row>
    <row r="669" spans="1:23" x14ac:dyDescent="0.25">
      <c r="A669" s="7" t="s">
        <v>56</v>
      </c>
      <c r="B669" s="15" t="s">
        <v>73</v>
      </c>
      <c r="C669" s="7" t="s">
        <v>18</v>
      </c>
      <c r="D669" s="14">
        <v>0</v>
      </c>
      <c r="E669" s="14">
        <v>0</v>
      </c>
      <c r="F669" s="14">
        <v>0</v>
      </c>
      <c r="G669" s="14">
        <v>0</v>
      </c>
      <c r="H669" s="16">
        <v>11778</v>
      </c>
      <c r="I669" s="17">
        <v>5625</v>
      </c>
      <c r="J669" s="14">
        <v>3055</v>
      </c>
      <c r="K669" s="14">
        <v>3098</v>
      </c>
      <c r="L669" s="14">
        <v>0</v>
      </c>
      <c r="M669" s="14">
        <v>0</v>
      </c>
      <c r="N669" s="14">
        <v>0</v>
      </c>
      <c r="O669" s="14">
        <v>0</v>
      </c>
      <c r="P669" s="14">
        <v>0</v>
      </c>
      <c r="Q669" s="14">
        <v>0</v>
      </c>
      <c r="R669" s="14">
        <v>0</v>
      </c>
      <c r="S669" s="14">
        <v>0</v>
      </c>
      <c r="T669" s="18">
        <v>0</v>
      </c>
      <c r="U669" s="14">
        <v>0.27429695920000002</v>
      </c>
      <c r="V669" s="41"/>
      <c r="W669" s="39">
        <f t="shared" si="77"/>
        <v>3230.6695854576001</v>
      </c>
    </row>
    <row r="670" spans="1:23" x14ac:dyDescent="0.25">
      <c r="A670" s="7" t="s">
        <v>56</v>
      </c>
      <c r="B670" s="15" t="s">
        <v>19</v>
      </c>
      <c r="C670" s="7" t="s">
        <v>18</v>
      </c>
      <c r="D670" s="14">
        <v>0</v>
      </c>
      <c r="E670" s="14">
        <v>70</v>
      </c>
      <c r="F670" s="14">
        <v>0</v>
      </c>
      <c r="G670" s="14">
        <v>1801</v>
      </c>
      <c r="H670" s="16">
        <v>4007</v>
      </c>
      <c r="I670" s="17">
        <v>1682</v>
      </c>
      <c r="J670" s="14">
        <v>45</v>
      </c>
      <c r="K670" s="14">
        <v>410</v>
      </c>
      <c r="L670" s="14">
        <v>0</v>
      </c>
      <c r="M670" s="14">
        <v>0</v>
      </c>
      <c r="N670" s="14">
        <v>0</v>
      </c>
      <c r="O670" s="14">
        <v>0</v>
      </c>
      <c r="P670" s="14">
        <v>0</v>
      </c>
      <c r="Q670" s="14">
        <v>0</v>
      </c>
      <c r="R670" s="14">
        <v>0</v>
      </c>
      <c r="S670" s="14">
        <v>0</v>
      </c>
      <c r="T670" s="18">
        <v>0</v>
      </c>
      <c r="U670" s="14">
        <v>0.27429695920000002</v>
      </c>
      <c r="V670" s="41"/>
      <c r="W670" s="39">
        <f t="shared" si="77"/>
        <v>586.17260181040001</v>
      </c>
    </row>
    <row r="671" spans="1:23" ht="13" thickBot="1" x14ac:dyDescent="0.3">
      <c r="A671" s="7" t="s">
        <v>56</v>
      </c>
      <c r="B671" s="19" t="s">
        <v>20</v>
      </c>
      <c r="C671" s="20" t="s">
        <v>18</v>
      </c>
      <c r="D671" s="21">
        <v>0</v>
      </c>
      <c r="E671" s="21">
        <v>0</v>
      </c>
      <c r="F671" s="21">
        <v>0</v>
      </c>
      <c r="G671" s="21">
        <v>0</v>
      </c>
      <c r="H671" s="22">
        <v>0</v>
      </c>
      <c r="I671" s="23">
        <v>0</v>
      </c>
      <c r="J671" s="21">
        <v>0</v>
      </c>
      <c r="K671" s="21">
        <v>0</v>
      </c>
      <c r="L671" s="21">
        <v>0</v>
      </c>
      <c r="M671" s="21">
        <v>0</v>
      </c>
      <c r="N671" s="21">
        <v>0</v>
      </c>
      <c r="O671" s="21">
        <v>0</v>
      </c>
      <c r="P671" s="21">
        <v>0</v>
      </c>
      <c r="Q671" s="21">
        <v>0</v>
      </c>
      <c r="R671" s="21">
        <v>0</v>
      </c>
      <c r="S671" s="21">
        <v>0</v>
      </c>
      <c r="T671" s="24">
        <v>0</v>
      </c>
      <c r="U671" s="14">
        <v>0.27429695920000002</v>
      </c>
      <c r="V671" s="44"/>
      <c r="W671" s="39">
        <f t="shared" si="77"/>
        <v>0</v>
      </c>
    </row>
    <row r="672" spans="1:23" ht="13" thickBot="1" x14ac:dyDescent="0.3">
      <c r="A672" s="7" t="s">
        <v>56</v>
      </c>
      <c r="B672" s="25" t="s">
        <v>12</v>
      </c>
      <c r="C672" s="26" t="s">
        <v>18</v>
      </c>
      <c r="D672" s="27">
        <v>0</v>
      </c>
      <c r="E672" s="27">
        <v>70</v>
      </c>
      <c r="F672" s="27">
        <v>0</v>
      </c>
      <c r="G672" s="27">
        <v>1801</v>
      </c>
      <c r="H672" s="28">
        <v>82994</v>
      </c>
      <c r="I672" s="29">
        <v>40274</v>
      </c>
      <c r="J672" s="27">
        <v>14799</v>
      </c>
      <c r="K672" s="27">
        <v>22343</v>
      </c>
      <c r="L672" s="27">
        <v>0</v>
      </c>
      <c r="M672" s="27">
        <v>0</v>
      </c>
      <c r="N672" s="27">
        <v>29</v>
      </c>
      <c r="O672" s="27">
        <v>3653</v>
      </c>
      <c r="P672" s="27">
        <v>27</v>
      </c>
      <c r="Q672" s="27">
        <v>0</v>
      </c>
      <c r="R672" s="27">
        <v>0</v>
      </c>
      <c r="S672" s="27">
        <v>0</v>
      </c>
      <c r="T672" s="29">
        <v>0</v>
      </c>
      <c r="U672" s="14">
        <v>0.27429695920000002</v>
      </c>
      <c r="V672" s="43">
        <f>SUM(I667:T670)/SUM(H667:H670)</f>
        <v>0.9544878975308041</v>
      </c>
      <c r="W672" s="39">
        <f t="shared" si="77"/>
        <v>22252.3408151</v>
      </c>
    </row>
    <row r="673" spans="1:23" x14ac:dyDescent="0.25">
      <c r="A673" s="7" t="s">
        <v>56</v>
      </c>
      <c r="B673" s="8" t="s">
        <v>17</v>
      </c>
      <c r="C673" s="9" t="s">
        <v>21</v>
      </c>
      <c r="D673" s="10">
        <v>0</v>
      </c>
      <c r="E673" s="10">
        <v>0</v>
      </c>
      <c r="F673" s="10">
        <v>0</v>
      </c>
      <c r="G673" s="10">
        <v>0</v>
      </c>
      <c r="H673" s="11">
        <v>81</v>
      </c>
      <c r="I673" s="12">
        <v>50</v>
      </c>
      <c r="J673" s="10">
        <v>14</v>
      </c>
      <c r="K673" s="10">
        <v>0</v>
      </c>
      <c r="L673" s="10">
        <v>15</v>
      </c>
      <c r="M673" s="10">
        <v>0</v>
      </c>
      <c r="N673" s="10">
        <v>0</v>
      </c>
      <c r="O673" s="10">
        <v>0</v>
      </c>
      <c r="P673" s="10">
        <v>0</v>
      </c>
      <c r="Q673" s="10">
        <v>0</v>
      </c>
      <c r="R673" s="10">
        <v>0</v>
      </c>
      <c r="S673" s="10">
        <v>0</v>
      </c>
      <c r="T673" s="13">
        <v>0</v>
      </c>
      <c r="U673" s="14">
        <v>0.27429695920000002</v>
      </c>
      <c r="W673" s="39">
        <f t="shared" si="77"/>
        <v>21.6694597768</v>
      </c>
    </row>
    <row r="674" spans="1:23" x14ac:dyDescent="0.25">
      <c r="A674" s="7" t="s">
        <v>56</v>
      </c>
      <c r="B674" s="15" t="s">
        <v>66</v>
      </c>
      <c r="C674" s="7" t="s">
        <v>21</v>
      </c>
      <c r="D674" s="14">
        <v>0</v>
      </c>
      <c r="E674" s="14">
        <v>0</v>
      </c>
      <c r="F674" s="14">
        <v>0</v>
      </c>
      <c r="G674" s="14">
        <v>0</v>
      </c>
      <c r="H674" s="16">
        <v>973</v>
      </c>
      <c r="I674" s="17">
        <v>252</v>
      </c>
      <c r="J674" s="14">
        <v>266</v>
      </c>
      <c r="K674" s="14">
        <v>0</v>
      </c>
      <c r="L674" s="14">
        <v>0</v>
      </c>
      <c r="M674" s="14">
        <v>0</v>
      </c>
      <c r="N674" s="14">
        <v>0</v>
      </c>
      <c r="O674" s="14">
        <v>0</v>
      </c>
      <c r="P674" s="14">
        <v>456</v>
      </c>
      <c r="Q674" s="14">
        <v>0</v>
      </c>
      <c r="R674" s="14">
        <v>0</v>
      </c>
      <c r="S674" s="14">
        <v>0</v>
      </c>
      <c r="T674" s="18">
        <v>0</v>
      </c>
      <c r="U674" s="14">
        <v>0.27429695920000002</v>
      </c>
      <c r="W674" s="39">
        <f t="shared" si="77"/>
        <v>267.16523826080004</v>
      </c>
    </row>
    <row r="675" spans="1:23" x14ac:dyDescent="0.25">
      <c r="A675" s="7" t="s">
        <v>56</v>
      </c>
      <c r="B675" s="15" t="s">
        <v>13</v>
      </c>
      <c r="C675" s="7" t="s">
        <v>21</v>
      </c>
      <c r="D675" s="14">
        <v>0</v>
      </c>
      <c r="E675" s="14">
        <v>0</v>
      </c>
      <c r="F675" s="14">
        <v>0</v>
      </c>
      <c r="G675" s="14">
        <v>0</v>
      </c>
      <c r="H675" s="16">
        <v>562</v>
      </c>
      <c r="I675" s="33">
        <v>353</v>
      </c>
      <c r="J675" s="34">
        <v>117</v>
      </c>
      <c r="K675" s="34">
        <v>0</v>
      </c>
      <c r="L675" s="14">
        <v>0</v>
      </c>
      <c r="M675" s="14">
        <v>0</v>
      </c>
      <c r="N675" s="14">
        <v>0</v>
      </c>
      <c r="O675" s="14">
        <v>0</v>
      </c>
      <c r="P675" s="14">
        <v>92</v>
      </c>
      <c r="Q675" s="14">
        <v>0</v>
      </c>
      <c r="R675" s="14">
        <v>0</v>
      </c>
      <c r="S675" s="14">
        <v>0</v>
      </c>
      <c r="T675" s="18">
        <v>0</v>
      </c>
      <c r="U675" s="14">
        <v>0.27429695920000002</v>
      </c>
      <c r="W675" s="39">
        <f t="shared" si="77"/>
        <v>154.15489107040003</v>
      </c>
    </row>
    <row r="676" spans="1:23" x14ac:dyDescent="0.25">
      <c r="A676" s="7" t="s">
        <v>56</v>
      </c>
      <c r="B676" s="15" t="s">
        <v>67</v>
      </c>
      <c r="C676" s="7" t="s">
        <v>21</v>
      </c>
      <c r="D676" s="14">
        <v>0</v>
      </c>
      <c r="E676" s="14">
        <v>0</v>
      </c>
      <c r="F676" s="14">
        <v>0</v>
      </c>
      <c r="G676" s="14">
        <v>0</v>
      </c>
      <c r="H676" s="16">
        <v>373</v>
      </c>
      <c r="I676" s="17">
        <v>122</v>
      </c>
      <c r="J676" s="14">
        <v>50</v>
      </c>
      <c r="K676" s="14">
        <v>20</v>
      </c>
      <c r="L676" s="14">
        <v>32</v>
      </c>
      <c r="M676" s="14">
        <v>20</v>
      </c>
      <c r="N676" s="14">
        <v>20</v>
      </c>
      <c r="O676" s="14">
        <v>20</v>
      </c>
      <c r="P676" s="14">
        <v>20</v>
      </c>
      <c r="Q676" s="14">
        <v>20</v>
      </c>
      <c r="R676" s="14">
        <v>20</v>
      </c>
      <c r="S676" s="14">
        <v>20</v>
      </c>
      <c r="T676" s="18">
        <v>13</v>
      </c>
      <c r="U676" s="14">
        <v>0.27429695920000002</v>
      </c>
      <c r="W676" s="39">
        <f t="shared" si="77"/>
        <v>103.40995361840001</v>
      </c>
    </row>
    <row r="677" spans="1:23" x14ac:dyDescent="0.25">
      <c r="A677" s="7" t="s">
        <v>56</v>
      </c>
      <c r="B677" s="15" t="s">
        <v>73</v>
      </c>
      <c r="C677" s="7" t="s">
        <v>21</v>
      </c>
      <c r="D677" s="14">
        <v>0</v>
      </c>
      <c r="E677" s="14">
        <v>0</v>
      </c>
      <c r="F677" s="14">
        <v>0</v>
      </c>
      <c r="G677" s="14">
        <v>0</v>
      </c>
      <c r="H677" s="16">
        <v>32</v>
      </c>
      <c r="I677" s="17">
        <v>29</v>
      </c>
      <c r="J677" s="14">
        <v>0</v>
      </c>
      <c r="K677" s="14">
        <v>0</v>
      </c>
      <c r="L677" s="14">
        <v>0</v>
      </c>
      <c r="M677" s="14">
        <v>0</v>
      </c>
      <c r="N677" s="14">
        <v>0</v>
      </c>
      <c r="O677" s="14">
        <v>0</v>
      </c>
      <c r="P677" s="14">
        <v>3</v>
      </c>
      <c r="Q677" s="14">
        <v>0</v>
      </c>
      <c r="R677" s="14">
        <v>0</v>
      </c>
      <c r="S677" s="14">
        <v>0</v>
      </c>
      <c r="T677" s="18">
        <v>0</v>
      </c>
      <c r="U677" s="14">
        <v>0.27429695920000002</v>
      </c>
      <c r="W677" s="39">
        <f t="shared" si="77"/>
        <v>8.7775026944000007</v>
      </c>
    </row>
    <row r="678" spans="1:23" x14ac:dyDescent="0.25">
      <c r="A678" s="7" t="s">
        <v>56</v>
      </c>
      <c r="B678" s="15" t="s">
        <v>19</v>
      </c>
      <c r="C678" s="7" t="s">
        <v>21</v>
      </c>
      <c r="D678" s="14">
        <v>0</v>
      </c>
      <c r="E678" s="14">
        <v>0</v>
      </c>
      <c r="F678" s="14">
        <v>0</v>
      </c>
      <c r="G678" s="14">
        <v>0</v>
      </c>
      <c r="H678" s="16">
        <v>2565</v>
      </c>
      <c r="I678" s="17">
        <v>294</v>
      </c>
      <c r="J678" s="14">
        <v>388</v>
      </c>
      <c r="K678" s="14">
        <v>532</v>
      </c>
      <c r="L678" s="14">
        <v>266</v>
      </c>
      <c r="M678" s="14">
        <v>236</v>
      </c>
      <c r="N678" s="14">
        <v>295</v>
      </c>
      <c r="O678" s="14">
        <v>170</v>
      </c>
      <c r="P678" s="14">
        <v>189</v>
      </c>
      <c r="Q678" s="14">
        <v>137</v>
      </c>
      <c r="R678" s="14">
        <v>35</v>
      </c>
      <c r="S678" s="14">
        <v>24</v>
      </c>
      <c r="T678" s="18">
        <v>0</v>
      </c>
      <c r="U678" s="14">
        <v>0.27429695920000002</v>
      </c>
      <c r="W678" s="39">
        <f t="shared" si="77"/>
        <v>703.84599730720004</v>
      </c>
    </row>
    <row r="679" spans="1:23" ht="13" thickBot="1" x14ac:dyDescent="0.3">
      <c r="A679" s="7" t="s">
        <v>56</v>
      </c>
      <c r="B679" s="19" t="s">
        <v>20</v>
      </c>
      <c r="C679" s="20" t="s">
        <v>21</v>
      </c>
      <c r="D679" s="21">
        <v>0</v>
      </c>
      <c r="E679" s="21">
        <v>0</v>
      </c>
      <c r="F679" s="21">
        <v>0</v>
      </c>
      <c r="G679" s="21">
        <v>0</v>
      </c>
      <c r="H679" s="22">
        <v>0</v>
      </c>
      <c r="I679" s="23">
        <v>0</v>
      </c>
      <c r="J679" s="21">
        <v>0</v>
      </c>
      <c r="K679" s="21">
        <v>0</v>
      </c>
      <c r="L679" s="21">
        <v>0</v>
      </c>
      <c r="M679" s="21">
        <v>0</v>
      </c>
      <c r="N679" s="21">
        <v>0</v>
      </c>
      <c r="O679" s="21">
        <v>0</v>
      </c>
      <c r="P679" s="21">
        <v>0</v>
      </c>
      <c r="Q679" s="21">
        <v>0</v>
      </c>
      <c r="R679" s="21">
        <v>0</v>
      </c>
      <c r="S679" s="21">
        <v>0</v>
      </c>
      <c r="T679" s="24">
        <v>0</v>
      </c>
      <c r="U679" s="14">
        <v>0.27429695920000002</v>
      </c>
      <c r="W679" s="39">
        <f t="shared" si="77"/>
        <v>0</v>
      </c>
    </row>
    <row r="680" spans="1:23" ht="13" thickBot="1" x14ac:dyDescent="0.3">
      <c r="A680" s="20" t="s">
        <v>56</v>
      </c>
      <c r="B680" s="25" t="s">
        <v>12</v>
      </c>
      <c r="C680" s="26" t="s">
        <v>21</v>
      </c>
      <c r="D680" s="27">
        <v>0</v>
      </c>
      <c r="E680" s="27">
        <v>0</v>
      </c>
      <c r="F680" s="27">
        <v>0</v>
      </c>
      <c r="G680" s="27">
        <v>0</v>
      </c>
      <c r="H680" s="28">
        <v>4586</v>
      </c>
      <c r="I680" s="29">
        <v>1100</v>
      </c>
      <c r="J680" s="27">
        <v>835</v>
      </c>
      <c r="K680" s="27">
        <v>552</v>
      </c>
      <c r="L680" s="27">
        <v>313</v>
      </c>
      <c r="M680" s="27">
        <v>256</v>
      </c>
      <c r="N680" s="27">
        <v>315</v>
      </c>
      <c r="O680" s="27">
        <v>190</v>
      </c>
      <c r="P680" s="27">
        <v>760</v>
      </c>
      <c r="Q680" s="27">
        <v>157</v>
      </c>
      <c r="R680" s="27">
        <v>55</v>
      </c>
      <c r="S680" s="27">
        <v>44</v>
      </c>
      <c r="T680" s="29">
        <v>13</v>
      </c>
      <c r="U680" s="14">
        <v>0.27429695920000002</v>
      </c>
      <c r="W680" s="39">
        <f t="shared" si="77"/>
        <v>1259.0230427280001</v>
      </c>
    </row>
    <row r="681" spans="1:23" ht="13" thickBot="1" x14ac:dyDescent="0.3">
      <c r="A681" s="9" t="s">
        <v>34</v>
      </c>
      <c r="B681" s="30" t="s">
        <v>15</v>
      </c>
      <c r="C681" s="31" t="s">
        <v>94</v>
      </c>
      <c r="D681" s="32" t="s">
        <v>47</v>
      </c>
      <c r="E681" s="53" t="s">
        <v>116</v>
      </c>
      <c r="F681" s="53" t="s">
        <v>117</v>
      </c>
      <c r="G681" s="53" t="s">
        <v>118</v>
      </c>
      <c r="H681" s="28" t="s">
        <v>12</v>
      </c>
      <c r="I681" s="54" t="s">
        <v>119</v>
      </c>
      <c r="J681" s="53" t="s">
        <v>174</v>
      </c>
      <c r="K681" s="53" t="s">
        <v>175</v>
      </c>
      <c r="L681" s="53" t="s">
        <v>99</v>
      </c>
      <c r="M681" s="53" t="s">
        <v>100</v>
      </c>
      <c r="N681" s="53" t="s">
        <v>101</v>
      </c>
      <c r="O681" s="53" t="s">
        <v>102</v>
      </c>
      <c r="P681" s="53" t="s">
        <v>103</v>
      </c>
      <c r="Q681" s="53" t="s">
        <v>104</v>
      </c>
      <c r="R681" s="53" t="s">
        <v>105</v>
      </c>
      <c r="S681" s="53" t="s">
        <v>106</v>
      </c>
      <c r="T681" s="55" t="s">
        <v>107</v>
      </c>
      <c r="U681" s="14">
        <v>0.26654124899999998</v>
      </c>
      <c r="V681" s="14" t="s">
        <v>183</v>
      </c>
      <c r="W681" s="39">
        <f t="shared" si="77"/>
        <v>0</v>
      </c>
    </row>
    <row r="682" spans="1:23" x14ac:dyDescent="0.25">
      <c r="A682" s="7" t="s">
        <v>34</v>
      </c>
      <c r="B682" s="8" t="s">
        <v>17</v>
      </c>
      <c r="C682" s="9" t="s">
        <v>18</v>
      </c>
      <c r="D682" s="10">
        <v>0</v>
      </c>
      <c r="E682" s="10">
        <v>0</v>
      </c>
      <c r="F682" s="10">
        <v>0</v>
      </c>
      <c r="G682" s="10">
        <v>0</v>
      </c>
      <c r="H682" s="11">
        <v>0</v>
      </c>
      <c r="I682" s="12">
        <v>0</v>
      </c>
      <c r="J682" s="10">
        <v>0</v>
      </c>
      <c r="K682" s="10">
        <v>0</v>
      </c>
      <c r="L682" s="10">
        <v>0</v>
      </c>
      <c r="M682" s="10">
        <v>0</v>
      </c>
      <c r="N682" s="10">
        <v>0</v>
      </c>
      <c r="O682" s="10">
        <v>0</v>
      </c>
      <c r="P682" s="10">
        <v>0</v>
      </c>
      <c r="Q682" s="10">
        <v>0</v>
      </c>
      <c r="R682" s="10">
        <v>0</v>
      </c>
      <c r="S682" s="10">
        <v>0</v>
      </c>
      <c r="T682" s="13">
        <v>0</v>
      </c>
      <c r="U682" s="14">
        <v>0.26654124899999998</v>
      </c>
      <c r="V682" s="42" t="e">
        <f>SUM(I682:T682)/H682</f>
        <v>#DIV/0!</v>
      </c>
      <c r="W682" s="39">
        <f t="shared" si="77"/>
        <v>0</v>
      </c>
    </row>
    <row r="683" spans="1:23" x14ac:dyDescent="0.25">
      <c r="A683" s="7" t="s">
        <v>34</v>
      </c>
      <c r="B683" s="15" t="s">
        <v>66</v>
      </c>
      <c r="C683" s="7" t="s">
        <v>18</v>
      </c>
      <c r="D683" s="14">
        <v>0</v>
      </c>
      <c r="E683" s="14">
        <v>0</v>
      </c>
      <c r="F683" s="14">
        <v>0</v>
      </c>
      <c r="G683" s="14">
        <v>0</v>
      </c>
      <c r="H683" s="16">
        <v>0</v>
      </c>
      <c r="I683" s="17">
        <v>0</v>
      </c>
      <c r="J683" s="14">
        <v>0</v>
      </c>
      <c r="K683" s="14">
        <v>0</v>
      </c>
      <c r="L683" s="14">
        <v>0</v>
      </c>
      <c r="M683" s="14">
        <v>0</v>
      </c>
      <c r="N683" s="14">
        <v>0</v>
      </c>
      <c r="O683" s="14">
        <v>0</v>
      </c>
      <c r="P683" s="14">
        <v>0</v>
      </c>
      <c r="Q683" s="14">
        <v>0</v>
      </c>
      <c r="R683" s="14">
        <v>0</v>
      </c>
      <c r="S683" s="14">
        <v>0</v>
      </c>
      <c r="T683" s="18">
        <v>0</v>
      </c>
      <c r="U683" s="14">
        <v>0.26654124899999998</v>
      </c>
      <c r="V683" s="44"/>
      <c r="W683" s="39">
        <f t="shared" si="77"/>
        <v>0</v>
      </c>
    </row>
    <row r="684" spans="1:23" x14ac:dyDescent="0.25">
      <c r="A684" s="7" t="s">
        <v>34</v>
      </c>
      <c r="B684" s="15" t="s">
        <v>13</v>
      </c>
      <c r="C684" s="7" t="s">
        <v>18</v>
      </c>
      <c r="D684" s="14">
        <v>0</v>
      </c>
      <c r="E684" s="14">
        <v>0</v>
      </c>
      <c r="F684" s="14">
        <v>55</v>
      </c>
      <c r="G684" s="14">
        <v>4</v>
      </c>
      <c r="H684" s="16">
        <v>2364</v>
      </c>
      <c r="I684" s="17">
        <v>2226</v>
      </c>
      <c r="J684" s="14">
        <v>79</v>
      </c>
      <c r="K684" s="14">
        <v>0</v>
      </c>
      <c r="L684" s="14">
        <v>0</v>
      </c>
      <c r="M684" s="14">
        <v>0</v>
      </c>
      <c r="N684" s="14">
        <v>0</v>
      </c>
      <c r="O684" s="14">
        <v>0</v>
      </c>
      <c r="P684" s="14">
        <v>0</v>
      </c>
      <c r="Q684" s="14">
        <v>0</v>
      </c>
      <c r="R684" s="14">
        <v>0</v>
      </c>
      <c r="S684" s="14">
        <v>0</v>
      </c>
      <c r="T684" s="18">
        <v>0</v>
      </c>
      <c r="U684" s="14">
        <v>0.26654124899999998</v>
      </c>
      <c r="V684" s="41"/>
      <c r="W684" s="39">
        <f t="shared" si="77"/>
        <v>614.37757894499998</v>
      </c>
    </row>
    <row r="685" spans="1:23" x14ac:dyDescent="0.25">
      <c r="A685" s="7" t="s">
        <v>34</v>
      </c>
      <c r="B685" s="15" t="s">
        <v>67</v>
      </c>
      <c r="C685" s="7" t="s">
        <v>18</v>
      </c>
      <c r="D685" s="14">
        <v>0</v>
      </c>
      <c r="E685" s="14">
        <v>38</v>
      </c>
      <c r="F685" s="14">
        <v>28</v>
      </c>
      <c r="G685" s="14">
        <v>0</v>
      </c>
      <c r="H685" s="16">
        <v>11089</v>
      </c>
      <c r="I685" s="17">
        <v>10442</v>
      </c>
      <c r="J685" s="14">
        <v>581</v>
      </c>
      <c r="K685" s="14">
        <v>0</v>
      </c>
      <c r="L685" s="14">
        <v>0</v>
      </c>
      <c r="M685" s="14">
        <v>0</v>
      </c>
      <c r="N685" s="14">
        <v>0</v>
      </c>
      <c r="O685" s="14">
        <v>0</v>
      </c>
      <c r="P685" s="14">
        <v>0</v>
      </c>
      <c r="Q685" s="14">
        <v>0</v>
      </c>
      <c r="R685" s="14">
        <v>0</v>
      </c>
      <c r="S685" s="14">
        <v>0</v>
      </c>
      <c r="T685" s="18">
        <v>0</v>
      </c>
      <c r="U685" s="14">
        <v>0.26654124899999998</v>
      </c>
      <c r="V685" s="41"/>
      <c r="W685" s="39">
        <f t="shared" si="77"/>
        <v>2938.084187727</v>
      </c>
    </row>
    <row r="686" spans="1:23" x14ac:dyDescent="0.25">
      <c r="A686" s="7" t="s">
        <v>34</v>
      </c>
      <c r="B686" s="15" t="s">
        <v>73</v>
      </c>
      <c r="C686" s="7" t="s">
        <v>18</v>
      </c>
      <c r="D686" s="14">
        <v>0</v>
      </c>
      <c r="E686" s="14">
        <v>0</v>
      </c>
      <c r="F686" s="14">
        <v>0</v>
      </c>
      <c r="G686" s="14">
        <v>0</v>
      </c>
      <c r="H686" s="16">
        <v>3258</v>
      </c>
      <c r="I686" s="17">
        <v>3258</v>
      </c>
      <c r="J686" s="14">
        <v>0</v>
      </c>
      <c r="K686" s="14">
        <v>0</v>
      </c>
      <c r="L686" s="14">
        <v>0</v>
      </c>
      <c r="M686" s="14">
        <v>0</v>
      </c>
      <c r="N686" s="14">
        <v>0</v>
      </c>
      <c r="O686" s="14">
        <v>0</v>
      </c>
      <c r="P686" s="14">
        <v>0</v>
      </c>
      <c r="Q686" s="14">
        <v>0</v>
      </c>
      <c r="R686" s="14">
        <v>0</v>
      </c>
      <c r="S686" s="14">
        <v>0</v>
      </c>
      <c r="T686" s="18">
        <v>0</v>
      </c>
      <c r="U686" s="14">
        <v>0.26654124899999998</v>
      </c>
      <c r="V686" s="41"/>
      <c r="W686" s="39">
        <f t="shared" si="77"/>
        <v>868.39138924199995</v>
      </c>
    </row>
    <row r="687" spans="1:23" x14ac:dyDescent="0.25">
      <c r="A687" s="7" t="s">
        <v>34</v>
      </c>
      <c r="B687" s="15" t="s">
        <v>19</v>
      </c>
      <c r="C687" s="7" t="s">
        <v>18</v>
      </c>
      <c r="D687" s="14">
        <v>143</v>
      </c>
      <c r="E687" s="14">
        <v>0</v>
      </c>
      <c r="F687" s="14">
        <v>0</v>
      </c>
      <c r="G687" s="14">
        <v>0</v>
      </c>
      <c r="H687" s="16">
        <v>1539</v>
      </c>
      <c r="I687" s="17">
        <v>1396</v>
      </c>
      <c r="J687" s="14">
        <v>0</v>
      </c>
      <c r="K687" s="14">
        <v>0</v>
      </c>
      <c r="L687" s="14">
        <v>0</v>
      </c>
      <c r="M687" s="14">
        <v>0</v>
      </c>
      <c r="N687" s="14">
        <v>0</v>
      </c>
      <c r="O687" s="14">
        <v>0</v>
      </c>
      <c r="P687" s="14">
        <v>0</v>
      </c>
      <c r="Q687" s="14">
        <v>0</v>
      </c>
      <c r="R687" s="14">
        <v>0</v>
      </c>
      <c r="S687" s="14">
        <v>0</v>
      </c>
      <c r="T687" s="18">
        <v>0</v>
      </c>
      <c r="U687" s="14">
        <v>0.26654124899999998</v>
      </c>
      <c r="V687" s="41"/>
      <c r="W687" s="39">
        <f t="shared" si="77"/>
        <v>372.09158360399999</v>
      </c>
    </row>
    <row r="688" spans="1:23" ht="13" thickBot="1" x14ac:dyDescent="0.3">
      <c r="A688" s="7" t="s">
        <v>34</v>
      </c>
      <c r="B688" s="19" t="s">
        <v>20</v>
      </c>
      <c r="C688" s="20" t="s">
        <v>18</v>
      </c>
      <c r="D688" s="21">
        <v>0</v>
      </c>
      <c r="E688" s="21">
        <v>0</v>
      </c>
      <c r="F688" s="21">
        <v>0</v>
      </c>
      <c r="G688" s="21">
        <v>0</v>
      </c>
      <c r="H688" s="22">
        <v>0</v>
      </c>
      <c r="I688" s="23">
        <v>0</v>
      </c>
      <c r="J688" s="21">
        <v>0</v>
      </c>
      <c r="K688" s="21">
        <v>0</v>
      </c>
      <c r="L688" s="21">
        <v>0</v>
      </c>
      <c r="M688" s="21">
        <v>0</v>
      </c>
      <c r="N688" s="21">
        <v>0</v>
      </c>
      <c r="O688" s="21">
        <v>0</v>
      </c>
      <c r="P688" s="21">
        <v>0</v>
      </c>
      <c r="Q688" s="21">
        <v>0</v>
      </c>
      <c r="R688" s="21">
        <v>0</v>
      </c>
      <c r="S688" s="21">
        <v>0</v>
      </c>
      <c r="T688" s="24">
        <v>0</v>
      </c>
      <c r="U688" s="14">
        <v>0.26654124899999998</v>
      </c>
      <c r="V688" s="44"/>
      <c r="W688" s="39">
        <f t="shared" si="77"/>
        <v>0</v>
      </c>
    </row>
    <row r="689" spans="1:23" ht="13" thickBot="1" x14ac:dyDescent="0.3">
      <c r="A689" s="7" t="s">
        <v>34</v>
      </c>
      <c r="B689" s="25" t="s">
        <v>12</v>
      </c>
      <c r="C689" s="26" t="s">
        <v>18</v>
      </c>
      <c r="D689" s="27">
        <v>143</v>
      </c>
      <c r="E689" s="27">
        <v>38</v>
      </c>
      <c r="F689" s="27">
        <v>83</v>
      </c>
      <c r="G689" s="27">
        <v>4</v>
      </c>
      <c r="H689" s="28">
        <v>18250</v>
      </c>
      <c r="I689" s="29">
        <v>17322</v>
      </c>
      <c r="J689" s="27">
        <v>660</v>
      </c>
      <c r="K689" s="27">
        <v>0</v>
      </c>
      <c r="L689" s="27">
        <v>0</v>
      </c>
      <c r="M689" s="27">
        <v>0</v>
      </c>
      <c r="N689" s="27">
        <v>0</v>
      </c>
      <c r="O689" s="27">
        <v>0</v>
      </c>
      <c r="P689" s="27">
        <v>0</v>
      </c>
      <c r="Q689" s="27">
        <v>0</v>
      </c>
      <c r="R689" s="27">
        <v>0</v>
      </c>
      <c r="S689" s="27">
        <v>0</v>
      </c>
      <c r="T689" s="29">
        <v>0</v>
      </c>
      <c r="U689" s="14">
        <v>0.26654124899999998</v>
      </c>
      <c r="V689" s="43">
        <f>SUM(I684:T687)/SUM(H684:H687)</f>
        <v>0.98531506849315065</v>
      </c>
      <c r="W689" s="39">
        <f t="shared" si="77"/>
        <v>4792.9447395179996</v>
      </c>
    </row>
    <row r="690" spans="1:23" x14ac:dyDescent="0.25">
      <c r="A690" s="7" t="s">
        <v>34</v>
      </c>
      <c r="B690" s="8" t="s">
        <v>17</v>
      </c>
      <c r="C690" s="9" t="s">
        <v>21</v>
      </c>
      <c r="D690" s="10">
        <v>0</v>
      </c>
      <c r="E690" s="10">
        <v>0</v>
      </c>
      <c r="F690" s="10">
        <v>0</v>
      </c>
      <c r="G690" s="10">
        <v>0</v>
      </c>
      <c r="H690" s="11">
        <v>0</v>
      </c>
      <c r="I690" s="12">
        <v>0</v>
      </c>
      <c r="J690" s="10">
        <v>0</v>
      </c>
      <c r="K690" s="10">
        <v>0</v>
      </c>
      <c r="L690" s="10">
        <v>0</v>
      </c>
      <c r="M690" s="10">
        <v>0</v>
      </c>
      <c r="N690" s="10">
        <v>0</v>
      </c>
      <c r="O690" s="10">
        <v>0</v>
      </c>
      <c r="P690" s="10">
        <v>0</v>
      </c>
      <c r="Q690" s="10">
        <v>0</v>
      </c>
      <c r="R690" s="10">
        <v>0</v>
      </c>
      <c r="S690" s="10">
        <v>0</v>
      </c>
      <c r="T690" s="13">
        <v>0</v>
      </c>
      <c r="U690" s="14">
        <v>0.26654124899999998</v>
      </c>
      <c r="W690" s="39">
        <f t="shared" si="77"/>
        <v>0</v>
      </c>
    </row>
    <row r="691" spans="1:23" x14ac:dyDescent="0.25">
      <c r="A691" s="7" t="s">
        <v>34</v>
      </c>
      <c r="B691" s="15" t="s">
        <v>66</v>
      </c>
      <c r="C691" s="7" t="s">
        <v>21</v>
      </c>
      <c r="D691" s="14">
        <v>0</v>
      </c>
      <c r="E691" s="14">
        <v>0</v>
      </c>
      <c r="F691" s="14">
        <v>0</v>
      </c>
      <c r="G691" s="14">
        <v>0</v>
      </c>
      <c r="H691" s="16">
        <v>0</v>
      </c>
      <c r="I691" s="17">
        <v>0</v>
      </c>
      <c r="J691" s="14">
        <v>0</v>
      </c>
      <c r="K691" s="14">
        <v>0</v>
      </c>
      <c r="L691" s="14">
        <v>0</v>
      </c>
      <c r="M691" s="14">
        <v>0</v>
      </c>
      <c r="N691" s="14">
        <v>0</v>
      </c>
      <c r="O691" s="14">
        <v>0</v>
      </c>
      <c r="P691" s="14">
        <v>0</v>
      </c>
      <c r="Q691" s="14">
        <v>0</v>
      </c>
      <c r="R691" s="14">
        <v>0</v>
      </c>
      <c r="S691" s="14">
        <v>0</v>
      </c>
      <c r="T691" s="18">
        <v>0</v>
      </c>
      <c r="U691" s="14">
        <v>0.26654124899999998</v>
      </c>
      <c r="W691" s="39">
        <f t="shared" si="77"/>
        <v>0</v>
      </c>
    </row>
    <row r="692" spans="1:23" x14ac:dyDescent="0.25">
      <c r="A692" s="7" t="s">
        <v>34</v>
      </c>
      <c r="B692" s="15" t="s">
        <v>13</v>
      </c>
      <c r="C692" s="7" t="s">
        <v>21</v>
      </c>
      <c r="D692" s="14">
        <v>0</v>
      </c>
      <c r="E692" s="14">
        <v>0</v>
      </c>
      <c r="F692" s="14">
        <v>0</v>
      </c>
      <c r="G692" s="14">
        <v>0</v>
      </c>
      <c r="H692" s="16">
        <v>2268</v>
      </c>
      <c r="I692" s="33">
        <v>925</v>
      </c>
      <c r="J692" s="34">
        <v>210</v>
      </c>
      <c r="K692" s="34">
        <v>274</v>
      </c>
      <c r="L692" s="14">
        <v>178</v>
      </c>
      <c r="M692" s="14">
        <v>178</v>
      </c>
      <c r="N692" s="14">
        <v>187</v>
      </c>
      <c r="O692" s="14">
        <v>205</v>
      </c>
      <c r="P692" s="14">
        <v>113</v>
      </c>
      <c r="Q692" s="14">
        <v>0</v>
      </c>
      <c r="R692" s="14">
        <v>0</v>
      </c>
      <c r="S692" s="14">
        <v>0</v>
      </c>
      <c r="T692" s="18">
        <v>0</v>
      </c>
      <c r="U692" s="14">
        <v>0.26654124899999998</v>
      </c>
      <c r="W692" s="39">
        <f t="shared" si="77"/>
        <v>605.04863522999995</v>
      </c>
    </row>
    <row r="693" spans="1:23" x14ac:dyDescent="0.25">
      <c r="A693" s="7" t="s">
        <v>34</v>
      </c>
      <c r="B693" s="15" t="s">
        <v>67</v>
      </c>
      <c r="C693" s="7" t="s">
        <v>21</v>
      </c>
      <c r="D693" s="14">
        <v>0</v>
      </c>
      <c r="E693" s="14">
        <v>0</v>
      </c>
      <c r="F693" s="14">
        <v>0</v>
      </c>
      <c r="G693" s="14">
        <v>0</v>
      </c>
      <c r="H693" s="16">
        <v>6246</v>
      </c>
      <c r="I693" s="17">
        <v>2330</v>
      </c>
      <c r="J693" s="14">
        <v>1303</v>
      </c>
      <c r="K693" s="14">
        <v>354</v>
      </c>
      <c r="L693" s="14">
        <v>332</v>
      </c>
      <c r="M693" s="14">
        <v>334</v>
      </c>
      <c r="N693" s="14">
        <v>363</v>
      </c>
      <c r="O693" s="14">
        <v>282</v>
      </c>
      <c r="P693" s="14">
        <v>263</v>
      </c>
      <c r="Q693" s="14">
        <v>188</v>
      </c>
      <c r="R693" s="14">
        <v>188</v>
      </c>
      <c r="S693" s="14">
        <v>188</v>
      </c>
      <c r="T693" s="18">
        <v>122</v>
      </c>
      <c r="U693" s="14">
        <v>0.26654124899999998</v>
      </c>
      <c r="W693" s="39">
        <f t="shared" ref="W693:W756" si="84">SUM(I693:T693)*U693</f>
        <v>1665.083182503</v>
      </c>
    </row>
    <row r="694" spans="1:23" x14ac:dyDescent="0.25">
      <c r="A694" s="7" t="s">
        <v>34</v>
      </c>
      <c r="B694" s="15" t="s">
        <v>73</v>
      </c>
      <c r="C694" s="7" t="s">
        <v>21</v>
      </c>
      <c r="D694" s="14">
        <v>0</v>
      </c>
      <c r="E694" s="14">
        <v>0</v>
      </c>
      <c r="F694" s="14">
        <v>0</v>
      </c>
      <c r="G694" s="14">
        <v>0</v>
      </c>
      <c r="H694" s="16">
        <v>1597</v>
      </c>
      <c r="I694" s="17">
        <v>1011</v>
      </c>
      <c r="J694" s="14">
        <v>586</v>
      </c>
      <c r="K694" s="14">
        <v>0</v>
      </c>
      <c r="L694" s="14">
        <v>0</v>
      </c>
      <c r="M694" s="14">
        <v>0</v>
      </c>
      <c r="N694" s="14">
        <v>0</v>
      </c>
      <c r="O694" s="14">
        <v>0</v>
      </c>
      <c r="P694" s="14">
        <v>0</v>
      </c>
      <c r="Q694" s="14">
        <v>0</v>
      </c>
      <c r="R694" s="14">
        <v>0</v>
      </c>
      <c r="S694" s="14">
        <v>0</v>
      </c>
      <c r="T694" s="18">
        <v>0</v>
      </c>
      <c r="U694" s="14">
        <v>0.26654124899999998</v>
      </c>
      <c r="W694" s="39">
        <f t="shared" si="84"/>
        <v>425.66637465299999</v>
      </c>
    </row>
    <row r="695" spans="1:23" x14ac:dyDescent="0.25">
      <c r="A695" s="7" t="s">
        <v>34</v>
      </c>
      <c r="B695" s="15" t="s">
        <v>19</v>
      </c>
      <c r="C695" s="7" t="s">
        <v>21</v>
      </c>
      <c r="D695" s="14">
        <v>0</v>
      </c>
      <c r="E695" s="14">
        <v>0</v>
      </c>
      <c r="F695" s="14">
        <v>0</v>
      </c>
      <c r="G695" s="14">
        <v>0</v>
      </c>
      <c r="H695" s="16">
        <v>1851</v>
      </c>
      <c r="I695" s="17">
        <v>274</v>
      </c>
      <c r="J695" s="14">
        <v>254</v>
      </c>
      <c r="K695" s="14">
        <v>266</v>
      </c>
      <c r="L695" s="14">
        <v>243</v>
      </c>
      <c r="M695" s="14">
        <v>202</v>
      </c>
      <c r="N695" s="14">
        <v>194</v>
      </c>
      <c r="O695" s="14">
        <v>154</v>
      </c>
      <c r="P695" s="14">
        <v>155</v>
      </c>
      <c r="Q695" s="14">
        <v>61</v>
      </c>
      <c r="R695" s="14">
        <v>26</v>
      </c>
      <c r="S695" s="14">
        <v>16</v>
      </c>
      <c r="T695" s="18">
        <v>7</v>
      </c>
      <c r="U695" s="14">
        <v>0.26654124899999998</v>
      </c>
      <c r="W695" s="39">
        <f t="shared" si="84"/>
        <v>493.63439314799996</v>
      </c>
    </row>
    <row r="696" spans="1:23" ht="13" thickBot="1" x14ac:dyDescent="0.3">
      <c r="A696" s="7" t="s">
        <v>34</v>
      </c>
      <c r="B696" s="19" t="s">
        <v>20</v>
      </c>
      <c r="C696" s="20" t="s">
        <v>21</v>
      </c>
      <c r="D696" s="21">
        <v>0</v>
      </c>
      <c r="E696" s="21">
        <v>0</v>
      </c>
      <c r="F696" s="21">
        <v>0</v>
      </c>
      <c r="G696" s="21">
        <v>0</v>
      </c>
      <c r="H696" s="22">
        <v>389</v>
      </c>
      <c r="I696" s="23">
        <v>139</v>
      </c>
      <c r="J696" s="21">
        <v>108</v>
      </c>
      <c r="K696" s="21">
        <v>35</v>
      </c>
      <c r="L696" s="21">
        <v>57</v>
      </c>
      <c r="M696" s="21">
        <v>0</v>
      </c>
      <c r="N696" s="21">
        <v>49</v>
      </c>
      <c r="O696" s="21">
        <v>0</v>
      </c>
      <c r="P696" s="21">
        <v>0</v>
      </c>
      <c r="Q696" s="21">
        <v>0</v>
      </c>
      <c r="R696" s="21">
        <v>0</v>
      </c>
      <c r="S696" s="21">
        <v>0</v>
      </c>
      <c r="T696" s="24">
        <v>0</v>
      </c>
      <c r="U696" s="14">
        <v>0.26654124899999998</v>
      </c>
      <c r="W696" s="39">
        <f t="shared" si="84"/>
        <v>103.41800461199999</v>
      </c>
    </row>
    <row r="697" spans="1:23" ht="13" thickBot="1" x14ac:dyDescent="0.3">
      <c r="A697" s="20" t="s">
        <v>34</v>
      </c>
      <c r="B697" s="25" t="s">
        <v>12</v>
      </c>
      <c r="C697" s="26" t="s">
        <v>21</v>
      </c>
      <c r="D697" s="27">
        <v>0</v>
      </c>
      <c r="E697" s="27">
        <v>0</v>
      </c>
      <c r="F697" s="27">
        <v>0</v>
      </c>
      <c r="G697" s="27">
        <v>0</v>
      </c>
      <c r="H697" s="28">
        <v>12351</v>
      </c>
      <c r="I697" s="29">
        <v>4679</v>
      </c>
      <c r="J697" s="27">
        <v>2461</v>
      </c>
      <c r="K697" s="27">
        <v>929</v>
      </c>
      <c r="L697" s="27">
        <v>810</v>
      </c>
      <c r="M697" s="27">
        <v>714</v>
      </c>
      <c r="N697" s="27">
        <v>793</v>
      </c>
      <c r="O697" s="27">
        <v>641</v>
      </c>
      <c r="P697" s="27">
        <v>531</v>
      </c>
      <c r="Q697" s="27">
        <v>249</v>
      </c>
      <c r="R697" s="27">
        <v>214</v>
      </c>
      <c r="S697" s="27">
        <v>204</v>
      </c>
      <c r="T697" s="29">
        <v>129</v>
      </c>
      <c r="U697" s="14">
        <v>0.26654124899999998</v>
      </c>
      <c r="W697" s="39">
        <f t="shared" si="84"/>
        <v>3292.8505901459998</v>
      </c>
    </row>
    <row r="698" spans="1:23" ht="13" thickBot="1" x14ac:dyDescent="0.3">
      <c r="A698" s="9" t="s">
        <v>81</v>
      </c>
      <c r="B698" s="30" t="s">
        <v>15</v>
      </c>
      <c r="C698" s="31" t="s">
        <v>46</v>
      </c>
      <c r="D698" s="32" t="s">
        <v>47</v>
      </c>
      <c r="E698" s="53">
        <v>45689</v>
      </c>
      <c r="F698" s="53">
        <v>45717</v>
      </c>
      <c r="G698" s="53">
        <v>45748</v>
      </c>
      <c r="H698" s="28" t="s">
        <v>12</v>
      </c>
      <c r="I698" s="54">
        <v>45778</v>
      </c>
      <c r="J698" s="53">
        <v>45809</v>
      </c>
      <c r="K698" s="53">
        <v>45839</v>
      </c>
      <c r="L698" s="53">
        <v>45870</v>
      </c>
      <c r="M698" s="53">
        <v>45901</v>
      </c>
      <c r="N698" s="53">
        <v>45931</v>
      </c>
      <c r="O698" s="53">
        <v>45962</v>
      </c>
      <c r="P698" s="53">
        <v>45992</v>
      </c>
      <c r="Q698" s="53">
        <v>46023</v>
      </c>
      <c r="R698" s="53">
        <v>46054</v>
      </c>
      <c r="S698" s="53">
        <v>46082</v>
      </c>
      <c r="T698" s="55">
        <v>46113</v>
      </c>
      <c r="U698" s="14">
        <v>0.67659999999999998</v>
      </c>
      <c r="V698" s="14" t="s">
        <v>183</v>
      </c>
      <c r="W698" s="39">
        <f t="shared" si="84"/>
        <v>373046.1164</v>
      </c>
    </row>
    <row r="699" spans="1:23" x14ac:dyDescent="0.25">
      <c r="A699" s="7" t="s">
        <v>81</v>
      </c>
      <c r="B699" s="8" t="s">
        <v>17</v>
      </c>
      <c r="C699" s="9" t="s">
        <v>18</v>
      </c>
      <c r="D699" s="10">
        <v>58</v>
      </c>
      <c r="E699" s="10">
        <v>0</v>
      </c>
      <c r="F699" s="10">
        <v>0</v>
      </c>
      <c r="G699" s="10">
        <v>0</v>
      </c>
      <c r="H699" s="11">
        <v>58</v>
      </c>
      <c r="I699" s="12">
        <v>0</v>
      </c>
      <c r="J699" s="10">
        <v>0</v>
      </c>
      <c r="K699" s="10">
        <v>0</v>
      </c>
      <c r="L699" s="10">
        <v>0</v>
      </c>
      <c r="M699" s="10">
        <v>0</v>
      </c>
      <c r="N699" s="10">
        <v>0</v>
      </c>
      <c r="O699" s="10">
        <v>0</v>
      </c>
      <c r="P699" s="10">
        <v>0</v>
      </c>
      <c r="Q699" s="10">
        <v>0</v>
      </c>
      <c r="R699" s="10">
        <v>0</v>
      </c>
      <c r="S699" s="10">
        <v>0</v>
      </c>
      <c r="T699" s="13">
        <v>0</v>
      </c>
      <c r="U699" s="14">
        <v>0.67659999999999998</v>
      </c>
      <c r="V699" s="42">
        <f>SUM(I699:T699)/H699</f>
        <v>0</v>
      </c>
      <c r="W699" s="39">
        <f t="shared" si="84"/>
        <v>0</v>
      </c>
    </row>
    <row r="700" spans="1:23" x14ac:dyDescent="0.25">
      <c r="A700" s="7" t="s">
        <v>81</v>
      </c>
      <c r="B700" s="15" t="s">
        <v>66</v>
      </c>
      <c r="C700" s="7" t="s">
        <v>18</v>
      </c>
      <c r="D700" s="14">
        <v>92</v>
      </c>
      <c r="E700" s="14">
        <v>10</v>
      </c>
      <c r="F700" s="14">
        <v>25</v>
      </c>
      <c r="G700" s="14">
        <v>0</v>
      </c>
      <c r="H700" s="16">
        <v>2768</v>
      </c>
      <c r="I700" s="17">
        <v>831</v>
      </c>
      <c r="J700" s="14">
        <v>236</v>
      </c>
      <c r="K700" s="14">
        <v>0</v>
      </c>
      <c r="L700" s="14">
        <v>0</v>
      </c>
      <c r="M700" s="14">
        <v>0</v>
      </c>
      <c r="N700" s="14">
        <v>1215</v>
      </c>
      <c r="O700" s="14">
        <v>0</v>
      </c>
      <c r="P700" s="14">
        <v>359</v>
      </c>
      <c r="Q700" s="14">
        <v>0</v>
      </c>
      <c r="R700" s="14">
        <v>0</v>
      </c>
      <c r="S700" s="14">
        <v>0</v>
      </c>
      <c r="T700" s="18">
        <v>0</v>
      </c>
      <c r="U700" s="14">
        <v>0.67659999999999998</v>
      </c>
      <c r="V700" s="44"/>
      <c r="W700" s="39">
        <f t="shared" si="84"/>
        <v>1786.9005999999999</v>
      </c>
    </row>
    <row r="701" spans="1:23" x14ac:dyDescent="0.25">
      <c r="A701" s="7" t="s">
        <v>81</v>
      </c>
      <c r="B701" s="15" t="s">
        <v>13</v>
      </c>
      <c r="C701" s="7" t="s">
        <v>18</v>
      </c>
      <c r="D701" s="14">
        <v>522</v>
      </c>
      <c r="E701" s="14">
        <v>139</v>
      </c>
      <c r="F701" s="14">
        <v>274</v>
      </c>
      <c r="G701" s="14">
        <v>438</v>
      </c>
      <c r="H701" s="16">
        <v>3727</v>
      </c>
      <c r="I701" s="17">
        <v>1066</v>
      </c>
      <c r="J701" s="14">
        <v>579</v>
      </c>
      <c r="K701" s="14">
        <v>458</v>
      </c>
      <c r="L701" s="14">
        <v>249</v>
      </c>
      <c r="M701" s="14">
        <v>0</v>
      </c>
      <c r="N701" s="14">
        <v>0</v>
      </c>
      <c r="O701" s="14">
        <v>2</v>
      </c>
      <c r="P701" s="14">
        <v>0</v>
      </c>
      <c r="Q701" s="14">
        <v>0</v>
      </c>
      <c r="R701" s="14">
        <v>0</v>
      </c>
      <c r="S701" s="14">
        <v>0</v>
      </c>
      <c r="T701" s="18">
        <v>0</v>
      </c>
      <c r="U701" s="14">
        <v>0.67659999999999998</v>
      </c>
      <c r="V701" s="41"/>
      <c r="W701" s="39">
        <f t="shared" si="84"/>
        <v>1592.7164</v>
      </c>
    </row>
    <row r="702" spans="1:23" x14ac:dyDescent="0.25">
      <c r="A702" s="7" t="s">
        <v>81</v>
      </c>
      <c r="B702" s="15" t="s">
        <v>67</v>
      </c>
      <c r="C702" s="7" t="s">
        <v>18</v>
      </c>
      <c r="D702" s="14">
        <v>0</v>
      </c>
      <c r="E702" s="14">
        <v>0</v>
      </c>
      <c r="F702" s="14">
        <v>0</v>
      </c>
      <c r="G702" s="14">
        <v>0</v>
      </c>
      <c r="H702" s="16">
        <v>1192</v>
      </c>
      <c r="I702" s="17">
        <v>470</v>
      </c>
      <c r="J702" s="14">
        <v>565</v>
      </c>
      <c r="K702" s="14">
        <v>12</v>
      </c>
      <c r="L702" s="14">
        <v>0</v>
      </c>
      <c r="M702" s="14">
        <v>0</v>
      </c>
      <c r="N702" s="14">
        <v>0</v>
      </c>
      <c r="O702" s="14">
        <v>145</v>
      </c>
      <c r="P702" s="14">
        <v>0</v>
      </c>
      <c r="Q702" s="14">
        <v>0</v>
      </c>
      <c r="R702" s="14">
        <v>0</v>
      </c>
      <c r="S702" s="14">
        <v>0</v>
      </c>
      <c r="T702" s="18">
        <v>0</v>
      </c>
      <c r="U702" s="14">
        <v>0.67659999999999998</v>
      </c>
      <c r="V702" s="41"/>
      <c r="W702" s="39">
        <f t="shared" si="84"/>
        <v>806.50720000000001</v>
      </c>
    </row>
    <row r="703" spans="1:23" x14ac:dyDescent="0.25">
      <c r="A703" s="7" t="s">
        <v>81</v>
      </c>
      <c r="B703" s="15" t="s">
        <v>73</v>
      </c>
      <c r="C703" s="7" t="s">
        <v>18</v>
      </c>
      <c r="D703" s="14">
        <v>0</v>
      </c>
      <c r="E703" s="14">
        <v>0</v>
      </c>
      <c r="F703" s="14">
        <v>0</v>
      </c>
      <c r="G703" s="14">
        <v>66</v>
      </c>
      <c r="H703" s="16">
        <v>1815</v>
      </c>
      <c r="I703" s="17">
        <v>956</v>
      </c>
      <c r="J703" s="14">
        <v>244</v>
      </c>
      <c r="K703" s="14">
        <v>64</v>
      </c>
      <c r="L703" s="14">
        <v>6</v>
      </c>
      <c r="M703" s="14">
        <v>102</v>
      </c>
      <c r="N703" s="14">
        <v>377</v>
      </c>
      <c r="O703" s="14">
        <v>0</v>
      </c>
      <c r="P703" s="14">
        <v>0</v>
      </c>
      <c r="Q703" s="14">
        <v>0</v>
      </c>
      <c r="R703" s="14">
        <v>0</v>
      </c>
      <c r="S703" s="14">
        <v>0</v>
      </c>
      <c r="T703" s="18">
        <v>0</v>
      </c>
      <c r="U703" s="14">
        <v>0.67659999999999998</v>
      </c>
      <c r="V703" s="41"/>
      <c r="W703" s="39">
        <f t="shared" si="84"/>
        <v>1183.3733999999999</v>
      </c>
    </row>
    <row r="704" spans="1:23" x14ac:dyDescent="0.25">
      <c r="A704" s="7" t="s">
        <v>81</v>
      </c>
      <c r="B704" s="15" t="s">
        <v>19</v>
      </c>
      <c r="C704" s="7" t="s">
        <v>18</v>
      </c>
      <c r="D704" s="14">
        <v>318</v>
      </c>
      <c r="E704" s="14">
        <v>46</v>
      </c>
      <c r="F704" s="14">
        <v>73</v>
      </c>
      <c r="G704" s="14">
        <v>123</v>
      </c>
      <c r="H704" s="16">
        <v>3544</v>
      </c>
      <c r="I704" s="17">
        <v>785</v>
      </c>
      <c r="J704" s="14">
        <v>1719</v>
      </c>
      <c r="K704" s="14">
        <v>119</v>
      </c>
      <c r="L704" s="14">
        <v>165</v>
      </c>
      <c r="M704" s="14">
        <v>39</v>
      </c>
      <c r="N704" s="14">
        <v>23</v>
      </c>
      <c r="O704" s="14">
        <v>11</v>
      </c>
      <c r="P704" s="14">
        <v>123</v>
      </c>
      <c r="Q704" s="14">
        <v>0</v>
      </c>
      <c r="R704" s="14">
        <v>0</v>
      </c>
      <c r="S704" s="14">
        <v>0</v>
      </c>
      <c r="T704" s="18">
        <v>0</v>
      </c>
      <c r="U704" s="14">
        <v>0.67659999999999998</v>
      </c>
      <c r="V704" s="41"/>
      <c r="W704" s="39">
        <f t="shared" si="84"/>
        <v>2018.9743999999998</v>
      </c>
    </row>
    <row r="705" spans="1:23" ht="13" thickBot="1" x14ac:dyDescent="0.3">
      <c r="A705" s="7" t="s">
        <v>81</v>
      </c>
      <c r="B705" s="19" t="s">
        <v>20</v>
      </c>
      <c r="C705" s="20" t="s">
        <v>18</v>
      </c>
      <c r="D705" s="21">
        <v>0</v>
      </c>
      <c r="E705" s="21">
        <v>0</v>
      </c>
      <c r="F705" s="21">
        <v>0</v>
      </c>
      <c r="G705" s="21">
        <v>0</v>
      </c>
      <c r="H705" s="22">
        <v>35</v>
      </c>
      <c r="I705" s="23">
        <v>0</v>
      </c>
      <c r="J705" s="21">
        <v>35</v>
      </c>
      <c r="K705" s="21">
        <v>0</v>
      </c>
      <c r="L705" s="21">
        <v>0</v>
      </c>
      <c r="M705" s="21">
        <v>0</v>
      </c>
      <c r="N705" s="21">
        <v>0</v>
      </c>
      <c r="O705" s="21">
        <v>0</v>
      </c>
      <c r="P705" s="21">
        <v>0</v>
      </c>
      <c r="Q705" s="21">
        <v>0</v>
      </c>
      <c r="R705" s="21">
        <v>0</v>
      </c>
      <c r="S705" s="21">
        <v>0</v>
      </c>
      <c r="T705" s="24">
        <v>0</v>
      </c>
      <c r="U705" s="14">
        <v>0.67659999999999998</v>
      </c>
      <c r="V705" s="44"/>
      <c r="W705" s="39">
        <f t="shared" si="84"/>
        <v>23.681000000000001</v>
      </c>
    </row>
    <row r="706" spans="1:23" ht="13" thickBot="1" x14ac:dyDescent="0.3">
      <c r="A706" s="7" t="s">
        <v>81</v>
      </c>
      <c r="B706" s="25" t="s">
        <v>12</v>
      </c>
      <c r="C706" s="26" t="s">
        <v>18</v>
      </c>
      <c r="D706" s="27">
        <v>990</v>
      </c>
      <c r="E706" s="27">
        <v>195</v>
      </c>
      <c r="F706" s="27">
        <v>372</v>
      </c>
      <c r="G706" s="27">
        <v>626</v>
      </c>
      <c r="H706" s="28">
        <v>13136</v>
      </c>
      <c r="I706" s="29">
        <v>4107</v>
      </c>
      <c r="J706" s="27">
        <v>3377</v>
      </c>
      <c r="K706" s="27">
        <v>654</v>
      </c>
      <c r="L706" s="27">
        <v>420</v>
      </c>
      <c r="M706" s="27">
        <v>141</v>
      </c>
      <c r="N706" s="27">
        <v>1615</v>
      </c>
      <c r="O706" s="27">
        <v>158</v>
      </c>
      <c r="P706" s="27">
        <v>481</v>
      </c>
      <c r="Q706" s="27">
        <v>0</v>
      </c>
      <c r="R706" s="27">
        <v>0</v>
      </c>
      <c r="S706" s="27">
        <v>0</v>
      </c>
      <c r="T706" s="29">
        <v>0</v>
      </c>
      <c r="U706" s="14">
        <v>0.67659999999999998</v>
      </c>
      <c r="V706" s="43">
        <f>SUM(I701:T704)/SUM(H701:H704)</f>
        <v>0.8055069079587468</v>
      </c>
      <c r="W706" s="39">
        <f t="shared" si="84"/>
        <v>7410.7997999999998</v>
      </c>
    </row>
    <row r="707" spans="1:23" x14ac:dyDescent="0.25">
      <c r="A707" s="7" t="s">
        <v>81</v>
      </c>
      <c r="B707" s="8" t="s">
        <v>17</v>
      </c>
      <c r="C707" s="9" t="s">
        <v>21</v>
      </c>
      <c r="D707" s="10">
        <v>0</v>
      </c>
      <c r="E707" s="10">
        <v>0</v>
      </c>
      <c r="F707" s="10">
        <v>0</v>
      </c>
      <c r="G707" s="10">
        <v>0</v>
      </c>
      <c r="H707" s="11">
        <v>44</v>
      </c>
      <c r="I707" s="12">
        <v>44</v>
      </c>
      <c r="J707" s="10">
        <v>0</v>
      </c>
      <c r="K707" s="10">
        <v>0</v>
      </c>
      <c r="L707" s="10">
        <v>0</v>
      </c>
      <c r="M707" s="10">
        <v>0</v>
      </c>
      <c r="N707" s="10">
        <v>0</v>
      </c>
      <c r="O707" s="10">
        <v>0</v>
      </c>
      <c r="P707" s="10">
        <v>0</v>
      </c>
      <c r="Q707" s="10">
        <v>0</v>
      </c>
      <c r="R707" s="10">
        <v>0</v>
      </c>
      <c r="S707" s="10">
        <v>0</v>
      </c>
      <c r="T707" s="13">
        <v>0</v>
      </c>
      <c r="U707" s="14">
        <v>0.67659999999999998</v>
      </c>
      <c r="W707" s="39">
        <f t="shared" si="84"/>
        <v>29.770399999999999</v>
      </c>
    </row>
    <row r="708" spans="1:23" x14ac:dyDescent="0.25">
      <c r="A708" s="7" t="s">
        <v>81</v>
      </c>
      <c r="B708" s="15" t="s">
        <v>66</v>
      </c>
      <c r="C708" s="7" t="s">
        <v>21</v>
      </c>
      <c r="D708" s="14">
        <v>0</v>
      </c>
      <c r="E708" s="14">
        <v>0</v>
      </c>
      <c r="F708" s="14">
        <v>0</v>
      </c>
      <c r="G708" s="14">
        <v>0</v>
      </c>
      <c r="H708" s="16">
        <v>3747</v>
      </c>
      <c r="I708" s="17">
        <v>780</v>
      </c>
      <c r="J708" s="14">
        <v>633</v>
      </c>
      <c r="K708" s="14">
        <v>139</v>
      </c>
      <c r="L708" s="14">
        <v>0</v>
      </c>
      <c r="M708" s="14">
        <v>0</v>
      </c>
      <c r="N708" s="14">
        <v>1790</v>
      </c>
      <c r="O708" s="14">
        <v>0</v>
      </c>
      <c r="P708" s="14">
        <v>405</v>
      </c>
      <c r="Q708" s="14">
        <v>0</v>
      </c>
      <c r="R708" s="14">
        <v>0</v>
      </c>
      <c r="S708" s="14">
        <v>0</v>
      </c>
      <c r="T708" s="18">
        <v>0</v>
      </c>
      <c r="U708" s="14">
        <v>0.67659999999999998</v>
      </c>
      <c r="W708" s="39">
        <f t="shared" si="84"/>
        <v>2535.2201999999997</v>
      </c>
    </row>
    <row r="709" spans="1:23" x14ac:dyDescent="0.25">
      <c r="A709" s="7" t="s">
        <v>81</v>
      </c>
      <c r="B709" s="15" t="s">
        <v>13</v>
      </c>
      <c r="C709" s="7" t="s">
        <v>21</v>
      </c>
      <c r="D709" s="14">
        <v>0</v>
      </c>
      <c r="E709" s="14">
        <v>0</v>
      </c>
      <c r="F709" s="14">
        <v>0</v>
      </c>
      <c r="G709" s="14">
        <v>0</v>
      </c>
      <c r="H709" s="16">
        <v>5569</v>
      </c>
      <c r="I709" s="17">
        <v>1580</v>
      </c>
      <c r="J709" s="14">
        <v>954</v>
      </c>
      <c r="K709" s="14">
        <v>303</v>
      </c>
      <c r="L709" s="14">
        <v>211</v>
      </c>
      <c r="M709" s="14">
        <v>35</v>
      </c>
      <c r="N709" s="14">
        <v>41</v>
      </c>
      <c r="O709" s="14">
        <v>589</v>
      </c>
      <c r="P709" s="14">
        <v>1856</v>
      </c>
      <c r="Q709" s="14">
        <v>0</v>
      </c>
      <c r="R709" s="14">
        <v>0</v>
      </c>
      <c r="S709" s="14">
        <v>0</v>
      </c>
      <c r="T709" s="18">
        <v>0</v>
      </c>
      <c r="U709" s="14">
        <v>0.67659999999999998</v>
      </c>
      <c r="W709" s="39">
        <f t="shared" si="84"/>
        <v>3767.9854</v>
      </c>
    </row>
    <row r="710" spans="1:23" x14ac:dyDescent="0.25">
      <c r="A710" s="7" t="s">
        <v>81</v>
      </c>
      <c r="B710" s="15" t="s">
        <v>67</v>
      </c>
      <c r="C710" s="7" t="s">
        <v>21</v>
      </c>
      <c r="D710" s="14">
        <v>0</v>
      </c>
      <c r="E710" s="14">
        <v>0</v>
      </c>
      <c r="F710" s="14">
        <v>0</v>
      </c>
      <c r="G710" s="14">
        <v>0</v>
      </c>
      <c r="H710" s="16">
        <v>1405</v>
      </c>
      <c r="I710" s="17">
        <v>228</v>
      </c>
      <c r="J710" s="14">
        <v>164</v>
      </c>
      <c r="K710" s="14">
        <v>138</v>
      </c>
      <c r="L710" s="14">
        <v>138</v>
      </c>
      <c r="M710" s="14">
        <v>123</v>
      </c>
      <c r="N710" s="14">
        <v>117</v>
      </c>
      <c r="O710" s="14">
        <v>117</v>
      </c>
      <c r="P710" s="14">
        <v>79</v>
      </c>
      <c r="Q710" s="14">
        <v>77</v>
      </c>
      <c r="R710" s="14">
        <v>76</v>
      </c>
      <c r="S710" s="14">
        <v>74</v>
      </c>
      <c r="T710" s="18">
        <v>74</v>
      </c>
      <c r="U710" s="14">
        <v>0.67659999999999998</v>
      </c>
      <c r="W710" s="39">
        <f t="shared" si="84"/>
        <v>950.62299999999993</v>
      </c>
    </row>
    <row r="711" spans="1:23" x14ac:dyDescent="0.25">
      <c r="A711" s="7" t="s">
        <v>81</v>
      </c>
      <c r="B711" s="15" t="s">
        <v>73</v>
      </c>
      <c r="C711" s="7" t="s">
        <v>21</v>
      </c>
      <c r="D711" s="14">
        <v>0</v>
      </c>
      <c r="E711" s="14">
        <v>0</v>
      </c>
      <c r="F711" s="14">
        <v>0</v>
      </c>
      <c r="G711" s="14">
        <v>0</v>
      </c>
      <c r="H711" s="16">
        <v>1009</v>
      </c>
      <c r="I711" s="17">
        <v>554</v>
      </c>
      <c r="J711" s="14">
        <v>253</v>
      </c>
      <c r="K711" s="14">
        <v>175</v>
      </c>
      <c r="L711" s="14">
        <v>0</v>
      </c>
      <c r="M711" s="14">
        <v>0</v>
      </c>
      <c r="N711" s="14">
        <v>0</v>
      </c>
      <c r="O711" s="14">
        <v>0</v>
      </c>
      <c r="P711" s="14">
        <v>27</v>
      </c>
      <c r="Q711" s="14">
        <v>0</v>
      </c>
      <c r="R711" s="14">
        <v>0</v>
      </c>
      <c r="S711" s="14">
        <v>0</v>
      </c>
      <c r="T711" s="18">
        <v>0</v>
      </c>
      <c r="U711" s="14">
        <v>0.67659999999999998</v>
      </c>
      <c r="W711" s="39">
        <f t="shared" si="84"/>
        <v>682.68939999999998</v>
      </c>
    </row>
    <row r="712" spans="1:23" x14ac:dyDescent="0.25">
      <c r="A712" s="7" t="s">
        <v>81</v>
      </c>
      <c r="B712" s="15" t="s">
        <v>19</v>
      </c>
      <c r="C712" s="7" t="s">
        <v>21</v>
      </c>
      <c r="D712" s="14">
        <v>0</v>
      </c>
      <c r="E712" s="14">
        <v>0</v>
      </c>
      <c r="F712" s="14">
        <v>0</v>
      </c>
      <c r="G712" s="14">
        <v>0</v>
      </c>
      <c r="H712" s="16">
        <v>5288</v>
      </c>
      <c r="I712" s="17">
        <v>845</v>
      </c>
      <c r="J712" s="14">
        <v>727</v>
      </c>
      <c r="K712" s="14">
        <v>656</v>
      </c>
      <c r="L712" s="14">
        <v>627</v>
      </c>
      <c r="M712" s="14">
        <v>570</v>
      </c>
      <c r="N712" s="14">
        <v>515</v>
      </c>
      <c r="O712" s="14">
        <v>537</v>
      </c>
      <c r="P712" s="14">
        <v>374</v>
      </c>
      <c r="Q712" s="14">
        <v>225</v>
      </c>
      <c r="R712" s="14">
        <v>114</v>
      </c>
      <c r="S712" s="14">
        <v>61</v>
      </c>
      <c r="T712" s="18">
        <v>37</v>
      </c>
      <c r="U712" s="14">
        <v>0.67659999999999998</v>
      </c>
      <c r="W712" s="39">
        <f t="shared" si="84"/>
        <v>3577.8607999999999</v>
      </c>
    </row>
    <row r="713" spans="1:23" ht="13" thickBot="1" x14ac:dyDescent="0.3">
      <c r="A713" s="7" t="s">
        <v>81</v>
      </c>
      <c r="B713" s="19" t="s">
        <v>20</v>
      </c>
      <c r="C713" s="20" t="s">
        <v>21</v>
      </c>
      <c r="D713" s="21">
        <v>0</v>
      </c>
      <c r="E713" s="21">
        <v>0</v>
      </c>
      <c r="F713" s="21">
        <v>0</v>
      </c>
      <c r="G713" s="21">
        <v>0</v>
      </c>
      <c r="H713" s="22">
        <v>1912</v>
      </c>
      <c r="I713" s="23">
        <v>346</v>
      </c>
      <c r="J713" s="21">
        <v>328</v>
      </c>
      <c r="K713" s="21">
        <v>111</v>
      </c>
      <c r="L713" s="21">
        <v>0</v>
      </c>
      <c r="M713" s="21">
        <v>640</v>
      </c>
      <c r="N713" s="21">
        <v>309</v>
      </c>
      <c r="O713" s="21">
        <v>178</v>
      </c>
      <c r="P713" s="21">
        <v>0</v>
      </c>
      <c r="Q713" s="21">
        <v>0</v>
      </c>
      <c r="R713" s="21">
        <v>0</v>
      </c>
      <c r="S713" s="21">
        <v>0</v>
      </c>
      <c r="T713" s="24">
        <v>0</v>
      </c>
      <c r="U713" s="14">
        <v>0.67659999999999998</v>
      </c>
      <c r="W713" s="39">
        <f t="shared" si="84"/>
        <v>1293.6592000000001</v>
      </c>
    </row>
    <row r="714" spans="1:23" ht="13" thickBot="1" x14ac:dyDescent="0.3">
      <c r="A714" s="20" t="s">
        <v>81</v>
      </c>
      <c r="B714" s="25" t="s">
        <v>12</v>
      </c>
      <c r="C714" s="26" t="s">
        <v>21</v>
      </c>
      <c r="D714" s="27">
        <v>0</v>
      </c>
      <c r="E714" s="27">
        <v>0</v>
      </c>
      <c r="F714" s="27">
        <v>0</v>
      </c>
      <c r="G714" s="27">
        <v>0</v>
      </c>
      <c r="H714" s="28">
        <v>18973</v>
      </c>
      <c r="I714" s="29">
        <v>4378</v>
      </c>
      <c r="J714" s="27">
        <v>3059</v>
      </c>
      <c r="K714" s="27">
        <v>1523</v>
      </c>
      <c r="L714" s="27">
        <v>976</v>
      </c>
      <c r="M714" s="27">
        <v>1367</v>
      </c>
      <c r="N714" s="27">
        <v>2772</v>
      </c>
      <c r="O714" s="27">
        <v>1421</v>
      </c>
      <c r="P714" s="27">
        <v>2740</v>
      </c>
      <c r="Q714" s="27">
        <v>302</v>
      </c>
      <c r="R714" s="27">
        <v>190</v>
      </c>
      <c r="S714" s="27">
        <v>135</v>
      </c>
      <c r="T714" s="29">
        <v>110</v>
      </c>
      <c r="U714" s="14">
        <v>0.67659999999999998</v>
      </c>
      <c r="W714" s="39">
        <f t="shared" si="84"/>
        <v>12837.131799999999</v>
      </c>
    </row>
    <row r="715" spans="1:23" ht="13" thickBot="1" x14ac:dyDescent="0.3">
      <c r="A715" s="9" t="s">
        <v>82</v>
      </c>
      <c r="B715" s="30" t="s">
        <v>15</v>
      </c>
      <c r="C715" s="31" t="s">
        <v>46</v>
      </c>
      <c r="D715" s="32" t="s">
        <v>47</v>
      </c>
      <c r="E715" s="53">
        <v>45689</v>
      </c>
      <c r="F715" s="53">
        <v>45717</v>
      </c>
      <c r="G715" s="53">
        <v>45748</v>
      </c>
      <c r="H715" s="28" t="s">
        <v>12</v>
      </c>
      <c r="I715" s="54">
        <v>45778</v>
      </c>
      <c r="J715" s="53">
        <v>45809</v>
      </c>
      <c r="K715" s="53">
        <v>45839</v>
      </c>
      <c r="L715" s="53">
        <v>45870</v>
      </c>
      <c r="M715" s="53">
        <v>45901</v>
      </c>
      <c r="N715" s="53">
        <v>45931</v>
      </c>
      <c r="O715" s="53">
        <v>45962</v>
      </c>
      <c r="P715" s="53">
        <v>45992</v>
      </c>
      <c r="Q715" s="53">
        <v>46023</v>
      </c>
      <c r="R715" s="53">
        <v>46054</v>
      </c>
      <c r="S715" s="53">
        <v>46082</v>
      </c>
      <c r="T715" s="55">
        <v>46113</v>
      </c>
      <c r="U715" s="14">
        <v>0.63439999999999996</v>
      </c>
      <c r="V715" s="14" t="s">
        <v>183</v>
      </c>
      <c r="W715" s="39">
        <f t="shared" si="84"/>
        <v>349778.97759999998</v>
      </c>
    </row>
    <row r="716" spans="1:23" x14ac:dyDescent="0.25">
      <c r="A716" s="7" t="s">
        <v>82</v>
      </c>
      <c r="B716" s="8" t="s">
        <v>17</v>
      </c>
      <c r="C716" s="9" t="s">
        <v>18</v>
      </c>
      <c r="D716" s="10">
        <v>13</v>
      </c>
      <c r="E716" s="10">
        <v>0</v>
      </c>
      <c r="F716" s="10">
        <v>0</v>
      </c>
      <c r="G716" s="10">
        <v>76</v>
      </c>
      <c r="H716" s="11">
        <v>571</v>
      </c>
      <c r="I716" s="12">
        <v>74</v>
      </c>
      <c r="J716" s="10">
        <v>119</v>
      </c>
      <c r="K716" s="10">
        <v>80</v>
      </c>
      <c r="L716" s="10">
        <v>209</v>
      </c>
      <c r="M716" s="10">
        <v>0</v>
      </c>
      <c r="N716" s="10">
        <v>0</v>
      </c>
      <c r="O716" s="10">
        <v>0</v>
      </c>
      <c r="P716" s="10">
        <v>0</v>
      </c>
      <c r="Q716" s="10">
        <v>0</v>
      </c>
      <c r="R716" s="10">
        <v>0</v>
      </c>
      <c r="S716" s="10">
        <v>0</v>
      </c>
      <c r="T716" s="13">
        <v>0</v>
      </c>
      <c r="U716" s="14">
        <v>0.63439999999999996</v>
      </c>
      <c r="V716" s="42">
        <f>SUM(I716:T716)/H716</f>
        <v>0.84413309982486862</v>
      </c>
      <c r="W716" s="39">
        <f t="shared" si="84"/>
        <v>305.7808</v>
      </c>
    </row>
    <row r="717" spans="1:23" x14ac:dyDescent="0.25">
      <c r="A717" s="7" t="s">
        <v>82</v>
      </c>
      <c r="B717" s="15" t="s">
        <v>66</v>
      </c>
      <c r="C717" s="7" t="s">
        <v>18</v>
      </c>
      <c r="D717" s="14">
        <v>0</v>
      </c>
      <c r="E717" s="14">
        <v>0</v>
      </c>
      <c r="F717" s="14">
        <v>0</v>
      </c>
      <c r="G717" s="14">
        <v>0</v>
      </c>
      <c r="H717" s="16">
        <v>444</v>
      </c>
      <c r="I717" s="17">
        <v>9</v>
      </c>
      <c r="J717" s="14">
        <v>69</v>
      </c>
      <c r="K717" s="14">
        <v>58</v>
      </c>
      <c r="L717" s="14">
        <v>92</v>
      </c>
      <c r="M717" s="14">
        <v>0</v>
      </c>
      <c r="N717" s="14">
        <v>214</v>
      </c>
      <c r="O717" s="14">
        <v>0</v>
      </c>
      <c r="P717" s="14">
        <v>0</v>
      </c>
      <c r="Q717" s="14">
        <v>0</v>
      </c>
      <c r="R717" s="14">
        <v>0</v>
      </c>
      <c r="S717" s="14">
        <v>0</v>
      </c>
      <c r="T717" s="18">
        <v>2</v>
      </c>
      <c r="U717" s="14">
        <v>0.63439999999999996</v>
      </c>
      <c r="V717" s="44"/>
      <c r="W717" s="39">
        <f t="shared" si="84"/>
        <v>281.67359999999996</v>
      </c>
    </row>
    <row r="718" spans="1:23" x14ac:dyDescent="0.25">
      <c r="A718" s="7" t="s">
        <v>82</v>
      </c>
      <c r="B718" s="15" t="s">
        <v>13</v>
      </c>
      <c r="C718" s="7" t="s">
        <v>18</v>
      </c>
      <c r="D718" s="14">
        <v>0</v>
      </c>
      <c r="E718" s="14">
        <v>0</v>
      </c>
      <c r="F718" s="14">
        <v>0</v>
      </c>
      <c r="G718" s="14">
        <v>8</v>
      </c>
      <c r="H718" s="16">
        <v>60</v>
      </c>
      <c r="I718" s="17">
        <v>39</v>
      </c>
      <c r="J718" s="14">
        <v>1</v>
      </c>
      <c r="K718" s="14">
        <v>4</v>
      </c>
      <c r="L718" s="14">
        <v>0</v>
      </c>
      <c r="M718" s="14">
        <v>0</v>
      </c>
      <c r="N718" s="14">
        <v>0</v>
      </c>
      <c r="O718" s="14">
        <v>0</v>
      </c>
      <c r="P718" s="14">
        <v>0</v>
      </c>
      <c r="Q718" s="14">
        <v>4</v>
      </c>
      <c r="R718" s="14">
        <v>0</v>
      </c>
      <c r="S718" s="14">
        <v>4</v>
      </c>
      <c r="T718" s="18">
        <v>0</v>
      </c>
      <c r="U718" s="14">
        <v>0.63439999999999996</v>
      </c>
      <c r="V718" s="41"/>
      <c r="W718" s="39">
        <f t="shared" si="84"/>
        <v>32.988799999999998</v>
      </c>
    </row>
    <row r="719" spans="1:23" x14ac:dyDescent="0.25">
      <c r="A719" s="7" t="s">
        <v>82</v>
      </c>
      <c r="B719" s="15" t="s">
        <v>67</v>
      </c>
      <c r="C719" s="7" t="s">
        <v>18</v>
      </c>
      <c r="D719" s="14">
        <v>0</v>
      </c>
      <c r="E719" s="14">
        <v>0</v>
      </c>
      <c r="F719" s="14">
        <v>0</v>
      </c>
      <c r="G719" s="14">
        <v>0</v>
      </c>
      <c r="H719" s="16">
        <v>5</v>
      </c>
      <c r="I719" s="17">
        <v>5</v>
      </c>
      <c r="J719" s="14">
        <v>0</v>
      </c>
      <c r="K719" s="14">
        <v>0</v>
      </c>
      <c r="L719" s="14">
        <v>0</v>
      </c>
      <c r="M719" s="14">
        <v>0</v>
      </c>
      <c r="N719" s="14">
        <v>0</v>
      </c>
      <c r="O719" s="14">
        <v>0</v>
      </c>
      <c r="P719" s="14">
        <v>0</v>
      </c>
      <c r="Q719" s="14">
        <v>0</v>
      </c>
      <c r="R719" s="14">
        <v>0</v>
      </c>
      <c r="S719" s="14">
        <v>0</v>
      </c>
      <c r="T719" s="18">
        <v>0</v>
      </c>
      <c r="U719" s="14">
        <v>0.63439999999999996</v>
      </c>
      <c r="V719" s="41"/>
      <c r="W719" s="39">
        <f t="shared" si="84"/>
        <v>3.1719999999999997</v>
      </c>
    </row>
    <row r="720" spans="1:23" x14ac:dyDescent="0.25">
      <c r="A720" s="7" t="s">
        <v>82</v>
      </c>
      <c r="B720" s="15" t="s">
        <v>73</v>
      </c>
      <c r="C720" s="7" t="s">
        <v>18</v>
      </c>
      <c r="D720" s="14">
        <v>0</v>
      </c>
      <c r="E720" s="14">
        <v>0</v>
      </c>
      <c r="F720" s="14">
        <v>0</v>
      </c>
      <c r="G720" s="14">
        <v>24</v>
      </c>
      <c r="H720" s="16">
        <v>267</v>
      </c>
      <c r="I720" s="17">
        <v>0</v>
      </c>
      <c r="J720" s="14">
        <v>4</v>
      </c>
      <c r="K720" s="14">
        <v>0</v>
      </c>
      <c r="L720" s="14">
        <v>239</v>
      </c>
      <c r="M720" s="14">
        <v>0</v>
      </c>
      <c r="N720" s="14">
        <v>0</v>
      </c>
      <c r="O720" s="14">
        <v>0</v>
      </c>
      <c r="P720" s="14">
        <v>0</v>
      </c>
      <c r="Q720" s="14">
        <v>0</v>
      </c>
      <c r="R720" s="14">
        <v>0</v>
      </c>
      <c r="S720" s="14">
        <v>0</v>
      </c>
      <c r="T720" s="18">
        <v>0</v>
      </c>
      <c r="U720" s="14">
        <v>0.63439999999999996</v>
      </c>
      <c r="V720" s="41"/>
      <c r="W720" s="39">
        <f t="shared" si="84"/>
        <v>154.1592</v>
      </c>
    </row>
    <row r="721" spans="1:29" x14ac:dyDescent="0.25">
      <c r="A721" s="7" t="s">
        <v>82</v>
      </c>
      <c r="B721" s="15" t="s">
        <v>19</v>
      </c>
      <c r="C721" s="7" t="s">
        <v>18</v>
      </c>
      <c r="D721" s="14">
        <v>0</v>
      </c>
      <c r="E721" s="14">
        <v>0</v>
      </c>
      <c r="F721" s="14">
        <v>28</v>
      </c>
      <c r="G721" s="14">
        <v>33</v>
      </c>
      <c r="H721" s="16">
        <v>867</v>
      </c>
      <c r="I721" s="17">
        <v>531</v>
      </c>
      <c r="J721" s="14">
        <v>53</v>
      </c>
      <c r="K721" s="14">
        <v>9</v>
      </c>
      <c r="L721" s="14">
        <v>30</v>
      </c>
      <c r="M721" s="14">
        <v>9</v>
      </c>
      <c r="N721" s="14">
        <v>28</v>
      </c>
      <c r="O721" s="14">
        <v>21</v>
      </c>
      <c r="P721" s="14">
        <v>125</v>
      </c>
      <c r="Q721" s="14">
        <v>0</v>
      </c>
      <c r="R721" s="14">
        <v>0</v>
      </c>
      <c r="S721" s="14">
        <v>0</v>
      </c>
      <c r="T721" s="18">
        <v>0</v>
      </c>
      <c r="U721" s="14">
        <v>0.63439999999999996</v>
      </c>
      <c r="V721" s="41"/>
      <c r="W721" s="39">
        <f t="shared" si="84"/>
        <v>511.32639999999998</v>
      </c>
    </row>
    <row r="722" spans="1:29" ht="13" thickBot="1" x14ac:dyDescent="0.3">
      <c r="A722" s="7" t="s">
        <v>82</v>
      </c>
      <c r="B722" s="19" t="s">
        <v>20</v>
      </c>
      <c r="C722" s="20" t="s">
        <v>18</v>
      </c>
      <c r="D722" s="21">
        <v>0</v>
      </c>
      <c r="E722" s="21">
        <v>0</v>
      </c>
      <c r="F722" s="21">
        <v>0</v>
      </c>
      <c r="G722" s="21">
        <v>0</v>
      </c>
      <c r="H722" s="22">
        <v>105</v>
      </c>
      <c r="I722" s="23">
        <v>2</v>
      </c>
      <c r="J722" s="21">
        <v>24</v>
      </c>
      <c r="K722" s="21">
        <v>10</v>
      </c>
      <c r="L722" s="21">
        <v>0</v>
      </c>
      <c r="M722" s="21">
        <v>0</v>
      </c>
      <c r="N722" s="21">
        <v>0</v>
      </c>
      <c r="O722" s="21">
        <v>0</v>
      </c>
      <c r="P722" s="21">
        <v>69</v>
      </c>
      <c r="Q722" s="21">
        <v>0</v>
      </c>
      <c r="R722" s="21">
        <v>0</v>
      </c>
      <c r="S722" s="21">
        <v>0</v>
      </c>
      <c r="T722" s="24">
        <v>0</v>
      </c>
      <c r="U722" s="14">
        <v>0.63439999999999996</v>
      </c>
      <c r="V722" s="44"/>
      <c r="W722" s="39">
        <f t="shared" si="84"/>
        <v>66.611999999999995</v>
      </c>
    </row>
    <row r="723" spans="1:29" ht="13" thickBot="1" x14ac:dyDescent="0.3">
      <c r="A723" s="7" t="s">
        <v>82</v>
      </c>
      <c r="B723" s="25" t="s">
        <v>12</v>
      </c>
      <c r="C723" s="26" t="s">
        <v>18</v>
      </c>
      <c r="D723" s="27">
        <v>13</v>
      </c>
      <c r="E723" s="27">
        <v>0</v>
      </c>
      <c r="F723" s="27">
        <v>28</v>
      </c>
      <c r="G723" s="27">
        <v>140</v>
      </c>
      <c r="H723" s="28">
        <v>2318</v>
      </c>
      <c r="I723" s="29">
        <v>660</v>
      </c>
      <c r="J723" s="27">
        <v>269</v>
      </c>
      <c r="K723" s="27">
        <v>161</v>
      </c>
      <c r="L723" s="27">
        <v>570</v>
      </c>
      <c r="M723" s="27">
        <v>9</v>
      </c>
      <c r="N723" s="27">
        <v>242</v>
      </c>
      <c r="O723" s="27">
        <v>21</v>
      </c>
      <c r="P723" s="27">
        <v>195</v>
      </c>
      <c r="Q723" s="27">
        <v>4</v>
      </c>
      <c r="R723" s="27">
        <v>0</v>
      </c>
      <c r="S723" s="27">
        <v>4</v>
      </c>
      <c r="T723" s="29">
        <v>2</v>
      </c>
      <c r="U723" s="14">
        <v>0.63439999999999996</v>
      </c>
      <c r="V723" s="43">
        <f>SUM(I718:T721)/SUM(H718:H721)</f>
        <v>0.92243536280233529</v>
      </c>
      <c r="W723" s="39">
        <f t="shared" si="84"/>
        <v>1355.7128</v>
      </c>
    </row>
    <row r="724" spans="1:29" x14ac:dyDescent="0.25">
      <c r="A724" s="7" t="s">
        <v>82</v>
      </c>
      <c r="B724" s="8" t="s">
        <v>17</v>
      </c>
      <c r="C724" s="9" t="s">
        <v>21</v>
      </c>
      <c r="D724" s="10">
        <v>0</v>
      </c>
      <c r="E724" s="10">
        <v>0</v>
      </c>
      <c r="F724" s="10">
        <v>0</v>
      </c>
      <c r="G724" s="10">
        <v>0</v>
      </c>
      <c r="H724" s="11">
        <v>117</v>
      </c>
      <c r="I724" s="12">
        <v>117</v>
      </c>
      <c r="J724" s="10">
        <v>0</v>
      </c>
      <c r="K724" s="10">
        <v>0</v>
      </c>
      <c r="L724" s="10">
        <v>0</v>
      </c>
      <c r="M724" s="10">
        <v>0</v>
      </c>
      <c r="N724" s="10">
        <v>0</v>
      </c>
      <c r="O724" s="10">
        <v>0</v>
      </c>
      <c r="P724" s="10">
        <v>0</v>
      </c>
      <c r="Q724" s="10">
        <v>0</v>
      </c>
      <c r="R724" s="10">
        <v>0</v>
      </c>
      <c r="S724" s="10">
        <v>0</v>
      </c>
      <c r="T724" s="13">
        <v>0</v>
      </c>
      <c r="U724" s="14">
        <v>0.63439999999999996</v>
      </c>
      <c r="W724" s="39">
        <f t="shared" si="84"/>
        <v>74.224800000000002</v>
      </c>
    </row>
    <row r="725" spans="1:29" x14ac:dyDescent="0.25">
      <c r="A725" s="7" t="s">
        <v>82</v>
      </c>
      <c r="B725" s="15" t="s">
        <v>66</v>
      </c>
      <c r="C725" s="7" t="s">
        <v>21</v>
      </c>
      <c r="D725" s="14">
        <v>0</v>
      </c>
      <c r="E725" s="14">
        <v>0</v>
      </c>
      <c r="F725" s="14">
        <v>0</v>
      </c>
      <c r="G725" s="14">
        <v>0</v>
      </c>
      <c r="H725" s="16">
        <v>196</v>
      </c>
      <c r="I725" s="17">
        <v>24</v>
      </c>
      <c r="J725" s="14">
        <v>0</v>
      </c>
      <c r="K725" s="14">
        <v>99</v>
      </c>
      <c r="L725" s="14">
        <v>0</v>
      </c>
      <c r="M725" s="14">
        <v>0</v>
      </c>
      <c r="N725" s="14">
        <v>55</v>
      </c>
      <c r="O725" s="14">
        <v>18</v>
      </c>
      <c r="P725" s="14">
        <v>0</v>
      </c>
      <c r="Q725" s="14">
        <v>0</v>
      </c>
      <c r="R725" s="14">
        <v>0</v>
      </c>
      <c r="S725" s="14">
        <v>0</v>
      </c>
      <c r="T725" s="18">
        <v>0</v>
      </c>
      <c r="U725" s="14">
        <v>0.63439999999999996</v>
      </c>
      <c r="W725" s="39">
        <f t="shared" si="84"/>
        <v>124.3424</v>
      </c>
    </row>
    <row r="726" spans="1:29" x14ac:dyDescent="0.25">
      <c r="A726" s="7" t="s">
        <v>82</v>
      </c>
      <c r="B726" s="15" t="s">
        <v>13</v>
      </c>
      <c r="C726" s="7" t="s">
        <v>21</v>
      </c>
      <c r="D726" s="14">
        <v>0</v>
      </c>
      <c r="E726" s="14">
        <v>0</v>
      </c>
      <c r="F726" s="14">
        <v>0</v>
      </c>
      <c r="G726" s="14">
        <v>0</v>
      </c>
      <c r="H726" s="16">
        <v>86</v>
      </c>
      <c r="I726" s="17">
        <v>42</v>
      </c>
      <c r="J726" s="14">
        <v>41</v>
      </c>
      <c r="K726" s="14">
        <v>3</v>
      </c>
      <c r="L726" s="14">
        <v>0</v>
      </c>
      <c r="M726" s="14">
        <v>0</v>
      </c>
      <c r="N726" s="14">
        <v>0</v>
      </c>
      <c r="O726" s="14">
        <v>0</v>
      </c>
      <c r="P726" s="14">
        <v>0</v>
      </c>
      <c r="Q726" s="14">
        <v>0</v>
      </c>
      <c r="R726" s="14">
        <v>0</v>
      </c>
      <c r="S726" s="14">
        <v>0</v>
      </c>
      <c r="T726" s="18">
        <v>0</v>
      </c>
      <c r="U726" s="14">
        <v>0.63439999999999996</v>
      </c>
      <c r="W726" s="39">
        <f t="shared" si="84"/>
        <v>54.558399999999999</v>
      </c>
    </row>
    <row r="727" spans="1:29" x14ac:dyDescent="0.25">
      <c r="A727" s="7" t="s">
        <v>82</v>
      </c>
      <c r="B727" s="15" t="s">
        <v>67</v>
      </c>
      <c r="C727" s="7" t="s">
        <v>21</v>
      </c>
      <c r="D727" s="14">
        <v>0</v>
      </c>
      <c r="E727" s="14">
        <v>0</v>
      </c>
      <c r="F727" s="14">
        <v>0</v>
      </c>
      <c r="G727" s="14">
        <v>0</v>
      </c>
      <c r="H727" s="16">
        <v>0</v>
      </c>
      <c r="I727" s="17">
        <v>0</v>
      </c>
      <c r="J727" s="14">
        <v>0</v>
      </c>
      <c r="K727" s="14">
        <v>0</v>
      </c>
      <c r="L727" s="14">
        <v>0</v>
      </c>
      <c r="M727" s="14">
        <v>0</v>
      </c>
      <c r="N727" s="14">
        <v>0</v>
      </c>
      <c r="O727" s="14">
        <v>0</v>
      </c>
      <c r="P727" s="14">
        <v>0</v>
      </c>
      <c r="Q727" s="14">
        <v>0</v>
      </c>
      <c r="R727" s="14">
        <v>0</v>
      </c>
      <c r="S727" s="14">
        <v>0</v>
      </c>
      <c r="T727" s="18">
        <v>0</v>
      </c>
      <c r="U727" s="14">
        <v>0.63439999999999996</v>
      </c>
      <c r="W727" s="39">
        <f t="shared" si="84"/>
        <v>0</v>
      </c>
    </row>
    <row r="728" spans="1:29" x14ac:dyDescent="0.25">
      <c r="A728" s="7" t="s">
        <v>82</v>
      </c>
      <c r="B728" s="15" t="s">
        <v>73</v>
      </c>
      <c r="C728" s="7" t="s">
        <v>21</v>
      </c>
      <c r="D728" s="14">
        <v>0</v>
      </c>
      <c r="E728" s="14">
        <v>0</v>
      </c>
      <c r="F728" s="14">
        <v>0</v>
      </c>
      <c r="G728" s="14">
        <v>0</v>
      </c>
      <c r="H728" s="16">
        <v>6</v>
      </c>
      <c r="I728" s="17">
        <v>6</v>
      </c>
      <c r="J728" s="14">
        <v>0</v>
      </c>
      <c r="K728" s="14">
        <v>0</v>
      </c>
      <c r="L728" s="14">
        <v>0</v>
      </c>
      <c r="M728" s="14">
        <v>0</v>
      </c>
      <c r="N728" s="14">
        <v>0</v>
      </c>
      <c r="O728" s="14">
        <v>0</v>
      </c>
      <c r="P728" s="14">
        <v>0</v>
      </c>
      <c r="Q728" s="14">
        <v>0</v>
      </c>
      <c r="R728" s="14">
        <v>0</v>
      </c>
      <c r="S728" s="14">
        <v>0</v>
      </c>
      <c r="T728" s="18">
        <v>0</v>
      </c>
      <c r="U728" s="14">
        <v>0.63439999999999996</v>
      </c>
      <c r="W728" s="39">
        <f t="shared" si="84"/>
        <v>3.8064</v>
      </c>
    </row>
    <row r="729" spans="1:29" x14ac:dyDescent="0.25">
      <c r="A729" s="7" t="s">
        <v>82</v>
      </c>
      <c r="B729" s="15" t="s">
        <v>19</v>
      </c>
      <c r="C729" s="7" t="s">
        <v>21</v>
      </c>
      <c r="D729" s="14">
        <v>0</v>
      </c>
      <c r="E729" s="14">
        <v>0</v>
      </c>
      <c r="F729" s="14">
        <v>0</v>
      </c>
      <c r="G729" s="14">
        <v>0</v>
      </c>
      <c r="H729" s="16">
        <v>679</v>
      </c>
      <c r="I729" s="17">
        <v>119</v>
      </c>
      <c r="J729" s="14">
        <v>45</v>
      </c>
      <c r="K729" s="14">
        <v>86</v>
      </c>
      <c r="L729" s="14">
        <v>74</v>
      </c>
      <c r="M729" s="14">
        <v>49</v>
      </c>
      <c r="N729" s="14">
        <v>37</v>
      </c>
      <c r="O729" s="14">
        <v>53</v>
      </c>
      <c r="P729" s="14">
        <v>50</v>
      </c>
      <c r="Q729" s="14">
        <v>30</v>
      </c>
      <c r="R729" s="14">
        <v>39</v>
      </c>
      <c r="S729" s="14">
        <v>78</v>
      </c>
      <c r="T729" s="18">
        <v>19</v>
      </c>
      <c r="U729" s="14">
        <v>0.63439999999999996</v>
      </c>
      <c r="W729" s="39">
        <f t="shared" si="84"/>
        <v>430.75759999999997</v>
      </c>
    </row>
    <row r="730" spans="1:29" ht="13" thickBot="1" x14ac:dyDescent="0.3">
      <c r="A730" s="7" t="s">
        <v>82</v>
      </c>
      <c r="B730" s="19" t="s">
        <v>20</v>
      </c>
      <c r="C730" s="20" t="s">
        <v>21</v>
      </c>
      <c r="D730" s="21">
        <v>0</v>
      </c>
      <c r="E730" s="21">
        <v>0</v>
      </c>
      <c r="F730" s="21">
        <v>0</v>
      </c>
      <c r="G730" s="21">
        <v>0</v>
      </c>
      <c r="H730" s="22">
        <v>771</v>
      </c>
      <c r="I730" s="23">
        <v>323</v>
      </c>
      <c r="J730" s="21">
        <v>341</v>
      </c>
      <c r="K730" s="21">
        <v>89</v>
      </c>
      <c r="L730" s="21">
        <v>0</v>
      </c>
      <c r="M730" s="21">
        <v>0</v>
      </c>
      <c r="N730" s="21">
        <v>13</v>
      </c>
      <c r="O730" s="21">
        <v>0</v>
      </c>
      <c r="P730" s="21">
        <v>5</v>
      </c>
      <c r="Q730" s="21">
        <v>0</v>
      </c>
      <c r="R730" s="21">
        <v>0</v>
      </c>
      <c r="S730" s="21">
        <v>0</v>
      </c>
      <c r="T730" s="24">
        <v>0</v>
      </c>
      <c r="U730" s="14">
        <v>0.63439999999999996</v>
      </c>
      <c r="W730" s="39">
        <f t="shared" si="84"/>
        <v>489.12239999999997</v>
      </c>
    </row>
    <row r="731" spans="1:29" ht="13" thickBot="1" x14ac:dyDescent="0.3">
      <c r="A731" s="20" t="s">
        <v>82</v>
      </c>
      <c r="B731" s="25" t="s">
        <v>12</v>
      </c>
      <c r="C731" s="26" t="s">
        <v>21</v>
      </c>
      <c r="D731" s="27">
        <v>0</v>
      </c>
      <c r="E731" s="27">
        <v>0</v>
      </c>
      <c r="F731" s="27">
        <v>0</v>
      </c>
      <c r="G731" s="27">
        <v>0</v>
      </c>
      <c r="H731" s="28">
        <v>1858</v>
      </c>
      <c r="I731" s="29">
        <v>633</v>
      </c>
      <c r="J731" s="27">
        <v>427</v>
      </c>
      <c r="K731" s="27">
        <v>278</v>
      </c>
      <c r="L731" s="27">
        <v>74</v>
      </c>
      <c r="M731" s="27">
        <v>49</v>
      </c>
      <c r="N731" s="27">
        <v>106</v>
      </c>
      <c r="O731" s="27">
        <v>71</v>
      </c>
      <c r="P731" s="27">
        <v>54</v>
      </c>
      <c r="Q731" s="27">
        <v>30</v>
      </c>
      <c r="R731" s="27">
        <v>39</v>
      </c>
      <c r="S731" s="27">
        <v>78</v>
      </c>
      <c r="T731" s="29">
        <v>19</v>
      </c>
      <c r="U731" s="14">
        <v>0.63439999999999996</v>
      </c>
      <c r="W731" s="39">
        <f t="shared" si="84"/>
        <v>1178.7151999999999</v>
      </c>
    </row>
    <row r="732" spans="1:29" ht="13" thickBot="1" x14ac:dyDescent="0.3">
      <c r="A732" s="7" t="s">
        <v>95</v>
      </c>
      <c r="B732" s="30" t="s">
        <v>15</v>
      </c>
      <c r="C732" s="31" t="s">
        <v>94</v>
      </c>
      <c r="D732" s="32" t="s">
        <v>47</v>
      </c>
      <c r="E732" s="53" t="s">
        <v>116</v>
      </c>
      <c r="F732" s="53" t="s">
        <v>117</v>
      </c>
      <c r="G732" s="53" t="s">
        <v>118</v>
      </c>
      <c r="H732" s="28" t="s">
        <v>12</v>
      </c>
      <c r="I732" s="54" t="s">
        <v>119</v>
      </c>
      <c r="J732" s="53" t="s">
        <v>174</v>
      </c>
      <c r="K732" s="53" t="s">
        <v>175</v>
      </c>
      <c r="L732" s="53" t="s">
        <v>99</v>
      </c>
      <c r="M732" s="53" t="s">
        <v>100</v>
      </c>
      <c r="N732" s="53" t="s">
        <v>101</v>
      </c>
      <c r="O732" s="53" t="s">
        <v>102</v>
      </c>
      <c r="P732" s="53" t="s">
        <v>103</v>
      </c>
      <c r="Q732" s="53" t="s">
        <v>104</v>
      </c>
      <c r="R732" s="53" t="s">
        <v>105</v>
      </c>
      <c r="S732" s="53" t="s">
        <v>106</v>
      </c>
      <c r="T732" s="55" t="s">
        <v>107</v>
      </c>
      <c r="U732" s="14">
        <v>1.175</v>
      </c>
      <c r="V732" s="14" t="s">
        <v>183</v>
      </c>
      <c r="W732" s="39">
        <f t="shared" si="84"/>
        <v>0</v>
      </c>
      <c r="X732" s="14" t="s">
        <v>37</v>
      </c>
      <c r="Y732" s="14" t="s">
        <v>38</v>
      </c>
      <c r="AB732" s="48"/>
      <c r="AC732" s="48"/>
    </row>
    <row r="733" spans="1:29" x14ac:dyDescent="0.25">
      <c r="A733" s="7" t="s">
        <v>95</v>
      </c>
      <c r="B733" s="8" t="s">
        <v>17</v>
      </c>
      <c r="C733" s="9" t="s">
        <v>18</v>
      </c>
      <c r="D733" s="10">
        <v>0</v>
      </c>
      <c r="E733" s="10">
        <v>0</v>
      </c>
      <c r="F733" s="10">
        <v>0</v>
      </c>
      <c r="G733" s="10">
        <v>0</v>
      </c>
      <c r="H733" s="11">
        <v>0</v>
      </c>
      <c r="I733" s="12">
        <v>0</v>
      </c>
      <c r="J733" s="10">
        <v>0</v>
      </c>
      <c r="K733" s="10">
        <v>0</v>
      </c>
      <c r="L733" s="10">
        <v>0</v>
      </c>
      <c r="M733" s="10">
        <v>0</v>
      </c>
      <c r="N733" s="10">
        <v>0</v>
      </c>
      <c r="O733" s="10">
        <v>0</v>
      </c>
      <c r="P733" s="10">
        <v>0</v>
      </c>
      <c r="Q733" s="10">
        <v>0</v>
      </c>
      <c r="R733" s="10">
        <v>0</v>
      </c>
      <c r="S733" s="10">
        <v>0</v>
      </c>
      <c r="T733" s="13">
        <v>0</v>
      </c>
      <c r="U733" s="14">
        <v>1.175</v>
      </c>
      <c r="V733" s="42" t="e">
        <f>SUM(I733:T733)/H733</f>
        <v>#DIV/0!</v>
      </c>
      <c r="W733" s="39">
        <f t="shared" si="84"/>
        <v>0</v>
      </c>
    </row>
    <row r="734" spans="1:29" x14ac:dyDescent="0.25">
      <c r="A734" s="7" t="s">
        <v>95</v>
      </c>
      <c r="B734" s="15" t="s">
        <v>66</v>
      </c>
      <c r="C734" s="7" t="s">
        <v>18</v>
      </c>
      <c r="D734" s="14">
        <v>0</v>
      </c>
      <c r="E734" s="14">
        <v>0</v>
      </c>
      <c r="F734" s="14">
        <v>0</v>
      </c>
      <c r="G734" s="14">
        <v>0</v>
      </c>
      <c r="H734" s="16">
        <v>0</v>
      </c>
      <c r="I734" s="17">
        <v>0</v>
      </c>
      <c r="J734" s="14">
        <v>0</v>
      </c>
      <c r="K734" s="14">
        <v>0</v>
      </c>
      <c r="L734" s="14">
        <v>0</v>
      </c>
      <c r="M734" s="14">
        <v>0</v>
      </c>
      <c r="N734" s="14">
        <v>0</v>
      </c>
      <c r="O734" s="14">
        <v>0</v>
      </c>
      <c r="P734" s="14">
        <v>0</v>
      </c>
      <c r="Q734" s="14">
        <v>0</v>
      </c>
      <c r="R734" s="14">
        <v>0</v>
      </c>
      <c r="S734" s="14">
        <v>0</v>
      </c>
      <c r="T734" s="18">
        <v>0</v>
      </c>
      <c r="U734" s="14">
        <v>1.175</v>
      </c>
      <c r="V734" s="44"/>
      <c r="W734" s="39">
        <f t="shared" si="84"/>
        <v>0</v>
      </c>
    </row>
    <row r="735" spans="1:29" x14ac:dyDescent="0.25">
      <c r="A735" s="7" t="s">
        <v>95</v>
      </c>
      <c r="B735" s="15" t="s">
        <v>13</v>
      </c>
      <c r="C735" s="7" t="s">
        <v>18</v>
      </c>
      <c r="D735" s="14">
        <v>104</v>
      </c>
      <c r="E735" s="14">
        <v>0</v>
      </c>
      <c r="F735" s="14">
        <v>0</v>
      </c>
      <c r="G735" s="14">
        <v>0</v>
      </c>
      <c r="H735" s="16">
        <v>108</v>
      </c>
      <c r="I735" s="17">
        <v>4</v>
      </c>
      <c r="J735" s="14">
        <v>0</v>
      </c>
      <c r="K735" s="14">
        <v>0</v>
      </c>
      <c r="L735" s="14">
        <v>0</v>
      </c>
      <c r="M735" s="14">
        <v>0</v>
      </c>
      <c r="N735" s="14">
        <v>0</v>
      </c>
      <c r="O735" s="14">
        <v>0</v>
      </c>
      <c r="P735" s="14">
        <v>0</v>
      </c>
      <c r="Q735" s="14">
        <v>0</v>
      </c>
      <c r="R735" s="14">
        <v>0</v>
      </c>
      <c r="S735" s="14">
        <v>0</v>
      </c>
      <c r="T735" s="18">
        <v>0</v>
      </c>
      <c r="U735" s="14">
        <v>1.175</v>
      </c>
      <c r="V735" s="41"/>
      <c r="W735" s="39">
        <f t="shared" si="84"/>
        <v>4.7</v>
      </c>
    </row>
    <row r="736" spans="1:29" x14ac:dyDescent="0.25">
      <c r="A736" s="7" t="s">
        <v>95</v>
      </c>
      <c r="B736" s="15" t="s">
        <v>67</v>
      </c>
      <c r="C736" s="7" t="s">
        <v>18</v>
      </c>
      <c r="D736" s="14">
        <v>10193</v>
      </c>
      <c r="E736" s="14">
        <v>2096</v>
      </c>
      <c r="F736" s="14">
        <v>1240</v>
      </c>
      <c r="G736" s="14">
        <v>1359</v>
      </c>
      <c r="H736" s="16">
        <v>15689</v>
      </c>
      <c r="I736" s="17">
        <v>268</v>
      </c>
      <c r="J736" s="14">
        <v>185</v>
      </c>
      <c r="K736" s="14">
        <v>17</v>
      </c>
      <c r="L736" s="14">
        <v>136</v>
      </c>
      <c r="M736" s="14">
        <v>38</v>
      </c>
      <c r="N736" s="14">
        <v>2</v>
      </c>
      <c r="O736" s="14">
        <v>32</v>
      </c>
      <c r="P736" s="14">
        <v>123</v>
      </c>
      <c r="Q736" s="14">
        <v>0</v>
      </c>
      <c r="R736" s="14">
        <v>0</v>
      </c>
      <c r="S736" s="14">
        <v>0</v>
      </c>
      <c r="T736" s="18">
        <v>0</v>
      </c>
      <c r="U736" s="14">
        <v>1.175</v>
      </c>
      <c r="V736" s="41"/>
      <c r="W736" s="39">
        <f t="shared" si="84"/>
        <v>941.17500000000007</v>
      </c>
    </row>
    <row r="737" spans="1:29" x14ac:dyDescent="0.25">
      <c r="A737" s="7" t="s">
        <v>95</v>
      </c>
      <c r="B737" s="15" t="s">
        <v>73</v>
      </c>
      <c r="C737" s="7" t="s">
        <v>18</v>
      </c>
      <c r="D737" s="14">
        <v>0</v>
      </c>
      <c r="E737" s="14">
        <v>0</v>
      </c>
      <c r="F737" s="14">
        <v>0</v>
      </c>
      <c r="G737" s="14">
        <v>0</v>
      </c>
      <c r="H737" s="16">
        <v>0</v>
      </c>
      <c r="I737" s="17">
        <v>0</v>
      </c>
      <c r="J737" s="14">
        <v>0</v>
      </c>
      <c r="K737" s="14">
        <v>0</v>
      </c>
      <c r="L737" s="14">
        <v>0</v>
      </c>
      <c r="M737" s="14">
        <v>0</v>
      </c>
      <c r="N737" s="14">
        <v>0</v>
      </c>
      <c r="O737" s="14">
        <v>0</v>
      </c>
      <c r="P737" s="14">
        <v>0</v>
      </c>
      <c r="Q737" s="14">
        <v>0</v>
      </c>
      <c r="R737" s="14">
        <v>0</v>
      </c>
      <c r="S737" s="14">
        <v>0</v>
      </c>
      <c r="T737" s="18">
        <v>0</v>
      </c>
      <c r="U737" s="14">
        <v>1.175</v>
      </c>
      <c r="V737" s="41"/>
      <c r="W737" s="39">
        <f t="shared" si="84"/>
        <v>0</v>
      </c>
    </row>
    <row r="738" spans="1:29" x14ac:dyDescent="0.25">
      <c r="A738" s="7" t="s">
        <v>95</v>
      </c>
      <c r="B738" s="15" t="s">
        <v>19</v>
      </c>
      <c r="C738" s="7" t="s">
        <v>18</v>
      </c>
      <c r="D738" s="14">
        <v>0</v>
      </c>
      <c r="E738" s="14">
        <v>0</v>
      </c>
      <c r="F738" s="14">
        <v>0</v>
      </c>
      <c r="G738" s="14">
        <v>0</v>
      </c>
      <c r="H738" s="16">
        <v>0</v>
      </c>
      <c r="I738" s="17">
        <v>0</v>
      </c>
      <c r="J738" s="14">
        <v>0</v>
      </c>
      <c r="K738" s="14">
        <v>0</v>
      </c>
      <c r="L738" s="14">
        <v>0</v>
      </c>
      <c r="M738" s="14">
        <v>0</v>
      </c>
      <c r="N738" s="14">
        <v>0</v>
      </c>
      <c r="O738" s="14">
        <v>0</v>
      </c>
      <c r="P738" s="14">
        <v>0</v>
      </c>
      <c r="Q738" s="14">
        <v>0</v>
      </c>
      <c r="R738" s="14">
        <v>0</v>
      </c>
      <c r="S738" s="14">
        <v>0</v>
      </c>
      <c r="T738" s="18">
        <v>0</v>
      </c>
      <c r="U738" s="14">
        <v>1.175</v>
      </c>
      <c r="V738" s="41"/>
      <c r="W738" s="39">
        <f t="shared" si="84"/>
        <v>0</v>
      </c>
    </row>
    <row r="739" spans="1:29" ht="13" thickBot="1" x14ac:dyDescent="0.3">
      <c r="A739" s="7" t="s">
        <v>95</v>
      </c>
      <c r="B739" s="19" t="s">
        <v>20</v>
      </c>
      <c r="C739" s="20" t="s">
        <v>18</v>
      </c>
      <c r="D739" s="21">
        <v>0</v>
      </c>
      <c r="E739" s="21">
        <v>0</v>
      </c>
      <c r="F739" s="21">
        <v>0</v>
      </c>
      <c r="G739" s="21">
        <v>0</v>
      </c>
      <c r="H739" s="22">
        <v>0</v>
      </c>
      <c r="I739" s="23">
        <v>0</v>
      </c>
      <c r="J739" s="21">
        <v>0</v>
      </c>
      <c r="K739" s="21">
        <v>0</v>
      </c>
      <c r="L739" s="21">
        <v>0</v>
      </c>
      <c r="M739" s="21">
        <v>0</v>
      </c>
      <c r="N739" s="21">
        <v>0</v>
      </c>
      <c r="O739" s="21">
        <v>0</v>
      </c>
      <c r="P739" s="21">
        <v>0</v>
      </c>
      <c r="Q739" s="21">
        <v>0</v>
      </c>
      <c r="R739" s="21">
        <v>0</v>
      </c>
      <c r="S739" s="21">
        <v>0</v>
      </c>
      <c r="T739" s="24">
        <v>0</v>
      </c>
      <c r="U739" s="14">
        <v>1.175</v>
      </c>
      <c r="V739" s="44"/>
      <c r="W739" s="39">
        <f t="shared" si="84"/>
        <v>0</v>
      </c>
    </row>
    <row r="740" spans="1:29" ht="13" thickBot="1" x14ac:dyDescent="0.3">
      <c r="A740" s="7" t="s">
        <v>95</v>
      </c>
      <c r="B740" s="25" t="s">
        <v>12</v>
      </c>
      <c r="C740" s="26" t="s">
        <v>18</v>
      </c>
      <c r="D740" s="27">
        <v>10297</v>
      </c>
      <c r="E740" s="27">
        <v>2096</v>
      </c>
      <c r="F740" s="27">
        <v>1240</v>
      </c>
      <c r="G740" s="27">
        <v>1359</v>
      </c>
      <c r="H740" s="28">
        <v>15797</v>
      </c>
      <c r="I740" s="29">
        <v>272</v>
      </c>
      <c r="J740" s="27">
        <v>185</v>
      </c>
      <c r="K740" s="27">
        <v>17</v>
      </c>
      <c r="L740" s="27">
        <v>136</v>
      </c>
      <c r="M740" s="27">
        <v>38</v>
      </c>
      <c r="N740" s="27">
        <v>2</v>
      </c>
      <c r="O740" s="27">
        <v>32</v>
      </c>
      <c r="P740" s="27">
        <v>123</v>
      </c>
      <c r="Q740" s="27">
        <v>0</v>
      </c>
      <c r="R740" s="27">
        <v>0</v>
      </c>
      <c r="S740" s="27">
        <v>0</v>
      </c>
      <c r="T740" s="29">
        <v>0</v>
      </c>
      <c r="U740" s="14">
        <v>1.175</v>
      </c>
      <c r="V740" s="43">
        <f>SUM(I735:T738)/SUM(H735:H738)</f>
        <v>5.0959042856238528E-2</v>
      </c>
      <c r="W740" s="39">
        <f t="shared" si="84"/>
        <v>945.875</v>
      </c>
      <c r="X740" s="35">
        <f>W738+W735</f>
        <v>4.7</v>
      </c>
      <c r="Y740" s="35">
        <f>W733</f>
        <v>0</v>
      </c>
    </row>
    <row r="741" spans="1:29" x14ac:dyDescent="0.25">
      <c r="A741" s="7" t="s">
        <v>95</v>
      </c>
      <c r="B741" s="8" t="s">
        <v>17</v>
      </c>
      <c r="C741" s="9" t="s">
        <v>21</v>
      </c>
      <c r="D741" s="10">
        <v>0</v>
      </c>
      <c r="E741" s="10">
        <v>0</v>
      </c>
      <c r="F741" s="10">
        <v>0</v>
      </c>
      <c r="G741" s="10">
        <v>0</v>
      </c>
      <c r="H741" s="11">
        <v>0</v>
      </c>
      <c r="I741" s="12">
        <v>0</v>
      </c>
      <c r="J741" s="10">
        <v>0</v>
      </c>
      <c r="K741" s="10">
        <v>0</v>
      </c>
      <c r="L741" s="10">
        <v>0</v>
      </c>
      <c r="M741" s="10">
        <v>0</v>
      </c>
      <c r="N741" s="10">
        <v>0</v>
      </c>
      <c r="O741" s="10">
        <v>0</v>
      </c>
      <c r="P741" s="10">
        <v>0</v>
      </c>
      <c r="Q741" s="10">
        <v>0</v>
      </c>
      <c r="R741" s="10">
        <v>0</v>
      </c>
      <c r="S741" s="10">
        <v>0</v>
      </c>
      <c r="T741" s="13">
        <v>0</v>
      </c>
      <c r="U741" s="14">
        <v>1.175</v>
      </c>
      <c r="W741" s="39">
        <f t="shared" si="84"/>
        <v>0</v>
      </c>
      <c r="AB741" s="37" t="str">
        <f t="shared" ref="AB741:AB744" si="85">B741</f>
        <v>Parts-OTC</v>
      </c>
      <c r="AC741" s="36">
        <f t="shared" ref="AC741:AC744" si="86">I741*U741</f>
        <v>0</v>
      </c>
    </row>
    <row r="742" spans="1:29" x14ac:dyDescent="0.25">
      <c r="A742" s="7" t="s">
        <v>95</v>
      </c>
      <c r="B742" s="15" t="s">
        <v>66</v>
      </c>
      <c r="C742" s="7" t="s">
        <v>21</v>
      </c>
      <c r="D742" s="14">
        <v>0</v>
      </c>
      <c r="E742" s="14">
        <v>0</v>
      </c>
      <c r="F742" s="14">
        <v>0</v>
      </c>
      <c r="G742" s="14">
        <v>0</v>
      </c>
      <c r="H742" s="16">
        <v>0</v>
      </c>
      <c r="I742" s="17">
        <v>0</v>
      </c>
      <c r="J742" s="14">
        <v>0</v>
      </c>
      <c r="K742" s="14">
        <v>0</v>
      </c>
      <c r="L742" s="14">
        <v>0</v>
      </c>
      <c r="M742" s="14">
        <v>0</v>
      </c>
      <c r="N742" s="14">
        <v>0</v>
      </c>
      <c r="O742" s="14">
        <v>0</v>
      </c>
      <c r="P742" s="14">
        <v>0</v>
      </c>
      <c r="Q742" s="14">
        <v>0</v>
      </c>
      <c r="R742" s="14">
        <v>0</v>
      </c>
      <c r="S742" s="14">
        <v>0</v>
      </c>
      <c r="T742" s="18">
        <v>0</v>
      </c>
      <c r="U742" s="14">
        <v>1.175</v>
      </c>
      <c r="W742" s="39">
        <f t="shared" si="84"/>
        <v>0</v>
      </c>
      <c r="AB742" s="37" t="str">
        <f t="shared" si="85"/>
        <v>CTKS</v>
      </c>
      <c r="AC742" s="36">
        <f t="shared" si="86"/>
        <v>0</v>
      </c>
    </row>
    <row r="743" spans="1:29" x14ac:dyDescent="0.25">
      <c r="A743" s="7" t="s">
        <v>95</v>
      </c>
      <c r="B743" s="15" t="s">
        <v>13</v>
      </c>
      <c r="C743" s="7" t="s">
        <v>21</v>
      </c>
      <c r="D743" s="14">
        <v>0</v>
      </c>
      <c r="E743" s="14">
        <v>0</v>
      </c>
      <c r="F743" s="14">
        <v>0</v>
      </c>
      <c r="G743" s="14">
        <v>0</v>
      </c>
      <c r="H743" s="16">
        <v>274</v>
      </c>
      <c r="I743" s="33">
        <v>274</v>
      </c>
      <c r="J743" s="34">
        <v>0</v>
      </c>
      <c r="K743" s="34">
        <v>0</v>
      </c>
      <c r="L743" s="14">
        <v>0</v>
      </c>
      <c r="M743" s="14">
        <v>0</v>
      </c>
      <c r="N743" s="14">
        <v>0</v>
      </c>
      <c r="O743" s="14">
        <v>0</v>
      </c>
      <c r="P743" s="14">
        <v>0</v>
      </c>
      <c r="Q743" s="14">
        <v>0</v>
      </c>
      <c r="R743" s="14">
        <v>0</v>
      </c>
      <c r="S743" s="14">
        <v>0</v>
      </c>
      <c r="T743" s="18">
        <v>0</v>
      </c>
      <c r="U743" s="14">
        <v>1.175</v>
      </c>
      <c r="W743" s="39">
        <f t="shared" si="84"/>
        <v>321.95</v>
      </c>
      <c r="AB743" s="37" t="str">
        <f t="shared" si="85"/>
        <v>Repair</v>
      </c>
      <c r="AC743" s="36">
        <f t="shared" si="86"/>
        <v>321.95</v>
      </c>
    </row>
    <row r="744" spans="1:29" x14ac:dyDescent="0.25">
      <c r="A744" s="7" t="s">
        <v>95</v>
      </c>
      <c r="B744" s="15" t="s">
        <v>67</v>
      </c>
      <c r="C744" s="7" t="s">
        <v>21</v>
      </c>
      <c r="D744" s="14">
        <v>0</v>
      </c>
      <c r="E744" s="14">
        <v>0</v>
      </c>
      <c r="F744" s="14">
        <v>0</v>
      </c>
      <c r="G744" s="14">
        <v>0</v>
      </c>
      <c r="H744" s="16">
        <v>12699</v>
      </c>
      <c r="I744" s="17">
        <v>10617</v>
      </c>
      <c r="J744" s="14">
        <v>69</v>
      </c>
      <c r="K744" s="14">
        <v>45</v>
      </c>
      <c r="L744" s="14">
        <v>49</v>
      </c>
      <c r="M744" s="14">
        <v>46</v>
      </c>
      <c r="N744" s="14">
        <v>29</v>
      </c>
      <c r="O744" s="14">
        <v>40</v>
      </c>
      <c r="P744" s="14">
        <v>1691</v>
      </c>
      <c r="Q744" s="14">
        <v>30</v>
      </c>
      <c r="R744" s="14">
        <v>27</v>
      </c>
      <c r="S744" s="14">
        <v>31</v>
      </c>
      <c r="T744" s="18">
        <v>25</v>
      </c>
      <c r="U744" s="14">
        <v>1.175</v>
      </c>
      <c r="W744" s="39">
        <f t="shared" si="84"/>
        <v>14921.325000000001</v>
      </c>
      <c r="AB744" s="37" t="str">
        <f t="shared" si="85"/>
        <v>Rental</v>
      </c>
      <c r="AC744" s="36">
        <f t="shared" si="86"/>
        <v>12474.975</v>
      </c>
    </row>
    <row r="745" spans="1:29" x14ac:dyDescent="0.25">
      <c r="A745" s="7" t="s">
        <v>95</v>
      </c>
      <c r="B745" s="15" t="s">
        <v>73</v>
      </c>
      <c r="C745" s="7" t="s">
        <v>21</v>
      </c>
      <c r="D745" s="14">
        <v>0</v>
      </c>
      <c r="E745" s="14">
        <v>0</v>
      </c>
      <c r="F745" s="14">
        <v>0</v>
      </c>
      <c r="G745" s="14">
        <v>0</v>
      </c>
      <c r="H745" s="16">
        <v>0</v>
      </c>
      <c r="I745" s="17">
        <v>0</v>
      </c>
      <c r="J745" s="14">
        <v>0</v>
      </c>
      <c r="K745" s="14">
        <v>0</v>
      </c>
      <c r="L745" s="14">
        <v>0</v>
      </c>
      <c r="M745" s="14">
        <v>0</v>
      </c>
      <c r="N745" s="14">
        <v>0</v>
      </c>
      <c r="O745" s="14">
        <v>0</v>
      </c>
      <c r="P745" s="14">
        <v>0</v>
      </c>
      <c r="Q745" s="14">
        <v>0</v>
      </c>
      <c r="R745" s="14">
        <v>0</v>
      </c>
      <c r="S745" s="14">
        <v>0</v>
      </c>
      <c r="T745" s="18">
        <v>0</v>
      </c>
      <c r="U745" s="14">
        <v>1.175</v>
      </c>
      <c r="W745" s="39">
        <f t="shared" si="84"/>
        <v>0</v>
      </c>
      <c r="AB745" s="37"/>
    </row>
    <row r="746" spans="1:29" x14ac:dyDescent="0.25">
      <c r="A746" s="7" t="s">
        <v>95</v>
      </c>
      <c r="B746" s="15" t="s">
        <v>19</v>
      </c>
      <c r="C746" s="7" t="s">
        <v>21</v>
      </c>
      <c r="D746" s="14">
        <v>0</v>
      </c>
      <c r="E746" s="14">
        <v>0</v>
      </c>
      <c r="F746" s="14">
        <v>0</v>
      </c>
      <c r="G746" s="14">
        <v>0</v>
      </c>
      <c r="H746" s="16">
        <v>2</v>
      </c>
      <c r="I746" s="17">
        <v>0</v>
      </c>
      <c r="J746" s="14">
        <v>0</v>
      </c>
      <c r="K746" s="14">
        <v>2</v>
      </c>
      <c r="L746" s="14">
        <v>0</v>
      </c>
      <c r="M746" s="14">
        <v>0</v>
      </c>
      <c r="N746" s="14">
        <v>0</v>
      </c>
      <c r="O746" s="14">
        <v>0</v>
      </c>
      <c r="P746" s="14">
        <v>0</v>
      </c>
      <c r="Q746" s="14">
        <v>0</v>
      </c>
      <c r="R746" s="14">
        <v>0</v>
      </c>
      <c r="S746" s="14">
        <v>0</v>
      </c>
      <c r="T746" s="18">
        <v>0</v>
      </c>
      <c r="U746" s="14">
        <v>1.175</v>
      </c>
      <c r="W746" s="39">
        <f t="shared" si="84"/>
        <v>2.35</v>
      </c>
      <c r="AB746" s="37" t="str">
        <f t="shared" ref="AB746:AB747" si="87">B746</f>
        <v>Maintenance</v>
      </c>
      <c r="AC746" s="36">
        <f t="shared" ref="AC746:AC747" si="88">I746*U746</f>
        <v>0</v>
      </c>
    </row>
    <row r="747" spans="1:29" ht="13" thickBot="1" x14ac:dyDescent="0.3">
      <c r="A747" s="7" t="s">
        <v>95</v>
      </c>
      <c r="B747" s="19" t="s">
        <v>20</v>
      </c>
      <c r="C747" s="20" t="s">
        <v>21</v>
      </c>
      <c r="D747" s="21">
        <v>0</v>
      </c>
      <c r="E747" s="21">
        <v>0</v>
      </c>
      <c r="F747" s="21">
        <v>0</v>
      </c>
      <c r="G747" s="21">
        <v>0</v>
      </c>
      <c r="H747" s="22">
        <v>7</v>
      </c>
      <c r="I747" s="23">
        <v>7</v>
      </c>
      <c r="J747" s="21">
        <v>0</v>
      </c>
      <c r="K747" s="21">
        <v>0</v>
      </c>
      <c r="L747" s="21">
        <v>0</v>
      </c>
      <c r="M747" s="21">
        <v>0</v>
      </c>
      <c r="N747" s="21">
        <v>0</v>
      </c>
      <c r="O747" s="21">
        <v>0</v>
      </c>
      <c r="P747" s="21">
        <v>0</v>
      </c>
      <c r="Q747" s="21">
        <v>0</v>
      </c>
      <c r="R747" s="21">
        <v>0</v>
      </c>
      <c r="S747" s="21">
        <v>0</v>
      </c>
      <c r="T747" s="24">
        <v>0</v>
      </c>
      <c r="U747" s="14">
        <v>1.175</v>
      </c>
      <c r="W747" s="39">
        <f t="shared" si="84"/>
        <v>8.2249999999999996</v>
      </c>
      <c r="AB747" s="37" t="str">
        <f t="shared" si="87"/>
        <v>Startup</v>
      </c>
      <c r="AC747" s="36">
        <f t="shared" si="88"/>
        <v>8.2249999999999996</v>
      </c>
    </row>
    <row r="748" spans="1:29" ht="13" thickBot="1" x14ac:dyDescent="0.3">
      <c r="A748" s="7" t="s">
        <v>95</v>
      </c>
      <c r="B748" s="25" t="s">
        <v>12</v>
      </c>
      <c r="C748" s="26" t="s">
        <v>21</v>
      </c>
      <c r="D748" s="27">
        <v>0</v>
      </c>
      <c r="E748" s="27">
        <v>0</v>
      </c>
      <c r="F748" s="27">
        <v>0</v>
      </c>
      <c r="G748" s="27">
        <v>0</v>
      </c>
      <c r="H748" s="28">
        <v>12982</v>
      </c>
      <c r="I748" s="29">
        <v>10898</v>
      </c>
      <c r="J748" s="27">
        <v>69</v>
      </c>
      <c r="K748" s="27">
        <v>47</v>
      </c>
      <c r="L748" s="27">
        <v>49</v>
      </c>
      <c r="M748" s="27">
        <v>46</v>
      </c>
      <c r="N748" s="27">
        <v>29</v>
      </c>
      <c r="O748" s="27">
        <v>40</v>
      </c>
      <c r="P748" s="27">
        <v>1691</v>
      </c>
      <c r="Q748" s="27">
        <v>30</v>
      </c>
      <c r="R748" s="27">
        <v>27</v>
      </c>
      <c r="S748" s="27">
        <v>31</v>
      </c>
      <c r="T748" s="29">
        <v>25</v>
      </c>
      <c r="U748" s="14">
        <v>1.175</v>
      </c>
      <c r="W748" s="39">
        <f t="shared" si="84"/>
        <v>15253.85</v>
      </c>
      <c r="X748" s="35">
        <f>W747+W746+W743</f>
        <v>332.52499999999998</v>
      </c>
      <c r="Y748" s="35">
        <f>W741</f>
        <v>0</v>
      </c>
      <c r="Z748" s="40">
        <f>V739/X748</f>
        <v>0</v>
      </c>
      <c r="AA748" s="40">
        <f>IF((Y748=0),0,Y740/Y748)</f>
        <v>0</v>
      </c>
      <c r="AB748" s="48"/>
      <c r="AC748" s="48"/>
    </row>
    <row r="749" spans="1:29" ht="13" thickBot="1" x14ac:dyDescent="0.3">
      <c r="A749" s="7" t="s">
        <v>96</v>
      </c>
      <c r="B749" s="30" t="s">
        <v>15</v>
      </c>
      <c r="C749" s="31" t="s">
        <v>94</v>
      </c>
      <c r="D749" s="32" t="s">
        <v>47</v>
      </c>
      <c r="E749" s="53" t="s">
        <v>116</v>
      </c>
      <c r="F749" s="53" t="s">
        <v>117</v>
      </c>
      <c r="G749" s="53" t="s">
        <v>118</v>
      </c>
      <c r="H749" s="28" t="s">
        <v>12</v>
      </c>
      <c r="I749" s="54" t="s">
        <v>119</v>
      </c>
      <c r="J749" s="53" t="s">
        <v>174</v>
      </c>
      <c r="K749" s="53" t="s">
        <v>175</v>
      </c>
      <c r="L749" s="53" t="s">
        <v>99</v>
      </c>
      <c r="M749" s="53" t="s">
        <v>100</v>
      </c>
      <c r="N749" s="53" t="s">
        <v>101</v>
      </c>
      <c r="O749" s="53" t="s">
        <v>102</v>
      </c>
      <c r="P749" s="53" t="s">
        <v>103</v>
      </c>
      <c r="Q749" s="53" t="s">
        <v>104</v>
      </c>
      <c r="R749" s="53" t="s">
        <v>105</v>
      </c>
      <c r="S749" s="53" t="s">
        <v>106</v>
      </c>
      <c r="T749" s="55" t="s">
        <v>107</v>
      </c>
      <c r="U749" s="14">
        <v>1.175</v>
      </c>
      <c r="V749" s="14" t="s">
        <v>183</v>
      </c>
      <c r="W749" s="39">
        <f t="shared" si="84"/>
        <v>0</v>
      </c>
      <c r="X749" s="14" t="s">
        <v>37</v>
      </c>
      <c r="Y749" s="14" t="s">
        <v>38</v>
      </c>
      <c r="AB749" s="48"/>
      <c r="AC749" s="48"/>
    </row>
    <row r="750" spans="1:29" x14ac:dyDescent="0.25">
      <c r="A750" s="7" t="s">
        <v>96</v>
      </c>
      <c r="B750" s="8" t="s">
        <v>17</v>
      </c>
      <c r="C750" s="9" t="s">
        <v>18</v>
      </c>
      <c r="D750" s="10">
        <v>0</v>
      </c>
      <c r="E750" s="10">
        <v>0</v>
      </c>
      <c r="F750" s="10">
        <v>0</v>
      </c>
      <c r="G750" s="10">
        <v>0</v>
      </c>
      <c r="H750" s="11">
        <v>0</v>
      </c>
      <c r="I750" s="12">
        <v>0</v>
      </c>
      <c r="J750" s="10">
        <v>0</v>
      </c>
      <c r="K750" s="10">
        <v>0</v>
      </c>
      <c r="L750" s="10">
        <v>0</v>
      </c>
      <c r="M750" s="10">
        <v>0</v>
      </c>
      <c r="N750" s="10">
        <v>0</v>
      </c>
      <c r="O750" s="10">
        <v>0</v>
      </c>
      <c r="P750" s="10">
        <v>0</v>
      </c>
      <c r="Q750" s="10">
        <v>0</v>
      </c>
      <c r="R750" s="10">
        <v>0</v>
      </c>
      <c r="S750" s="10">
        <v>0</v>
      </c>
      <c r="T750" s="13">
        <v>0</v>
      </c>
      <c r="U750" s="14">
        <v>1.175</v>
      </c>
      <c r="V750" s="42" t="e">
        <f>SUM(I750:T750)/H750</f>
        <v>#DIV/0!</v>
      </c>
      <c r="W750" s="39">
        <f t="shared" si="84"/>
        <v>0</v>
      </c>
    </row>
    <row r="751" spans="1:29" x14ac:dyDescent="0.25">
      <c r="A751" s="7" t="s">
        <v>96</v>
      </c>
      <c r="B751" s="15" t="s">
        <v>66</v>
      </c>
      <c r="C751" s="7" t="s">
        <v>18</v>
      </c>
      <c r="D751" s="14">
        <v>0</v>
      </c>
      <c r="E751" s="14">
        <v>0</v>
      </c>
      <c r="F751" s="14">
        <v>0</v>
      </c>
      <c r="G751" s="14">
        <v>0</v>
      </c>
      <c r="H751" s="16">
        <v>0</v>
      </c>
      <c r="I751" s="17">
        <v>0</v>
      </c>
      <c r="J751" s="14">
        <v>0</v>
      </c>
      <c r="K751" s="14">
        <v>0</v>
      </c>
      <c r="L751" s="14">
        <v>0</v>
      </c>
      <c r="M751" s="14">
        <v>0</v>
      </c>
      <c r="N751" s="14">
        <v>0</v>
      </c>
      <c r="O751" s="14">
        <v>0</v>
      </c>
      <c r="P751" s="14">
        <v>0</v>
      </c>
      <c r="Q751" s="14">
        <v>0</v>
      </c>
      <c r="R751" s="14">
        <v>0</v>
      </c>
      <c r="S751" s="14">
        <v>0</v>
      </c>
      <c r="T751" s="18">
        <v>0</v>
      </c>
      <c r="U751" s="14">
        <v>1.175</v>
      </c>
      <c r="V751" s="44"/>
      <c r="W751" s="39">
        <f t="shared" si="84"/>
        <v>0</v>
      </c>
    </row>
    <row r="752" spans="1:29" x14ac:dyDescent="0.25">
      <c r="A752" s="7" t="s">
        <v>96</v>
      </c>
      <c r="B752" s="15" t="s">
        <v>13</v>
      </c>
      <c r="C752" s="7" t="s">
        <v>18</v>
      </c>
      <c r="D752" s="14">
        <v>2</v>
      </c>
      <c r="E752" s="14">
        <v>0</v>
      </c>
      <c r="F752" s="14">
        <v>0</v>
      </c>
      <c r="G752" s="14">
        <v>0</v>
      </c>
      <c r="H752" s="16">
        <v>2</v>
      </c>
      <c r="I752" s="17">
        <v>0</v>
      </c>
      <c r="J752" s="14">
        <v>0</v>
      </c>
      <c r="K752" s="14">
        <v>0</v>
      </c>
      <c r="L752" s="14">
        <v>0</v>
      </c>
      <c r="M752" s="14">
        <v>0</v>
      </c>
      <c r="N752" s="14">
        <v>0</v>
      </c>
      <c r="O752" s="14">
        <v>0</v>
      </c>
      <c r="P752" s="14">
        <v>0</v>
      </c>
      <c r="Q752" s="14">
        <v>0</v>
      </c>
      <c r="R752" s="14">
        <v>0</v>
      </c>
      <c r="S752" s="14">
        <v>0</v>
      </c>
      <c r="T752" s="18">
        <v>0</v>
      </c>
      <c r="U752" s="14">
        <v>1.175</v>
      </c>
      <c r="V752" s="41"/>
      <c r="W752" s="39">
        <f t="shared" si="84"/>
        <v>0</v>
      </c>
    </row>
    <row r="753" spans="1:29" x14ac:dyDescent="0.25">
      <c r="A753" s="7" t="s">
        <v>96</v>
      </c>
      <c r="B753" s="15" t="s">
        <v>67</v>
      </c>
      <c r="C753" s="7" t="s">
        <v>18</v>
      </c>
      <c r="D753" s="14">
        <v>1759</v>
      </c>
      <c r="E753" s="14">
        <v>0</v>
      </c>
      <c r="F753" s="14">
        <v>0</v>
      </c>
      <c r="G753" s="14">
        <v>0</v>
      </c>
      <c r="H753" s="16">
        <v>1759</v>
      </c>
      <c r="I753" s="17">
        <v>0</v>
      </c>
      <c r="J753" s="14">
        <v>0</v>
      </c>
      <c r="K753" s="14">
        <v>0</v>
      </c>
      <c r="L753" s="14">
        <v>0</v>
      </c>
      <c r="M753" s="14">
        <v>0</v>
      </c>
      <c r="N753" s="14">
        <v>0</v>
      </c>
      <c r="O753" s="14">
        <v>0</v>
      </c>
      <c r="P753" s="14">
        <v>0</v>
      </c>
      <c r="Q753" s="14">
        <v>0</v>
      </c>
      <c r="R753" s="14">
        <v>0</v>
      </c>
      <c r="S753" s="14">
        <v>0</v>
      </c>
      <c r="T753" s="18">
        <v>0</v>
      </c>
      <c r="U753" s="14">
        <v>1.175</v>
      </c>
      <c r="V753" s="41"/>
      <c r="W753" s="39">
        <f t="shared" si="84"/>
        <v>0</v>
      </c>
    </row>
    <row r="754" spans="1:29" x14ac:dyDescent="0.25">
      <c r="A754" s="7" t="s">
        <v>96</v>
      </c>
      <c r="B754" s="15" t="s">
        <v>73</v>
      </c>
      <c r="C754" s="7" t="s">
        <v>18</v>
      </c>
      <c r="D754" s="14">
        <v>0</v>
      </c>
      <c r="E754" s="14">
        <v>0</v>
      </c>
      <c r="F754" s="14">
        <v>0</v>
      </c>
      <c r="G754" s="14">
        <v>0</v>
      </c>
      <c r="H754" s="16">
        <v>0</v>
      </c>
      <c r="I754" s="17">
        <v>0</v>
      </c>
      <c r="J754" s="14">
        <v>0</v>
      </c>
      <c r="K754" s="14">
        <v>0</v>
      </c>
      <c r="L754" s="14">
        <v>0</v>
      </c>
      <c r="M754" s="14">
        <v>0</v>
      </c>
      <c r="N754" s="14">
        <v>0</v>
      </c>
      <c r="O754" s="14">
        <v>0</v>
      </c>
      <c r="P754" s="14">
        <v>0</v>
      </c>
      <c r="Q754" s="14">
        <v>0</v>
      </c>
      <c r="R754" s="14">
        <v>0</v>
      </c>
      <c r="S754" s="14">
        <v>0</v>
      </c>
      <c r="T754" s="18">
        <v>0</v>
      </c>
      <c r="U754" s="14">
        <v>1.175</v>
      </c>
      <c r="V754" s="41"/>
      <c r="W754" s="39">
        <f t="shared" si="84"/>
        <v>0</v>
      </c>
    </row>
    <row r="755" spans="1:29" x14ac:dyDescent="0.25">
      <c r="A755" s="7" t="s">
        <v>96</v>
      </c>
      <c r="B755" s="15" t="s">
        <v>19</v>
      </c>
      <c r="C755" s="7" t="s">
        <v>18</v>
      </c>
      <c r="D755" s="14">
        <v>0</v>
      </c>
      <c r="E755" s="14">
        <v>0</v>
      </c>
      <c r="F755" s="14">
        <v>0</v>
      </c>
      <c r="G755" s="14">
        <v>0</v>
      </c>
      <c r="H755" s="16">
        <v>0</v>
      </c>
      <c r="I755" s="17">
        <v>0</v>
      </c>
      <c r="J755" s="14">
        <v>0</v>
      </c>
      <c r="K755" s="14">
        <v>0</v>
      </c>
      <c r="L755" s="14">
        <v>0</v>
      </c>
      <c r="M755" s="14">
        <v>0</v>
      </c>
      <c r="N755" s="14">
        <v>0</v>
      </c>
      <c r="O755" s="14">
        <v>0</v>
      </c>
      <c r="P755" s="14">
        <v>0</v>
      </c>
      <c r="Q755" s="14">
        <v>0</v>
      </c>
      <c r="R755" s="14">
        <v>0</v>
      </c>
      <c r="S755" s="14">
        <v>0</v>
      </c>
      <c r="T755" s="18">
        <v>0</v>
      </c>
      <c r="U755" s="14">
        <v>1.175</v>
      </c>
      <c r="V755" s="41"/>
      <c r="W755" s="39">
        <f t="shared" si="84"/>
        <v>0</v>
      </c>
    </row>
    <row r="756" spans="1:29" ht="13" thickBot="1" x14ac:dyDescent="0.3">
      <c r="A756" s="7" t="s">
        <v>96</v>
      </c>
      <c r="B756" s="19" t="s">
        <v>20</v>
      </c>
      <c r="C756" s="20" t="s">
        <v>18</v>
      </c>
      <c r="D756" s="21">
        <v>0</v>
      </c>
      <c r="E756" s="21">
        <v>0</v>
      </c>
      <c r="F756" s="21">
        <v>0</v>
      </c>
      <c r="G756" s="21">
        <v>0</v>
      </c>
      <c r="H756" s="22">
        <v>0</v>
      </c>
      <c r="I756" s="23">
        <v>0</v>
      </c>
      <c r="J756" s="21">
        <v>0</v>
      </c>
      <c r="K756" s="21">
        <v>0</v>
      </c>
      <c r="L756" s="21">
        <v>0</v>
      </c>
      <c r="M756" s="21">
        <v>0</v>
      </c>
      <c r="N756" s="21">
        <v>0</v>
      </c>
      <c r="O756" s="21">
        <v>0</v>
      </c>
      <c r="P756" s="21">
        <v>0</v>
      </c>
      <c r="Q756" s="21">
        <v>0</v>
      </c>
      <c r="R756" s="21">
        <v>0</v>
      </c>
      <c r="S756" s="21">
        <v>0</v>
      </c>
      <c r="T756" s="24">
        <v>0</v>
      </c>
      <c r="U756" s="14">
        <v>1.175</v>
      </c>
      <c r="V756" s="44"/>
      <c r="W756" s="39">
        <f t="shared" si="84"/>
        <v>0</v>
      </c>
    </row>
    <row r="757" spans="1:29" ht="13" thickBot="1" x14ac:dyDescent="0.3">
      <c r="A757" s="7" t="s">
        <v>96</v>
      </c>
      <c r="B757" s="25" t="s">
        <v>12</v>
      </c>
      <c r="C757" s="26" t="s">
        <v>18</v>
      </c>
      <c r="D757" s="27">
        <v>1761</v>
      </c>
      <c r="E757" s="27">
        <v>0</v>
      </c>
      <c r="F757" s="27">
        <v>0</v>
      </c>
      <c r="G757" s="27">
        <v>0</v>
      </c>
      <c r="H757" s="28">
        <v>1761</v>
      </c>
      <c r="I757" s="29">
        <v>0</v>
      </c>
      <c r="J757" s="27">
        <v>0</v>
      </c>
      <c r="K757" s="27">
        <v>0</v>
      </c>
      <c r="L757" s="27">
        <v>0</v>
      </c>
      <c r="M757" s="27">
        <v>0</v>
      </c>
      <c r="N757" s="27">
        <v>0</v>
      </c>
      <c r="O757" s="27">
        <v>0</v>
      </c>
      <c r="P757" s="27">
        <v>0</v>
      </c>
      <c r="Q757" s="27">
        <v>0</v>
      </c>
      <c r="R757" s="27">
        <v>0</v>
      </c>
      <c r="S757" s="27">
        <v>0</v>
      </c>
      <c r="T757" s="29">
        <v>0</v>
      </c>
      <c r="U757" s="14">
        <v>1.175</v>
      </c>
      <c r="V757" s="43">
        <f>SUM(I752:T755)/SUM(H752:H755)</f>
        <v>0</v>
      </c>
      <c r="W757" s="39">
        <f t="shared" ref="W757:W799" si="89">SUM(I757:T757)*U757</f>
        <v>0</v>
      </c>
      <c r="X757" s="35">
        <f>W755+W752</f>
        <v>0</v>
      </c>
      <c r="Y757" s="35">
        <f>W750</f>
        <v>0</v>
      </c>
    </row>
    <row r="758" spans="1:29" x14ac:dyDescent="0.25">
      <c r="A758" s="7" t="s">
        <v>96</v>
      </c>
      <c r="B758" s="8" t="s">
        <v>17</v>
      </c>
      <c r="C758" s="9" t="s">
        <v>21</v>
      </c>
      <c r="D758" s="10">
        <v>0</v>
      </c>
      <c r="E758" s="10">
        <v>0</v>
      </c>
      <c r="F758" s="10">
        <v>0</v>
      </c>
      <c r="G758" s="10">
        <v>0</v>
      </c>
      <c r="H758" s="11">
        <v>0</v>
      </c>
      <c r="I758" s="12">
        <v>0</v>
      </c>
      <c r="J758" s="10">
        <v>0</v>
      </c>
      <c r="K758" s="10">
        <v>0</v>
      </c>
      <c r="L758" s="10">
        <v>0</v>
      </c>
      <c r="M758" s="10">
        <v>0</v>
      </c>
      <c r="N758" s="10">
        <v>0</v>
      </c>
      <c r="O758" s="10">
        <v>0</v>
      </c>
      <c r="P758" s="10">
        <v>0</v>
      </c>
      <c r="Q758" s="10">
        <v>0</v>
      </c>
      <c r="R758" s="10">
        <v>0</v>
      </c>
      <c r="S758" s="10">
        <v>0</v>
      </c>
      <c r="T758" s="13">
        <v>0</v>
      </c>
      <c r="U758" s="14">
        <v>1.175</v>
      </c>
      <c r="W758" s="39">
        <f t="shared" si="89"/>
        <v>0</v>
      </c>
      <c r="AB758" s="37" t="str">
        <f t="shared" ref="AB758:AB761" si="90">B758</f>
        <v>Parts-OTC</v>
      </c>
      <c r="AC758" s="36">
        <f t="shared" ref="AC758:AC761" si="91">I758*U758</f>
        <v>0</v>
      </c>
    </row>
    <row r="759" spans="1:29" x14ac:dyDescent="0.25">
      <c r="A759" s="7" t="s">
        <v>96</v>
      </c>
      <c r="B759" s="15" t="s">
        <v>66</v>
      </c>
      <c r="C759" s="7" t="s">
        <v>21</v>
      </c>
      <c r="D759" s="14">
        <v>0</v>
      </c>
      <c r="E759" s="14">
        <v>0</v>
      </c>
      <c r="F759" s="14">
        <v>0</v>
      </c>
      <c r="G759" s="14">
        <v>0</v>
      </c>
      <c r="H759" s="16">
        <v>0</v>
      </c>
      <c r="I759" s="17">
        <v>0</v>
      </c>
      <c r="J759" s="14">
        <v>0</v>
      </c>
      <c r="K759" s="14">
        <v>0</v>
      </c>
      <c r="L759" s="14">
        <v>0</v>
      </c>
      <c r="M759" s="14">
        <v>0</v>
      </c>
      <c r="N759" s="14">
        <v>0</v>
      </c>
      <c r="O759" s="14">
        <v>0</v>
      </c>
      <c r="P759" s="14">
        <v>0</v>
      </c>
      <c r="Q759" s="14">
        <v>0</v>
      </c>
      <c r="R759" s="14">
        <v>0</v>
      </c>
      <c r="S759" s="14">
        <v>0</v>
      </c>
      <c r="T759" s="18">
        <v>0</v>
      </c>
      <c r="U759" s="14">
        <v>1.175</v>
      </c>
      <c r="W759" s="39">
        <f t="shared" si="89"/>
        <v>0</v>
      </c>
      <c r="AB759" s="37" t="str">
        <f t="shared" si="90"/>
        <v>CTKS</v>
      </c>
      <c r="AC759" s="36">
        <f t="shared" si="91"/>
        <v>0</v>
      </c>
    </row>
    <row r="760" spans="1:29" x14ac:dyDescent="0.25">
      <c r="A760" s="7" t="s">
        <v>96</v>
      </c>
      <c r="B760" s="15" t="s">
        <v>13</v>
      </c>
      <c r="C760" s="7" t="s">
        <v>21</v>
      </c>
      <c r="D760" s="14">
        <v>0</v>
      </c>
      <c r="E760" s="14">
        <v>0</v>
      </c>
      <c r="F760" s="14">
        <v>0</v>
      </c>
      <c r="G760" s="14">
        <v>0</v>
      </c>
      <c r="H760" s="16">
        <v>11</v>
      </c>
      <c r="I760" s="33">
        <v>11</v>
      </c>
      <c r="J760" s="34">
        <v>0</v>
      </c>
      <c r="K760" s="34">
        <v>0</v>
      </c>
      <c r="L760" s="14">
        <v>0</v>
      </c>
      <c r="M760" s="14">
        <v>0</v>
      </c>
      <c r="N760" s="14">
        <v>0</v>
      </c>
      <c r="O760" s="14">
        <v>0</v>
      </c>
      <c r="P760" s="14">
        <v>0</v>
      </c>
      <c r="Q760" s="14">
        <v>0</v>
      </c>
      <c r="R760" s="14">
        <v>0</v>
      </c>
      <c r="S760" s="14">
        <v>0</v>
      </c>
      <c r="T760" s="18">
        <v>0</v>
      </c>
      <c r="U760" s="14">
        <v>1.175</v>
      </c>
      <c r="W760" s="39">
        <f t="shared" si="89"/>
        <v>12.925000000000001</v>
      </c>
      <c r="AB760" s="37" t="str">
        <f t="shared" si="90"/>
        <v>Repair</v>
      </c>
      <c r="AC760" s="36">
        <f t="shared" si="91"/>
        <v>12.925000000000001</v>
      </c>
    </row>
    <row r="761" spans="1:29" x14ac:dyDescent="0.25">
      <c r="A761" s="7" t="s">
        <v>96</v>
      </c>
      <c r="B761" s="15" t="s">
        <v>67</v>
      </c>
      <c r="C761" s="7" t="s">
        <v>21</v>
      </c>
      <c r="D761" s="14">
        <v>0</v>
      </c>
      <c r="E761" s="14">
        <v>0</v>
      </c>
      <c r="F761" s="14">
        <v>0</v>
      </c>
      <c r="G761" s="14">
        <v>0</v>
      </c>
      <c r="H761" s="16">
        <v>1297</v>
      </c>
      <c r="I761" s="17">
        <v>287</v>
      </c>
      <c r="J761" s="14">
        <v>227</v>
      </c>
      <c r="K761" s="14">
        <v>221</v>
      </c>
      <c r="L761" s="14">
        <v>150</v>
      </c>
      <c r="M761" s="14">
        <v>130</v>
      </c>
      <c r="N761" s="14">
        <v>74</v>
      </c>
      <c r="O761" s="14">
        <v>54</v>
      </c>
      <c r="P761" s="14">
        <v>55</v>
      </c>
      <c r="Q761" s="14">
        <v>26</v>
      </c>
      <c r="R761" s="14">
        <v>23</v>
      </c>
      <c r="S761" s="14">
        <v>26</v>
      </c>
      <c r="T761" s="18">
        <v>23</v>
      </c>
      <c r="U761" s="14">
        <v>1.175</v>
      </c>
      <c r="W761" s="39">
        <f t="shared" si="89"/>
        <v>1522.8</v>
      </c>
      <c r="AB761" s="37" t="str">
        <f t="shared" si="90"/>
        <v>Rental</v>
      </c>
      <c r="AC761" s="36">
        <f t="shared" si="91"/>
        <v>337.22500000000002</v>
      </c>
    </row>
    <row r="762" spans="1:29" x14ac:dyDescent="0.25">
      <c r="A762" s="7" t="s">
        <v>96</v>
      </c>
      <c r="B762" s="15" t="s">
        <v>73</v>
      </c>
      <c r="C762" s="7" t="s">
        <v>21</v>
      </c>
      <c r="D762" s="14">
        <v>0</v>
      </c>
      <c r="E762" s="14">
        <v>0</v>
      </c>
      <c r="F762" s="14">
        <v>0</v>
      </c>
      <c r="G762" s="14">
        <v>0</v>
      </c>
      <c r="H762" s="16">
        <v>0</v>
      </c>
      <c r="I762" s="17">
        <v>0</v>
      </c>
      <c r="J762" s="14">
        <v>0</v>
      </c>
      <c r="K762" s="14">
        <v>0</v>
      </c>
      <c r="L762" s="14">
        <v>0</v>
      </c>
      <c r="M762" s="14">
        <v>0</v>
      </c>
      <c r="N762" s="14">
        <v>0</v>
      </c>
      <c r="O762" s="14">
        <v>0</v>
      </c>
      <c r="P762" s="14">
        <v>0</v>
      </c>
      <c r="Q762" s="14">
        <v>0</v>
      </c>
      <c r="R762" s="14">
        <v>0</v>
      </c>
      <c r="S762" s="14">
        <v>0</v>
      </c>
      <c r="T762" s="18">
        <v>0</v>
      </c>
      <c r="U762" s="14">
        <v>1.175</v>
      </c>
      <c r="W762" s="39">
        <f t="shared" si="89"/>
        <v>0</v>
      </c>
      <c r="AB762" s="37"/>
    </row>
    <row r="763" spans="1:29" x14ac:dyDescent="0.25">
      <c r="A763" s="7" t="s">
        <v>96</v>
      </c>
      <c r="B763" s="15" t="s">
        <v>19</v>
      </c>
      <c r="C763" s="7" t="s">
        <v>21</v>
      </c>
      <c r="D763" s="14">
        <v>0</v>
      </c>
      <c r="E763" s="14">
        <v>0</v>
      </c>
      <c r="F763" s="14">
        <v>0</v>
      </c>
      <c r="G763" s="14">
        <v>0</v>
      </c>
      <c r="H763" s="16">
        <v>134</v>
      </c>
      <c r="I763" s="17">
        <v>2</v>
      </c>
      <c r="J763" s="14">
        <v>0</v>
      </c>
      <c r="K763" s="14">
        <v>0</v>
      </c>
      <c r="L763" s="14">
        <v>0</v>
      </c>
      <c r="M763" s="14">
        <v>0</v>
      </c>
      <c r="N763" s="14">
        <v>132</v>
      </c>
      <c r="O763" s="14">
        <v>0</v>
      </c>
      <c r="P763" s="14">
        <v>0</v>
      </c>
      <c r="Q763" s="14">
        <v>0</v>
      </c>
      <c r="R763" s="14">
        <v>0</v>
      </c>
      <c r="S763" s="14">
        <v>0</v>
      </c>
      <c r="T763" s="18">
        <v>0</v>
      </c>
      <c r="U763" s="14">
        <v>1.175</v>
      </c>
      <c r="W763" s="39">
        <f t="shared" si="89"/>
        <v>157.45000000000002</v>
      </c>
      <c r="AB763" s="37" t="str">
        <f t="shared" ref="AB763:AB764" si="92">B763</f>
        <v>Maintenance</v>
      </c>
      <c r="AC763" s="36">
        <f t="shared" ref="AC763:AC764" si="93">I763*U763</f>
        <v>2.35</v>
      </c>
    </row>
    <row r="764" spans="1:29" ht="13" thickBot="1" x14ac:dyDescent="0.3">
      <c r="A764" s="7" t="s">
        <v>96</v>
      </c>
      <c r="B764" s="19" t="s">
        <v>20</v>
      </c>
      <c r="C764" s="20" t="s">
        <v>21</v>
      </c>
      <c r="D764" s="21">
        <v>0</v>
      </c>
      <c r="E764" s="21">
        <v>0</v>
      </c>
      <c r="F764" s="21">
        <v>0</v>
      </c>
      <c r="G764" s="21">
        <v>0</v>
      </c>
      <c r="H764" s="22">
        <v>2</v>
      </c>
      <c r="I764" s="23">
        <v>2</v>
      </c>
      <c r="J764" s="21">
        <v>0</v>
      </c>
      <c r="K764" s="21">
        <v>0</v>
      </c>
      <c r="L764" s="21">
        <v>0</v>
      </c>
      <c r="M764" s="21">
        <v>0</v>
      </c>
      <c r="N764" s="21">
        <v>0</v>
      </c>
      <c r="O764" s="21">
        <v>0</v>
      </c>
      <c r="P764" s="21">
        <v>0</v>
      </c>
      <c r="Q764" s="21">
        <v>0</v>
      </c>
      <c r="R764" s="21">
        <v>0</v>
      </c>
      <c r="S764" s="21">
        <v>0</v>
      </c>
      <c r="T764" s="24">
        <v>0</v>
      </c>
      <c r="U764" s="14">
        <v>1.175</v>
      </c>
      <c r="W764" s="39">
        <f t="shared" si="89"/>
        <v>2.35</v>
      </c>
      <c r="AB764" s="37" t="str">
        <f t="shared" si="92"/>
        <v>Startup</v>
      </c>
      <c r="AC764" s="36">
        <f t="shared" si="93"/>
        <v>2.35</v>
      </c>
    </row>
    <row r="765" spans="1:29" ht="13" thickBot="1" x14ac:dyDescent="0.3">
      <c r="A765" s="7" t="s">
        <v>96</v>
      </c>
      <c r="B765" s="25" t="s">
        <v>12</v>
      </c>
      <c r="C765" s="137" t="s">
        <v>21</v>
      </c>
      <c r="D765" s="138">
        <v>0</v>
      </c>
      <c r="E765" s="138">
        <v>0</v>
      </c>
      <c r="F765" s="138">
        <v>0</v>
      </c>
      <c r="G765" s="138">
        <v>0</v>
      </c>
      <c r="H765" s="11">
        <v>1444</v>
      </c>
      <c r="I765" s="12">
        <v>302</v>
      </c>
      <c r="J765" s="138">
        <v>227</v>
      </c>
      <c r="K765" s="138">
        <v>221</v>
      </c>
      <c r="L765" s="138">
        <v>150</v>
      </c>
      <c r="M765" s="138">
        <v>130</v>
      </c>
      <c r="N765" s="138">
        <v>206</v>
      </c>
      <c r="O765" s="138">
        <v>54</v>
      </c>
      <c r="P765" s="138">
        <v>55</v>
      </c>
      <c r="Q765" s="138">
        <v>26</v>
      </c>
      <c r="R765" s="138">
        <v>23</v>
      </c>
      <c r="S765" s="138">
        <v>26</v>
      </c>
      <c r="T765" s="12">
        <v>23</v>
      </c>
      <c r="U765" s="14">
        <v>1.175</v>
      </c>
      <c r="W765" s="39">
        <f t="shared" si="89"/>
        <v>1695.5250000000001</v>
      </c>
      <c r="X765" s="35">
        <f>W764+W763+W760</f>
        <v>172.72500000000002</v>
      </c>
      <c r="Y765" s="35">
        <f>W758</f>
        <v>0</v>
      </c>
      <c r="Z765" s="40">
        <f>V756/X765</f>
        <v>0</v>
      </c>
      <c r="AA765" s="40">
        <f>IF((Y765=0),0,Y757/Y765)</f>
        <v>0</v>
      </c>
      <c r="AB765" s="48"/>
      <c r="AC765" s="48"/>
    </row>
    <row r="766" spans="1:29" ht="13" thickBot="1" x14ac:dyDescent="0.3">
      <c r="A766" s="7" t="s">
        <v>97</v>
      </c>
      <c r="B766" s="30" t="s">
        <v>15</v>
      </c>
      <c r="C766" s="31" t="s">
        <v>94</v>
      </c>
      <c r="D766" s="32" t="s">
        <v>47</v>
      </c>
      <c r="E766" s="53" t="s">
        <v>116</v>
      </c>
      <c r="F766" s="53" t="s">
        <v>117</v>
      </c>
      <c r="G766" s="53" t="s">
        <v>118</v>
      </c>
      <c r="H766" s="28" t="s">
        <v>12</v>
      </c>
      <c r="I766" s="54" t="s">
        <v>119</v>
      </c>
      <c r="J766" s="53" t="s">
        <v>174</v>
      </c>
      <c r="K766" s="53" t="s">
        <v>175</v>
      </c>
      <c r="L766" s="53" t="s">
        <v>99</v>
      </c>
      <c r="M766" s="53" t="s">
        <v>100</v>
      </c>
      <c r="N766" s="53" t="s">
        <v>101</v>
      </c>
      <c r="O766" s="53" t="s">
        <v>102</v>
      </c>
      <c r="P766" s="53" t="s">
        <v>103</v>
      </c>
      <c r="Q766" s="53" t="s">
        <v>104</v>
      </c>
      <c r="R766" s="53" t="s">
        <v>105</v>
      </c>
      <c r="S766" s="53" t="s">
        <v>106</v>
      </c>
      <c r="T766" s="55" t="s">
        <v>107</v>
      </c>
      <c r="U766" s="14">
        <v>1.175</v>
      </c>
      <c r="V766" s="14" t="s">
        <v>183</v>
      </c>
      <c r="W766" s="39">
        <f t="shared" si="89"/>
        <v>0</v>
      </c>
      <c r="X766" s="14" t="s">
        <v>37</v>
      </c>
      <c r="Y766" s="14" t="s">
        <v>38</v>
      </c>
      <c r="AB766" s="48"/>
      <c r="AC766" s="48"/>
    </row>
    <row r="767" spans="1:29" x14ac:dyDescent="0.25">
      <c r="A767" s="7" t="s">
        <v>97</v>
      </c>
      <c r="B767" s="8" t="s">
        <v>17</v>
      </c>
      <c r="C767" s="9" t="s">
        <v>18</v>
      </c>
      <c r="D767" s="10">
        <v>0</v>
      </c>
      <c r="E767" s="10">
        <v>0</v>
      </c>
      <c r="F767" s="10">
        <v>0</v>
      </c>
      <c r="G767" s="10">
        <v>0</v>
      </c>
      <c r="H767" s="11">
        <v>0</v>
      </c>
      <c r="I767" s="12">
        <v>0</v>
      </c>
      <c r="J767" s="10">
        <v>0</v>
      </c>
      <c r="K767" s="10">
        <v>0</v>
      </c>
      <c r="L767" s="10">
        <v>0</v>
      </c>
      <c r="M767" s="10">
        <v>0</v>
      </c>
      <c r="N767" s="10">
        <v>0</v>
      </c>
      <c r="O767" s="10">
        <v>0</v>
      </c>
      <c r="P767" s="10">
        <v>0</v>
      </c>
      <c r="Q767" s="10">
        <v>0</v>
      </c>
      <c r="R767" s="10">
        <v>0</v>
      </c>
      <c r="S767" s="10">
        <v>0</v>
      </c>
      <c r="T767" s="13">
        <v>0</v>
      </c>
      <c r="U767" s="14">
        <v>1.175</v>
      </c>
      <c r="V767" s="42" t="e">
        <f>SUM(I767:T767)/H767</f>
        <v>#DIV/0!</v>
      </c>
      <c r="W767" s="39">
        <f t="shared" si="89"/>
        <v>0</v>
      </c>
    </row>
    <row r="768" spans="1:29" x14ac:dyDescent="0.25">
      <c r="A768" s="7" t="s">
        <v>97</v>
      </c>
      <c r="B768" s="15" t="s">
        <v>66</v>
      </c>
      <c r="C768" s="7" t="s">
        <v>18</v>
      </c>
      <c r="D768" s="14">
        <v>0</v>
      </c>
      <c r="E768" s="14">
        <v>0</v>
      </c>
      <c r="F768" s="14">
        <v>0</v>
      </c>
      <c r="G768" s="14">
        <v>0</v>
      </c>
      <c r="H768" s="16">
        <v>0</v>
      </c>
      <c r="I768" s="17">
        <v>0</v>
      </c>
      <c r="J768" s="14">
        <v>0</v>
      </c>
      <c r="K768" s="14">
        <v>0</v>
      </c>
      <c r="L768" s="14">
        <v>0</v>
      </c>
      <c r="M768" s="14">
        <v>0</v>
      </c>
      <c r="N768" s="14">
        <v>0</v>
      </c>
      <c r="O768" s="14">
        <v>0</v>
      </c>
      <c r="P768" s="14">
        <v>0</v>
      </c>
      <c r="Q768" s="14">
        <v>0</v>
      </c>
      <c r="R768" s="14">
        <v>0</v>
      </c>
      <c r="S768" s="14">
        <v>0</v>
      </c>
      <c r="T768" s="18">
        <v>0</v>
      </c>
      <c r="U768" s="14">
        <v>1.175</v>
      </c>
      <c r="V768" s="44"/>
      <c r="W768" s="39">
        <f t="shared" si="89"/>
        <v>0</v>
      </c>
    </row>
    <row r="769" spans="1:29" x14ac:dyDescent="0.25">
      <c r="A769" s="7" t="s">
        <v>97</v>
      </c>
      <c r="B769" s="15" t="s">
        <v>13</v>
      </c>
      <c r="C769" s="7" t="s">
        <v>18</v>
      </c>
      <c r="D769" s="14">
        <v>0</v>
      </c>
      <c r="E769" s="14">
        <v>0</v>
      </c>
      <c r="F769" s="14">
        <v>0</v>
      </c>
      <c r="G769" s="14">
        <v>0</v>
      </c>
      <c r="H769" s="16">
        <v>0</v>
      </c>
      <c r="I769" s="17">
        <v>0</v>
      </c>
      <c r="J769" s="14">
        <v>0</v>
      </c>
      <c r="K769" s="14">
        <v>0</v>
      </c>
      <c r="L769" s="14">
        <v>0</v>
      </c>
      <c r="M769" s="14">
        <v>0</v>
      </c>
      <c r="N769" s="14">
        <v>0</v>
      </c>
      <c r="O769" s="14">
        <v>0</v>
      </c>
      <c r="P769" s="14">
        <v>0</v>
      </c>
      <c r="Q769" s="14">
        <v>0</v>
      </c>
      <c r="R769" s="14">
        <v>0</v>
      </c>
      <c r="S769" s="14">
        <v>0</v>
      </c>
      <c r="T769" s="18">
        <v>0</v>
      </c>
      <c r="U769" s="14">
        <v>1.175</v>
      </c>
      <c r="V769" s="41"/>
      <c r="W769" s="39">
        <f t="shared" si="89"/>
        <v>0</v>
      </c>
    </row>
    <row r="770" spans="1:29" x14ac:dyDescent="0.25">
      <c r="A770" s="7" t="s">
        <v>97</v>
      </c>
      <c r="B770" s="15" t="s">
        <v>67</v>
      </c>
      <c r="C770" s="7" t="s">
        <v>18</v>
      </c>
      <c r="D770" s="14">
        <v>21</v>
      </c>
      <c r="E770" s="14">
        <v>0</v>
      </c>
      <c r="F770" s="14">
        <v>0</v>
      </c>
      <c r="G770" s="14">
        <v>0</v>
      </c>
      <c r="H770" s="16">
        <v>21</v>
      </c>
      <c r="I770" s="17">
        <v>0</v>
      </c>
      <c r="J770" s="14">
        <v>0</v>
      </c>
      <c r="K770" s="14">
        <v>0</v>
      </c>
      <c r="L770" s="14">
        <v>0</v>
      </c>
      <c r="M770" s="14">
        <v>0</v>
      </c>
      <c r="N770" s="14">
        <v>0</v>
      </c>
      <c r="O770" s="14">
        <v>0</v>
      </c>
      <c r="P770" s="14">
        <v>0</v>
      </c>
      <c r="Q770" s="14">
        <v>0</v>
      </c>
      <c r="R770" s="14">
        <v>0</v>
      </c>
      <c r="S770" s="14">
        <v>0</v>
      </c>
      <c r="T770" s="18">
        <v>0</v>
      </c>
      <c r="U770" s="14">
        <v>1.175</v>
      </c>
      <c r="V770" s="41"/>
      <c r="W770" s="39">
        <f t="shared" si="89"/>
        <v>0</v>
      </c>
    </row>
    <row r="771" spans="1:29" x14ac:dyDescent="0.25">
      <c r="A771" s="7" t="s">
        <v>97</v>
      </c>
      <c r="B771" s="15" t="s">
        <v>73</v>
      </c>
      <c r="C771" s="7" t="s">
        <v>18</v>
      </c>
      <c r="D771" s="14">
        <v>0</v>
      </c>
      <c r="E771" s="14">
        <v>0</v>
      </c>
      <c r="F771" s="14">
        <v>0</v>
      </c>
      <c r="G771" s="14">
        <v>0</v>
      </c>
      <c r="H771" s="16">
        <v>0</v>
      </c>
      <c r="I771" s="17">
        <v>0</v>
      </c>
      <c r="J771" s="14">
        <v>0</v>
      </c>
      <c r="K771" s="14">
        <v>0</v>
      </c>
      <c r="L771" s="14">
        <v>0</v>
      </c>
      <c r="M771" s="14">
        <v>0</v>
      </c>
      <c r="N771" s="14">
        <v>0</v>
      </c>
      <c r="O771" s="14">
        <v>0</v>
      </c>
      <c r="P771" s="14">
        <v>0</v>
      </c>
      <c r="Q771" s="14">
        <v>0</v>
      </c>
      <c r="R771" s="14">
        <v>0</v>
      </c>
      <c r="S771" s="14">
        <v>0</v>
      </c>
      <c r="T771" s="18">
        <v>0</v>
      </c>
      <c r="U771" s="14">
        <v>1.175</v>
      </c>
      <c r="V771" s="41"/>
      <c r="W771" s="39">
        <f t="shared" si="89"/>
        <v>0</v>
      </c>
    </row>
    <row r="772" spans="1:29" x14ac:dyDescent="0.25">
      <c r="A772" s="7" t="s">
        <v>97</v>
      </c>
      <c r="B772" s="15" t="s">
        <v>19</v>
      </c>
      <c r="C772" s="7" t="s">
        <v>18</v>
      </c>
      <c r="D772" s="14">
        <v>0</v>
      </c>
      <c r="E772" s="14">
        <v>0</v>
      </c>
      <c r="F772" s="14">
        <v>0</v>
      </c>
      <c r="G772" s="14">
        <v>0</v>
      </c>
      <c r="H772" s="16">
        <v>0</v>
      </c>
      <c r="I772" s="17">
        <v>0</v>
      </c>
      <c r="J772" s="14">
        <v>0</v>
      </c>
      <c r="K772" s="14">
        <v>0</v>
      </c>
      <c r="L772" s="14">
        <v>0</v>
      </c>
      <c r="M772" s="14">
        <v>0</v>
      </c>
      <c r="N772" s="14">
        <v>0</v>
      </c>
      <c r="O772" s="14">
        <v>0</v>
      </c>
      <c r="P772" s="14">
        <v>0</v>
      </c>
      <c r="Q772" s="14">
        <v>0</v>
      </c>
      <c r="R772" s="14">
        <v>0</v>
      </c>
      <c r="S772" s="14">
        <v>0</v>
      </c>
      <c r="T772" s="18">
        <v>0</v>
      </c>
      <c r="U772" s="14">
        <v>1.175</v>
      </c>
      <c r="V772" s="41"/>
      <c r="W772" s="39">
        <f t="shared" si="89"/>
        <v>0</v>
      </c>
    </row>
    <row r="773" spans="1:29" ht="13" thickBot="1" x14ac:dyDescent="0.3">
      <c r="A773" s="7" t="s">
        <v>97</v>
      </c>
      <c r="B773" s="19" t="s">
        <v>20</v>
      </c>
      <c r="C773" s="20" t="s">
        <v>18</v>
      </c>
      <c r="D773" s="21">
        <v>0</v>
      </c>
      <c r="E773" s="21">
        <v>0</v>
      </c>
      <c r="F773" s="21">
        <v>0</v>
      </c>
      <c r="G773" s="21">
        <v>0</v>
      </c>
      <c r="H773" s="22">
        <v>0</v>
      </c>
      <c r="I773" s="23">
        <v>0</v>
      </c>
      <c r="J773" s="21">
        <v>0</v>
      </c>
      <c r="K773" s="21">
        <v>0</v>
      </c>
      <c r="L773" s="21">
        <v>0</v>
      </c>
      <c r="M773" s="21">
        <v>0</v>
      </c>
      <c r="N773" s="21">
        <v>0</v>
      </c>
      <c r="O773" s="21">
        <v>0</v>
      </c>
      <c r="P773" s="21">
        <v>0</v>
      </c>
      <c r="Q773" s="21">
        <v>0</v>
      </c>
      <c r="R773" s="21">
        <v>0</v>
      </c>
      <c r="S773" s="21">
        <v>0</v>
      </c>
      <c r="T773" s="24">
        <v>0</v>
      </c>
      <c r="U773" s="14">
        <v>1.175</v>
      </c>
      <c r="V773" s="44"/>
      <c r="W773" s="39">
        <f t="shared" si="89"/>
        <v>0</v>
      </c>
    </row>
    <row r="774" spans="1:29" ht="13" thickBot="1" x14ac:dyDescent="0.3">
      <c r="A774" s="7" t="s">
        <v>97</v>
      </c>
      <c r="B774" s="25" t="s">
        <v>12</v>
      </c>
      <c r="C774" s="26" t="s">
        <v>18</v>
      </c>
      <c r="D774" s="27">
        <v>21</v>
      </c>
      <c r="E774" s="27">
        <v>0</v>
      </c>
      <c r="F774" s="27">
        <v>0</v>
      </c>
      <c r="G774" s="27">
        <v>0</v>
      </c>
      <c r="H774" s="28">
        <v>21</v>
      </c>
      <c r="I774" s="29">
        <v>0</v>
      </c>
      <c r="J774" s="27">
        <v>0</v>
      </c>
      <c r="K774" s="27">
        <v>0</v>
      </c>
      <c r="L774" s="27">
        <v>0</v>
      </c>
      <c r="M774" s="27">
        <v>0</v>
      </c>
      <c r="N774" s="27">
        <v>0</v>
      </c>
      <c r="O774" s="27">
        <v>0</v>
      </c>
      <c r="P774" s="27">
        <v>0</v>
      </c>
      <c r="Q774" s="27">
        <v>0</v>
      </c>
      <c r="R774" s="27">
        <v>0</v>
      </c>
      <c r="S774" s="27">
        <v>0</v>
      </c>
      <c r="T774" s="29">
        <v>0</v>
      </c>
      <c r="U774" s="14">
        <v>1.175</v>
      </c>
      <c r="V774" s="43">
        <f>SUM(I769:T772)/SUM(H769:H772)</f>
        <v>0</v>
      </c>
      <c r="W774" s="39">
        <f t="shared" si="89"/>
        <v>0</v>
      </c>
      <c r="X774" s="35">
        <f>W772+W769</f>
        <v>0</v>
      </c>
      <c r="Y774" s="35">
        <f>W767</f>
        <v>0</v>
      </c>
    </row>
    <row r="775" spans="1:29" x14ac:dyDescent="0.25">
      <c r="A775" s="7" t="s">
        <v>97</v>
      </c>
      <c r="B775" s="8" t="s">
        <v>17</v>
      </c>
      <c r="C775" s="9" t="s">
        <v>21</v>
      </c>
      <c r="D775" s="10">
        <v>0</v>
      </c>
      <c r="E775" s="10">
        <v>0</v>
      </c>
      <c r="F775" s="10">
        <v>0</v>
      </c>
      <c r="G775" s="10">
        <v>0</v>
      </c>
      <c r="H775" s="11">
        <v>0</v>
      </c>
      <c r="I775" s="12">
        <v>0</v>
      </c>
      <c r="J775" s="10">
        <v>0</v>
      </c>
      <c r="K775" s="10">
        <v>0</v>
      </c>
      <c r="L775" s="10">
        <v>0</v>
      </c>
      <c r="M775" s="10">
        <v>0</v>
      </c>
      <c r="N775" s="10">
        <v>0</v>
      </c>
      <c r="O775" s="10">
        <v>0</v>
      </c>
      <c r="P775" s="10">
        <v>0</v>
      </c>
      <c r="Q775" s="10">
        <v>0</v>
      </c>
      <c r="R775" s="10">
        <v>0</v>
      </c>
      <c r="S775" s="10">
        <v>0</v>
      </c>
      <c r="T775" s="13">
        <v>0</v>
      </c>
      <c r="U775" s="14">
        <v>1.175</v>
      </c>
      <c r="W775" s="39">
        <f t="shared" si="89"/>
        <v>0</v>
      </c>
      <c r="AB775" s="37" t="str">
        <f t="shared" ref="AB775:AB778" si="94">B775</f>
        <v>Parts-OTC</v>
      </c>
      <c r="AC775" s="36">
        <f t="shared" ref="AC775:AC778" si="95">I775*U775</f>
        <v>0</v>
      </c>
    </row>
    <row r="776" spans="1:29" x14ac:dyDescent="0.25">
      <c r="A776" s="7" t="s">
        <v>97</v>
      </c>
      <c r="B776" s="15" t="s">
        <v>66</v>
      </c>
      <c r="C776" s="7" t="s">
        <v>21</v>
      </c>
      <c r="D776" s="14">
        <v>0</v>
      </c>
      <c r="E776" s="14">
        <v>0</v>
      </c>
      <c r="F776" s="14">
        <v>0</v>
      </c>
      <c r="G776" s="14">
        <v>0</v>
      </c>
      <c r="H776" s="16">
        <v>0</v>
      </c>
      <c r="I776" s="17">
        <v>0</v>
      </c>
      <c r="J776" s="14">
        <v>0</v>
      </c>
      <c r="K776" s="14">
        <v>0</v>
      </c>
      <c r="L776" s="14">
        <v>0</v>
      </c>
      <c r="M776" s="14">
        <v>0</v>
      </c>
      <c r="N776" s="14">
        <v>0</v>
      </c>
      <c r="O776" s="14">
        <v>0</v>
      </c>
      <c r="P776" s="14">
        <v>0</v>
      </c>
      <c r="Q776" s="14">
        <v>0</v>
      </c>
      <c r="R776" s="14">
        <v>0</v>
      </c>
      <c r="S776" s="14">
        <v>0</v>
      </c>
      <c r="T776" s="18">
        <v>0</v>
      </c>
      <c r="U776" s="14">
        <v>1.175</v>
      </c>
      <c r="W776" s="39">
        <f t="shared" si="89"/>
        <v>0</v>
      </c>
      <c r="AB776" s="37" t="str">
        <f t="shared" si="94"/>
        <v>CTKS</v>
      </c>
      <c r="AC776" s="36">
        <f t="shared" si="95"/>
        <v>0</v>
      </c>
    </row>
    <row r="777" spans="1:29" x14ac:dyDescent="0.25">
      <c r="A777" s="7" t="s">
        <v>97</v>
      </c>
      <c r="B777" s="15" t="s">
        <v>13</v>
      </c>
      <c r="C777" s="7" t="s">
        <v>21</v>
      </c>
      <c r="D777" s="14">
        <v>0</v>
      </c>
      <c r="E777" s="14">
        <v>0</v>
      </c>
      <c r="F777" s="14">
        <v>0</v>
      </c>
      <c r="G777" s="14">
        <v>0</v>
      </c>
      <c r="H777" s="16">
        <v>1</v>
      </c>
      <c r="I777" s="33">
        <v>1</v>
      </c>
      <c r="J777" s="34">
        <v>0</v>
      </c>
      <c r="K777" s="34">
        <v>0</v>
      </c>
      <c r="L777" s="14">
        <v>0</v>
      </c>
      <c r="M777" s="14">
        <v>0</v>
      </c>
      <c r="N777" s="14">
        <v>0</v>
      </c>
      <c r="O777" s="14">
        <v>0</v>
      </c>
      <c r="P777" s="14">
        <v>0</v>
      </c>
      <c r="Q777" s="14">
        <v>0</v>
      </c>
      <c r="R777" s="14">
        <v>0</v>
      </c>
      <c r="S777" s="14">
        <v>0</v>
      </c>
      <c r="T777" s="18">
        <v>0</v>
      </c>
      <c r="U777" s="14">
        <v>1.175</v>
      </c>
      <c r="W777" s="39">
        <f t="shared" si="89"/>
        <v>1.175</v>
      </c>
      <c r="AB777" s="37" t="str">
        <f t="shared" si="94"/>
        <v>Repair</v>
      </c>
      <c r="AC777" s="36">
        <f t="shared" si="95"/>
        <v>1.175</v>
      </c>
    </row>
    <row r="778" spans="1:29" x14ac:dyDescent="0.25">
      <c r="A778" s="7" t="s">
        <v>97</v>
      </c>
      <c r="B778" s="15" t="s">
        <v>67</v>
      </c>
      <c r="C778" s="7" t="s">
        <v>21</v>
      </c>
      <c r="D778" s="14">
        <v>0</v>
      </c>
      <c r="E778" s="14">
        <v>0</v>
      </c>
      <c r="F778" s="14">
        <v>0</v>
      </c>
      <c r="G778" s="14">
        <v>0</v>
      </c>
      <c r="H778" s="16">
        <v>189</v>
      </c>
      <c r="I778" s="17">
        <v>60</v>
      </c>
      <c r="J778" s="14">
        <v>69</v>
      </c>
      <c r="K778" s="14">
        <v>34</v>
      </c>
      <c r="L778" s="14">
        <v>10</v>
      </c>
      <c r="M778" s="14">
        <v>4</v>
      </c>
      <c r="N778" s="14">
        <v>2</v>
      </c>
      <c r="O778" s="14">
        <v>1</v>
      </c>
      <c r="P778" s="14">
        <v>1</v>
      </c>
      <c r="Q778" s="14">
        <v>1</v>
      </c>
      <c r="R778" s="14">
        <v>1</v>
      </c>
      <c r="S778" s="14">
        <v>1</v>
      </c>
      <c r="T778" s="18">
        <v>1</v>
      </c>
      <c r="U778" s="14">
        <v>1.175</v>
      </c>
      <c r="W778" s="39">
        <f t="shared" si="89"/>
        <v>217.375</v>
      </c>
      <c r="AB778" s="37" t="str">
        <f t="shared" si="94"/>
        <v>Rental</v>
      </c>
      <c r="AC778" s="36">
        <f t="shared" si="95"/>
        <v>70.5</v>
      </c>
    </row>
    <row r="779" spans="1:29" x14ac:dyDescent="0.25">
      <c r="A779" s="7" t="s">
        <v>97</v>
      </c>
      <c r="B779" s="15" t="s">
        <v>73</v>
      </c>
      <c r="C779" s="7" t="s">
        <v>21</v>
      </c>
      <c r="D779" s="14">
        <v>0</v>
      </c>
      <c r="E779" s="14">
        <v>0</v>
      </c>
      <c r="F779" s="14">
        <v>0</v>
      </c>
      <c r="G779" s="14">
        <v>0</v>
      </c>
      <c r="H779" s="16">
        <v>0</v>
      </c>
      <c r="I779" s="17">
        <v>0</v>
      </c>
      <c r="J779" s="14">
        <v>0</v>
      </c>
      <c r="K779" s="14">
        <v>0</v>
      </c>
      <c r="L779" s="14">
        <v>0</v>
      </c>
      <c r="M779" s="14">
        <v>0</v>
      </c>
      <c r="N779" s="14">
        <v>0</v>
      </c>
      <c r="O779" s="14">
        <v>0</v>
      </c>
      <c r="P779" s="14">
        <v>0</v>
      </c>
      <c r="Q779" s="14">
        <v>0</v>
      </c>
      <c r="R779" s="14">
        <v>0</v>
      </c>
      <c r="S779" s="14">
        <v>0</v>
      </c>
      <c r="T779" s="18">
        <v>0</v>
      </c>
      <c r="U779" s="14">
        <v>1.175</v>
      </c>
      <c r="W779" s="39">
        <f t="shared" si="89"/>
        <v>0</v>
      </c>
      <c r="AB779" s="37"/>
    </row>
    <row r="780" spans="1:29" x14ac:dyDescent="0.25">
      <c r="A780" s="7" t="s">
        <v>97</v>
      </c>
      <c r="B780" s="15" t="s">
        <v>19</v>
      </c>
      <c r="C780" s="7" t="s">
        <v>21</v>
      </c>
      <c r="D780" s="14">
        <v>0</v>
      </c>
      <c r="E780" s="14">
        <v>0</v>
      </c>
      <c r="F780" s="14">
        <v>0</v>
      </c>
      <c r="G780" s="14">
        <v>0</v>
      </c>
      <c r="H780" s="16">
        <v>1</v>
      </c>
      <c r="I780" s="17">
        <v>0</v>
      </c>
      <c r="J780" s="14">
        <v>0</v>
      </c>
      <c r="K780" s="14">
        <v>1</v>
      </c>
      <c r="L780" s="14">
        <v>0</v>
      </c>
      <c r="M780" s="14">
        <v>0</v>
      </c>
      <c r="N780" s="14">
        <v>0</v>
      </c>
      <c r="O780" s="14">
        <v>0</v>
      </c>
      <c r="P780" s="14">
        <v>0</v>
      </c>
      <c r="Q780" s="14">
        <v>0</v>
      </c>
      <c r="R780" s="14">
        <v>0</v>
      </c>
      <c r="S780" s="14">
        <v>0</v>
      </c>
      <c r="T780" s="18">
        <v>0</v>
      </c>
      <c r="U780" s="14">
        <v>1.175</v>
      </c>
      <c r="W780" s="39">
        <f t="shared" si="89"/>
        <v>1.175</v>
      </c>
      <c r="AB780" s="37" t="str">
        <f t="shared" ref="AB780:AB781" si="96">B780</f>
        <v>Maintenance</v>
      </c>
      <c r="AC780" s="36">
        <f t="shared" ref="AC780:AC781" si="97">I780*U780</f>
        <v>0</v>
      </c>
    </row>
    <row r="781" spans="1:29" ht="13" thickBot="1" x14ac:dyDescent="0.3">
      <c r="A781" s="7" t="s">
        <v>97</v>
      </c>
      <c r="B781" s="19" t="s">
        <v>20</v>
      </c>
      <c r="C781" s="20" t="s">
        <v>21</v>
      </c>
      <c r="D781" s="21">
        <v>0</v>
      </c>
      <c r="E781" s="21">
        <v>0</v>
      </c>
      <c r="F781" s="21">
        <v>0</v>
      </c>
      <c r="G781" s="21">
        <v>0</v>
      </c>
      <c r="H781" s="22">
        <v>0</v>
      </c>
      <c r="I781" s="23">
        <v>0</v>
      </c>
      <c r="J781" s="21">
        <v>0</v>
      </c>
      <c r="K781" s="21">
        <v>0</v>
      </c>
      <c r="L781" s="21">
        <v>0</v>
      </c>
      <c r="M781" s="21">
        <v>0</v>
      </c>
      <c r="N781" s="21">
        <v>0</v>
      </c>
      <c r="O781" s="21">
        <v>0</v>
      </c>
      <c r="P781" s="21">
        <v>0</v>
      </c>
      <c r="Q781" s="21">
        <v>0</v>
      </c>
      <c r="R781" s="21">
        <v>0</v>
      </c>
      <c r="S781" s="21">
        <v>0</v>
      </c>
      <c r="T781" s="24">
        <v>0</v>
      </c>
      <c r="U781" s="14">
        <v>1.175</v>
      </c>
      <c r="W781" s="39">
        <f t="shared" si="89"/>
        <v>0</v>
      </c>
      <c r="AB781" s="37" t="str">
        <f t="shared" si="96"/>
        <v>Startup</v>
      </c>
      <c r="AC781" s="36">
        <f t="shared" si="97"/>
        <v>0</v>
      </c>
    </row>
    <row r="782" spans="1:29" ht="13" thickBot="1" x14ac:dyDescent="0.3">
      <c r="A782" s="7" t="s">
        <v>97</v>
      </c>
      <c r="B782" s="25" t="s">
        <v>12</v>
      </c>
      <c r="C782" s="137" t="s">
        <v>21</v>
      </c>
      <c r="D782" s="138">
        <v>0</v>
      </c>
      <c r="E782" s="138">
        <v>0</v>
      </c>
      <c r="F782" s="138">
        <v>0</v>
      </c>
      <c r="G782" s="138">
        <v>0</v>
      </c>
      <c r="H782" s="11">
        <v>191</v>
      </c>
      <c r="I782" s="12">
        <v>61</v>
      </c>
      <c r="J782" s="138">
        <v>69</v>
      </c>
      <c r="K782" s="138">
        <v>35</v>
      </c>
      <c r="L782" s="138">
        <v>10</v>
      </c>
      <c r="M782" s="138">
        <v>4</v>
      </c>
      <c r="N782" s="138">
        <v>2</v>
      </c>
      <c r="O782" s="138">
        <v>1</v>
      </c>
      <c r="P782" s="138">
        <v>1</v>
      </c>
      <c r="Q782" s="138">
        <v>1</v>
      </c>
      <c r="R782" s="138">
        <v>1</v>
      </c>
      <c r="S782" s="138">
        <v>1</v>
      </c>
      <c r="T782" s="12">
        <v>1</v>
      </c>
      <c r="U782" s="14">
        <v>1.175</v>
      </c>
      <c r="W782" s="39">
        <f t="shared" si="89"/>
        <v>219.72499999999999</v>
      </c>
      <c r="X782" s="35">
        <f>W781+W780+W777</f>
        <v>2.35</v>
      </c>
      <c r="Y782" s="35">
        <f>W775</f>
        <v>0</v>
      </c>
      <c r="Z782" s="40">
        <f>V773/X782</f>
        <v>0</v>
      </c>
      <c r="AA782" s="40">
        <f>IF((Y782=0),0,Y774/Y782)</f>
        <v>0</v>
      </c>
      <c r="AB782" s="48"/>
      <c r="AC782" s="48"/>
    </row>
    <row r="783" spans="1:29" ht="13" thickBot="1" x14ac:dyDescent="0.3">
      <c r="A783" s="7" t="s">
        <v>98</v>
      </c>
      <c r="B783" s="30" t="s">
        <v>15</v>
      </c>
      <c r="C783" s="31" t="s">
        <v>94</v>
      </c>
      <c r="D783" s="32" t="s">
        <v>47</v>
      </c>
      <c r="E783" s="53" t="s">
        <v>116</v>
      </c>
      <c r="F783" s="53" t="s">
        <v>117</v>
      </c>
      <c r="G783" s="53" t="s">
        <v>118</v>
      </c>
      <c r="H783" s="28" t="s">
        <v>12</v>
      </c>
      <c r="I783" s="54" t="s">
        <v>119</v>
      </c>
      <c r="J783" s="53" t="s">
        <v>174</v>
      </c>
      <c r="K783" s="53" t="s">
        <v>175</v>
      </c>
      <c r="L783" s="53" t="s">
        <v>99</v>
      </c>
      <c r="M783" s="53" t="s">
        <v>100</v>
      </c>
      <c r="N783" s="53" t="s">
        <v>101</v>
      </c>
      <c r="O783" s="53" t="s">
        <v>102</v>
      </c>
      <c r="P783" s="53" t="s">
        <v>103</v>
      </c>
      <c r="Q783" s="53" t="s">
        <v>104</v>
      </c>
      <c r="R783" s="53" t="s">
        <v>105</v>
      </c>
      <c r="S783" s="53" t="s">
        <v>106</v>
      </c>
      <c r="T783" s="55" t="s">
        <v>107</v>
      </c>
      <c r="U783" s="14">
        <v>1.175</v>
      </c>
      <c r="V783" s="14" t="s">
        <v>183</v>
      </c>
      <c r="W783" s="39">
        <f t="shared" si="89"/>
        <v>0</v>
      </c>
      <c r="X783" s="14" t="s">
        <v>37</v>
      </c>
      <c r="Y783" s="14" t="s">
        <v>38</v>
      </c>
      <c r="AB783" s="48"/>
      <c r="AC783" s="48"/>
    </row>
    <row r="784" spans="1:29" x14ac:dyDescent="0.25">
      <c r="A784" s="7" t="s">
        <v>98</v>
      </c>
      <c r="B784" s="8" t="s">
        <v>17</v>
      </c>
      <c r="C784" s="9" t="s">
        <v>18</v>
      </c>
      <c r="D784" s="10">
        <v>16</v>
      </c>
      <c r="E784" s="10">
        <v>0</v>
      </c>
      <c r="F784" s="10">
        <v>0</v>
      </c>
      <c r="G784" s="10">
        <v>0</v>
      </c>
      <c r="H784" s="11">
        <v>16</v>
      </c>
      <c r="I784" s="12">
        <v>0</v>
      </c>
      <c r="J784" s="10">
        <v>0</v>
      </c>
      <c r="K784" s="10">
        <v>0</v>
      </c>
      <c r="L784" s="10">
        <v>0</v>
      </c>
      <c r="M784" s="10">
        <v>0</v>
      </c>
      <c r="N784" s="10">
        <v>0</v>
      </c>
      <c r="O784" s="10">
        <v>0</v>
      </c>
      <c r="P784" s="10">
        <v>0</v>
      </c>
      <c r="Q784" s="10">
        <v>0</v>
      </c>
      <c r="R784" s="10">
        <v>0</v>
      </c>
      <c r="S784" s="10">
        <v>0</v>
      </c>
      <c r="T784" s="13">
        <v>0</v>
      </c>
      <c r="U784" s="14">
        <v>1.175</v>
      </c>
      <c r="V784" s="42">
        <f>SUM(I784:T784)/H784</f>
        <v>0</v>
      </c>
      <c r="W784" s="39">
        <f t="shared" si="89"/>
        <v>0</v>
      </c>
    </row>
    <row r="785" spans="1:29" x14ac:dyDescent="0.25">
      <c r="A785" s="7" t="s">
        <v>98</v>
      </c>
      <c r="B785" s="15" t="s">
        <v>66</v>
      </c>
      <c r="C785" s="7" t="s">
        <v>18</v>
      </c>
      <c r="D785" s="14">
        <v>0</v>
      </c>
      <c r="E785" s="14">
        <v>0</v>
      </c>
      <c r="F785" s="14">
        <v>0</v>
      </c>
      <c r="G785" s="14">
        <v>0</v>
      </c>
      <c r="H785" s="16">
        <v>0</v>
      </c>
      <c r="I785" s="17">
        <v>0</v>
      </c>
      <c r="J785" s="14">
        <v>0</v>
      </c>
      <c r="K785" s="14">
        <v>0</v>
      </c>
      <c r="L785" s="14">
        <v>0</v>
      </c>
      <c r="M785" s="14">
        <v>0</v>
      </c>
      <c r="N785" s="14">
        <v>0</v>
      </c>
      <c r="O785" s="14">
        <v>0</v>
      </c>
      <c r="P785" s="14">
        <v>0</v>
      </c>
      <c r="Q785" s="14">
        <v>0</v>
      </c>
      <c r="R785" s="14">
        <v>0</v>
      </c>
      <c r="S785" s="14">
        <v>0</v>
      </c>
      <c r="T785" s="18">
        <v>0</v>
      </c>
      <c r="U785" s="14">
        <v>1.175</v>
      </c>
      <c r="V785" s="44"/>
      <c r="W785" s="39">
        <f t="shared" si="89"/>
        <v>0</v>
      </c>
    </row>
    <row r="786" spans="1:29" x14ac:dyDescent="0.25">
      <c r="A786" s="7" t="s">
        <v>98</v>
      </c>
      <c r="B786" s="15" t="s">
        <v>13</v>
      </c>
      <c r="C786" s="7" t="s">
        <v>18</v>
      </c>
      <c r="D786" s="14">
        <v>0</v>
      </c>
      <c r="E786" s="14">
        <v>0</v>
      </c>
      <c r="F786" s="14">
        <v>0</v>
      </c>
      <c r="G786" s="14">
        <v>0</v>
      </c>
      <c r="H786" s="16">
        <v>0</v>
      </c>
      <c r="I786" s="17">
        <v>0</v>
      </c>
      <c r="J786" s="14">
        <v>0</v>
      </c>
      <c r="K786" s="14">
        <v>0</v>
      </c>
      <c r="L786" s="14">
        <v>0</v>
      </c>
      <c r="M786" s="14">
        <v>0</v>
      </c>
      <c r="N786" s="14">
        <v>0</v>
      </c>
      <c r="O786" s="14">
        <v>0</v>
      </c>
      <c r="P786" s="14">
        <v>0</v>
      </c>
      <c r="Q786" s="14">
        <v>0</v>
      </c>
      <c r="R786" s="14">
        <v>0</v>
      </c>
      <c r="S786" s="14">
        <v>0</v>
      </c>
      <c r="T786" s="18">
        <v>0</v>
      </c>
      <c r="U786" s="14">
        <v>1.175</v>
      </c>
      <c r="V786" s="41"/>
      <c r="W786" s="39">
        <f t="shared" si="89"/>
        <v>0</v>
      </c>
    </row>
    <row r="787" spans="1:29" x14ac:dyDescent="0.25">
      <c r="A787" s="7" t="s">
        <v>98</v>
      </c>
      <c r="B787" s="15" t="s">
        <v>67</v>
      </c>
      <c r="C787" s="7" t="s">
        <v>18</v>
      </c>
      <c r="D787" s="14">
        <v>0</v>
      </c>
      <c r="E787" s="14">
        <v>0</v>
      </c>
      <c r="F787" s="14">
        <v>0</v>
      </c>
      <c r="G787" s="14">
        <v>0</v>
      </c>
      <c r="H787" s="16">
        <v>0</v>
      </c>
      <c r="I787" s="17">
        <v>0</v>
      </c>
      <c r="J787" s="14">
        <v>0</v>
      </c>
      <c r="K787" s="14">
        <v>0</v>
      </c>
      <c r="L787" s="14">
        <v>0</v>
      </c>
      <c r="M787" s="14">
        <v>0</v>
      </c>
      <c r="N787" s="14">
        <v>0</v>
      </c>
      <c r="O787" s="14">
        <v>0</v>
      </c>
      <c r="P787" s="14">
        <v>0</v>
      </c>
      <c r="Q787" s="14">
        <v>0</v>
      </c>
      <c r="R787" s="14">
        <v>0</v>
      </c>
      <c r="S787" s="14">
        <v>0</v>
      </c>
      <c r="T787" s="18">
        <v>0</v>
      </c>
      <c r="U787" s="14">
        <v>1.175</v>
      </c>
      <c r="V787" s="41"/>
      <c r="W787" s="39">
        <f t="shared" si="89"/>
        <v>0</v>
      </c>
    </row>
    <row r="788" spans="1:29" x14ac:dyDescent="0.25">
      <c r="A788" s="7" t="s">
        <v>98</v>
      </c>
      <c r="B788" s="15" t="s">
        <v>73</v>
      </c>
      <c r="C788" s="7" t="s">
        <v>18</v>
      </c>
      <c r="D788" s="14">
        <v>0</v>
      </c>
      <c r="E788" s="14">
        <v>0</v>
      </c>
      <c r="F788" s="14">
        <v>0</v>
      </c>
      <c r="G788" s="14">
        <v>0</v>
      </c>
      <c r="H788" s="16">
        <v>0</v>
      </c>
      <c r="I788" s="17">
        <v>0</v>
      </c>
      <c r="J788" s="14">
        <v>0</v>
      </c>
      <c r="K788" s="14">
        <v>0</v>
      </c>
      <c r="L788" s="14">
        <v>0</v>
      </c>
      <c r="M788" s="14">
        <v>0</v>
      </c>
      <c r="N788" s="14">
        <v>0</v>
      </c>
      <c r="O788" s="14">
        <v>0</v>
      </c>
      <c r="P788" s="14">
        <v>0</v>
      </c>
      <c r="Q788" s="14">
        <v>0</v>
      </c>
      <c r="R788" s="14">
        <v>0</v>
      </c>
      <c r="S788" s="14">
        <v>0</v>
      </c>
      <c r="T788" s="18">
        <v>0</v>
      </c>
      <c r="U788" s="14">
        <v>1.175</v>
      </c>
      <c r="V788" s="41"/>
      <c r="W788" s="39">
        <f t="shared" si="89"/>
        <v>0</v>
      </c>
    </row>
    <row r="789" spans="1:29" x14ac:dyDescent="0.25">
      <c r="A789" s="7" t="s">
        <v>98</v>
      </c>
      <c r="B789" s="15" t="s">
        <v>19</v>
      </c>
      <c r="C789" s="7" t="s">
        <v>18</v>
      </c>
      <c r="D789" s="14">
        <v>0</v>
      </c>
      <c r="E789" s="14">
        <v>0</v>
      </c>
      <c r="F789" s="14">
        <v>0</v>
      </c>
      <c r="G789" s="14">
        <v>0</v>
      </c>
      <c r="H789" s="16">
        <v>0</v>
      </c>
      <c r="I789" s="17">
        <v>0</v>
      </c>
      <c r="J789" s="14">
        <v>0</v>
      </c>
      <c r="K789" s="14">
        <v>0</v>
      </c>
      <c r="L789" s="14">
        <v>0</v>
      </c>
      <c r="M789" s="14">
        <v>0</v>
      </c>
      <c r="N789" s="14">
        <v>0</v>
      </c>
      <c r="O789" s="14">
        <v>0</v>
      </c>
      <c r="P789" s="14">
        <v>0</v>
      </c>
      <c r="Q789" s="14">
        <v>0</v>
      </c>
      <c r="R789" s="14">
        <v>0</v>
      </c>
      <c r="S789" s="14">
        <v>0</v>
      </c>
      <c r="T789" s="18">
        <v>0</v>
      </c>
      <c r="U789" s="14">
        <v>1.175</v>
      </c>
      <c r="V789" s="41"/>
      <c r="W789" s="39">
        <f t="shared" si="89"/>
        <v>0</v>
      </c>
    </row>
    <row r="790" spans="1:29" ht="13" thickBot="1" x14ac:dyDescent="0.3">
      <c r="A790" s="7" t="s">
        <v>98</v>
      </c>
      <c r="B790" s="19" t="s">
        <v>20</v>
      </c>
      <c r="C790" s="20" t="s">
        <v>18</v>
      </c>
      <c r="D790" s="21">
        <v>0</v>
      </c>
      <c r="E790" s="21">
        <v>0</v>
      </c>
      <c r="F790" s="21">
        <v>0</v>
      </c>
      <c r="G790" s="21">
        <v>0</v>
      </c>
      <c r="H790" s="22">
        <v>0</v>
      </c>
      <c r="I790" s="23">
        <v>0</v>
      </c>
      <c r="J790" s="21">
        <v>0</v>
      </c>
      <c r="K790" s="21">
        <v>0</v>
      </c>
      <c r="L790" s="21">
        <v>0</v>
      </c>
      <c r="M790" s="21">
        <v>0</v>
      </c>
      <c r="N790" s="21">
        <v>0</v>
      </c>
      <c r="O790" s="21">
        <v>0</v>
      </c>
      <c r="P790" s="21">
        <v>0</v>
      </c>
      <c r="Q790" s="21">
        <v>0</v>
      </c>
      <c r="R790" s="21">
        <v>0</v>
      </c>
      <c r="S790" s="21">
        <v>0</v>
      </c>
      <c r="T790" s="24">
        <v>0</v>
      </c>
      <c r="U790" s="14">
        <v>1.175</v>
      </c>
      <c r="V790" s="44"/>
      <c r="W790" s="39">
        <f t="shared" si="89"/>
        <v>0</v>
      </c>
    </row>
    <row r="791" spans="1:29" ht="13" thickBot="1" x14ac:dyDescent="0.3">
      <c r="A791" s="7" t="s">
        <v>98</v>
      </c>
      <c r="B791" s="25" t="s">
        <v>12</v>
      </c>
      <c r="C791" s="26" t="s">
        <v>18</v>
      </c>
      <c r="D791" s="27">
        <v>16</v>
      </c>
      <c r="E791" s="27">
        <v>0</v>
      </c>
      <c r="F791" s="27">
        <v>0</v>
      </c>
      <c r="G791" s="27">
        <v>0</v>
      </c>
      <c r="H791" s="28">
        <v>16</v>
      </c>
      <c r="I791" s="29">
        <v>0</v>
      </c>
      <c r="J791" s="27">
        <v>0</v>
      </c>
      <c r="K791" s="27">
        <v>0</v>
      </c>
      <c r="L791" s="27">
        <v>0</v>
      </c>
      <c r="M791" s="27">
        <v>0</v>
      </c>
      <c r="N791" s="27">
        <v>0</v>
      </c>
      <c r="O791" s="27">
        <v>0</v>
      </c>
      <c r="P791" s="27">
        <v>0</v>
      </c>
      <c r="Q791" s="27">
        <v>0</v>
      </c>
      <c r="R791" s="27">
        <v>0</v>
      </c>
      <c r="S791" s="27">
        <v>0</v>
      </c>
      <c r="T791" s="29">
        <v>0</v>
      </c>
      <c r="U791" s="14">
        <v>1.175</v>
      </c>
      <c r="V791" s="43" t="e">
        <f>SUM(I786:T789)/SUM(H786:H789)</f>
        <v>#DIV/0!</v>
      </c>
      <c r="W791" s="39">
        <f t="shared" si="89"/>
        <v>0</v>
      </c>
      <c r="X791" s="35">
        <f>W789+W786</f>
        <v>0</v>
      </c>
      <c r="Y791" s="35">
        <f>W784</f>
        <v>0</v>
      </c>
    </row>
    <row r="792" spans="1:29" x14ac:dyDescent="0.25">
      <c r="A792" s="7" t="s">
        <v>98</v>
      </c>
      <c r="B792" s="8" t="s">
        <v>17</v>
      </c>
      <c r="C792" s="9" t="s">
        <v>21</v>
      </c>
      <c r="D792" s="10">
        <v>0</v>
      </c>
      <c r="E792" s="10">
        <v>0</v>
      </c>
      <c r="F792" s="10">
        <v>0</v>
      </c>
      <c r="G792" s="10">
        <v>0</v>
      </c>
      <c r="H792" s="11">
        <v>0</v>
      </c>
      <c r="I792" s="12">
        <v>0</v>
      </c>
      <c r="J792" s="10">
        <v>0</v>
      </c>
      <c r="K792" s="10">
        <v>0</v>
      </c>
      <c r="L792" s="10">
        <v>0</v>
      </c>
      <c r="M792" s="10">
        <v>0</v>
      </c>
      <c r="N792" s="10">
        <v>0</v>
      </c>
      <c r="O792" s="10">
        <v>0</v>
      </c>
      <c r="P792" s="10">
        <v>0</v>
      </c>
      <c r="Q792" s="10">
        <v>0</v>
      </c>
      <c r="R792" s="10">
        <v>0</v>
      </c>
      <c r="S792" s="10">
        <v>0</v>
      </c>
      <c r="T792" s="13">
        <v>0</v>
      </c>
      <c r="U792" s="14">
        <v>1.175</v>
      </c>
      <c r="W792" s="39">
        <f t="shared" si="89"/>
        <v>0</v>
      </c>
      <c r="AB792" s="37" t="str">
        <f t="shared" ref="AB792:AB795" si="98">B792</f>
        <v>Parts-OTC</v>
      </c>
      <c r="AC792" s="36">
        <f t="shared" ref="AC792:AC795" si="99">I792*U792</f>
        <v>0</v>
      </c>
    </row>
    <row r="793" spans="1:29" x14ac:dyDescent="0.25">
      <c r="A793" s="7" t="s">
        <v>98</v>
      </c>
      <c r="B793" s="15" t="s">
        <v>66</v>
      </c>
      <c r="C793" s="7" t="s">
        <v>21</v>
      </c>
      <c r="D793" s="14">
        <v>0</v>
      </c>
      <c r="E793" s="14">
        <v>0</v>
      </c>
      <c r="F793" s="14">
        <v>0</v>
      </c>
      <c r="G793" s="14">
        <v>0</v>
      </c>
      <c r="H793" s="16">
        <v>46</v>
      </c>
      <c r="I793" s="17">
        <v>46</v>
      </c>
      <c r="J793" s="14">
        <v>0</v>
      </c>
      <c r="K793" s="14">
        <v>0</v>
      </c>
      <c r="L793" s="14">
        <v>0</v>
      </c>
      <c r="M793" s="14">
        <v>0</v>
      </c>
      <c r="N793" s="14">
        <v>0</v>
      </c>
      <c r="O793" s="14">
        <v>0</v>
      </c>
      <c r="P793" s="14">
        <v>0</v>
      </c>
      <c r="Q793" s="14">
        <v>0</v>
      </c>
      <c r="R793" s="14">
        <v>0</v>
      </c>
      <c r="S793" s="14">
        <v>0</v>
      </c>
      <c r="T793" s="18">
        <v>0</v>
      </c>
      <c r="U793" s="14">
        <v>1.175</v>
      </c>
      <c r="W793" s="39">
        <f t="shared" si="89"/>
        <v>54.050000000000004</v>
      </c>
      <c r="AB793" s="37" t="str">
        <f t="shared" si="98"/>
        <v>CTKS</v>
      </c>
      <c r="AC793" s="36">
        <f t="shared" si="99"/>
        <v>54.050000000000004</v>
      </c>
    </row>
    <row r="794" spans="1:29" x14ac:dyDescent="0.25">
      <c r="A794" s="7" t="s">
        <v>98</v>
      </c>
      <c r="B794" s="15" t="s">
        <v>13</v>
      </c>
      <c r="C794" s="7" t="s">
        <v>21</v>
      </c>
      <c r="D794" s="14">
        <v>0</v>
      </c>
      <c r="E794" s="14">
        <v>0</v>
      </c>
      <c r="F794" s="14">
        <v>0</v>
      </c>
      <c r="G794" s="14">
        <v>0</v>
      </c>
      <c r="H794" s="16">
        <v>141</v>
      </c>
      <c r="I794" s="33">
        <v>141</v>
      </c>
      <c r="J794" s="34">
        <v>0</v>
      </c>
      <c r="K794" s="34">
        <v>0</v>
      </c>
      <c r="L794" s="14">
        <v>0</v>
      </c>
      <c r="M794" s="14">
        <v>0</v>
      </c>
      <c r="N794" s="14">
        <v>0</v>
      </c>
      <c r="O794" s="14">
        <v>0</v>
      </c>
      <c r="P794" s="14">
        <v>0</v>
      </c>
      <c r="Q794" s="14">
        <v>0</v>
      </c>
      <c r="R794" s="14">
        <v>0</v>
      </c>
      <c r="S794" s="14">
        <v>0</v>
      </c>
      <c r="T794" s="18">
        <v>0</v>
      </c>
      <c r="U794" s="14">
        <v>1.175</v>
      </c>
      <c r="W794" s="39">
        <f t="shared" si="89"/>
        <v>165.67500000000001</v>
      </c>
      <c r="AB794" s="37" t="str">
        <f t="shared" si="98"/>
        <v>Repair</v>
      </c>
      <c r="AC794" s="36">
        <f t="shared" si="99"/>
        <v>165.67500000000001</v>
      </c>
    </row>
    <row r="795" spans="1:29" x14ac:dyDescent="0.25">
      <c r="A795" s="7" t="s">
        <v>98</v>
      </c>
      <c r="B795" s="15" t="s">
        <v>67</v>
      </c>
      <c r="C795" s="7" t="s">
        <v>21</v>
      </c>
      <c r="D795" s="14">
        <v>0</v>
      </c>
      <c r="E795" s="14">
        <v>0</v>
      </c>
      <c r="F795" s="14">
        <v>0</v>
      </c>
      <c r="G795" s="14">
        <v>0</v>
      </c>
      <c r="H795" s="16">
        <v>1401</v>
      </c>
      <c r="I795" s="17">
        <v>1189</v>
      </c>
      <c r="J795" s="14">
        <v>68</v>
      </c>
      <c r="K795" s="14">
        <v>66</v>
      </c>
      <c r="L795" s="14">
        <v>12</v>
      </c>
      <c r="M795" s="14">
        <v>14</v>
      </c>
      <c r="N795" s="14">
        <v>11</v>
      </c>
      <c r="O795" s="14">
        <v>12</v>
      </c>
      <c r="P795" s="14">
        <v>8</v>
      </c>
      <c r="Q795" s="14">
        <v>2</v>
      </c>
      <c r="R795" s="14">
        <v>6</v>
      </c>
      <c r="S795" s="14">
        <v>6</v>
      </c>
      <c r="T795" s="18">
        <v>6</v>
      </c>
      <c r="U795" s="14">
        <v>1.175</v>
      </c>
      <c r="W795" s="39">
        <f t="shared" si="89"/>
        <v>1645</v>
      </c>
      <c r="AB795" s="37" t="str">
        <f t="shared" si="98"/>
        <v>Rental</v>
      </c>
      <c r="AC795" s="36">
        <f t="shared" si="99"/>
        <v>1397.075</v>
      </c>
    </row>
    <row r="796" spans="1:29" x14ac:dyDescent="0.25">
      <c r="A796" s="7" t="s">
        <v>98</v>
      </c>
      <c r="B796" s="15" t="s">
        <v>73</v>
      </c>
      <c r="C796" s="7" t="s">
        <v>21</v>
      </c>
      <c r="D796" s="14">
        <v>0</v>
      </c>
      <c r="E796" s="14">
        <v>0</v>
      </c>
      <c r="F796" s="14">
        <v>0</v>
      </c>
      <c r="G796" s="14">
        <v>0</v>
      </c>
      <c r="H796" s="16">
        <v>207</v>
      </c>
      <c r="I796" s="17">
        <v>207</v>
      </c>
      <c r="J796" s="14">
        <v>0</v>
      </c>
      <c r="K796" s="14">
        <v>0</v>
      </c>
      <c r="L796" s="14">
        <v>0</v>
      </c>
      <c r="M796" s="14">
        <v>0</v>
      </c>
      <c r="N796" s="14">
        <v>0</v>
      </c>
      <c r="O796" s="14">
        <v>0</v>
      </c>
      <c r="P796" s="14">
        <v>0</v>
      </c>
      <c r="Q796" s="14">
        <v>0</v>
      </c>
      <c r="R796" s="14">
        <v>0</v>
      </c>
      <c r="S796" s="14">
        <v>0</v>
      </c>
      <c r="T796" s="18">
        <v>0</v>
      </c>
      <c r="U796" s="14">
        <v>1.175</v>
      </c>
      <c r="W796" s="39">
        <f t="shared" si="89"/>
        <v>243.22500000000002</v>
      </c>
      <c r="AB796" s="37"/>
    </row>
    <row r="797" spans="1:29" x14ac:dyDescent="0.25">
      <c r="A797" s="7" t="s">
        <v>98</v>
      </c>
      <c r="B797" s="15" t="s">
        <v>19</v>
      </c>
      <c r="C797" s="7" t="s">
        <v>21</v>
      </c>
      <c r="D797" s="14">
        <v>0</v>
      </c>
      <c r="E797" s="14">
        <v>0</v>
      </c>
      <c r="F797" s="14">
        <v>0</v>
      </c>
      <c r="G797" s="14">
        <v>0</v>
      </c>
      <c r="H797" s="16">
        <v>3</v>
      </c>
      <c r="I797" s="17">
        <v>1</v>
      </c>
      <c r="J797" s="14">
        <v>1</v>
      </c>
      <c r="K797" s="14">
        <v>0</v>
      </c>
      <c r="L797" s="14">
        <v>0</v>
      </c>
      <c r="M797" s="14">
        <v>0</v>
      </c>
      <c r="N797" s="14">
        <v>1</v>
      </c>
      <c r="O797" s="14">
        <v>0</v>
      </c>
      <c r="P797" s="14">
        <v>0</v>
      </c>
      <c r="Q797" s="14">
        <v>0</v>
      </c>
      <c r="R797" s="14">
        <v>0</v>
      </c>
      <c r="S797" s="14">
        <v>0</v>
      </c>
      <c r="T797" s="18">
        <v>0</v>
      </c>
      <c r="U797" s="14">
        <v>1.175</v>
      </c>
      <c r="W797" s="39">
        <f t="shared" si="89"/>
        <v>3.5250000000000004</v>
      </c>
      <c r="AB797" s="37" t="str">
        <f t="shared" ref="AB797:AB798" si="100">B797</f>
        <v>Maintenance</v>
      </c>
      <c r="AC797" s="36">
        <f t="shared" ref="AC797:AC798" si="101">I797*U797</f>
        <v>1.175</v>
      </c>
    </row>
    <row r="798" spans="1:29" ht="13" thickBot="1" x14ac:dyDescent="0.3">
      <c r="A798" s="7" t="s">
        <v>98</v>
      </c>
      <c r="B798" s="19" t="s">
        <v>20</v>
      </c>
      <c r="C798" s="20" t="s">
        <v>21</v>
      </c>
      <c r="D798" s="21">
        <v>0</v>
      </c>
      <c r="E798" s="21">
        <v>0</v>
      </c>
      <c r="F798" s="21">
        <v>0</v>
      </c>
      <c r="G798" s="21">
        <v>0</v>
      </c>
      <c r="H798" s="22">
        <v>26</v>
      </c>
      <c r="I798" s="23">
        <v>26</v>
      </c>
      <c r="J798" s="21">
        <v>0</v>
      </c>
      <c r="K798" s="21">
        <v>0</v>
      </c>
      <c r="L798" s="21">
        <v>0</v>
      </c>
      <c r="M798" s="21">
        <v>0</v>
      </c>
      <c r="N798" s="21">
        <v>0</v>
      </c>
      <c r="O798" s="21">
        <v>0</v>
      </c>
      <c r="P798" s="21">
        <v>0</v>
      </c>
      <c r="Q798" s="21">
        <v>0</v>
      </c>
      <c r="R798" s="21">
        <v>0</v>
      </c>
      <c r="S798" s="21">
        <v>0</v>
      </c>
      <c r="T798" s="24">
        <v>0</v>
      </c>
      <c r="U798" s="14">
        <v>1.175</v>
      </c>
      <c r="W798" s="39">
        <f t="shared" si="89"/>
        <v>30.55</v>
      </c>
      <c r="AB798" s="37" t="str">
        <f t="shared" si="100"/>
        <v>Startup</v>
      </c>
      <c r="AC798" s="36">
        <f t="shared" si="101"/>
        <v>30.55</v>
      </c>
    </row>
    <row r="799" spans="1:29" ht="13" thickBot="1" x14ac:dyDescent="0.3">
      <c r="A799" s="7" t="s">
        <v>98</v>
      </c>
      <c r="B799" s="25" t="s">
        <v>12</v>
      </c>
      <c r="C799" s="137" t="s">
        <v>21</v>
      </c>
      <c r="D799" s="138">
        <v>0</v>
      </c>
      <c r="E799" s="138">
        <v>0</v>
      </c>
      <c r="F799" s="138">
        <v>0</v>
      </c>
      <c r="G799" s="138">
        <v>0</v>
      </c>
      <c r="H799" s="11">
        <v>1824</v>
      </c>
      <c r="I799" s="12">
        <v>1610</v>
      </c>
      <c r="J799" s="138">
        <v>69</v>
      </c>
      <c r="K799" s="138">
        <v>66</v>
      </c>
      <c r="L799" s="138">
        <v>12</v>
      </c>
      <c r="M799" s="138">
        <v>14</v>
      </c>
      <c r="N799" s="138">
        <v>12</v>
      </c>
      <c r="O799" s="138">
        <v>12</v>
      </c>
      <c r="P799" s="138">
        <v>8</v>
      </c>
      <c r="Q799" s="138">
        <v>2</v>
      </c>
      <c r="R799" s="138">
        <v>6</v>
      </c>
      <c r="S799" s="138">
        <v>6</v>
      </c>
      <c r="T799" s="12">
        <v>6</v>
      </c>
      <c r="U799" s="14">
        <v>1.175</v>
      </c>
      <c r="W799" s="39">
        <f t="shared" si="89"/>
        <v>2142.0250000000001</v>
      </c>
      <c r="X799" s="35">
        <f>W798+W797+W794</f>
        <v>199.75</v>
      </c>
      <c r="Y799" s="35">
        <f>W792</f>
        <v>0</v>
      </c>
      <c r="Z799" s="40">
        <f>V790/X799</f>
        <v>0</v>
      </c>
      <c r="AA799" s="40">
        <f>IF((Y799=0),0,Y791/Y799)</f>
        <v>0</v>
      </c>
      <c r="AB799" s="48"/>
      <c r="AC799" s="48"/>
    </row>
  </sheetData>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9"/>
  <sheetViews>
    <sheetView workbookViewId="0">
      <pane ySplit="2" topLeftCell="A30" activePane="bottomLeft" state="frozen"/>
      <selection activeCell="C441" sqref="C441"/>
      <selection pane="bottomLeft" activeCell="G38" sqref="G38"/>
    </sheetView>
  </sheetViews>
  <sheetFormatPr defaultRowHeight="12.5" x14ac:dyDescent="0.25"/>
  <cols>
    <col min="2" max="11" width="6.6328125" style="14" customWidth="1"/>
    <col min="12" max="14" width="6.6328125" style="36" customWidth="1"/>
  </cols>
  <sheetData>
    <row r="1" spans="1:16" x14ac:dyDescent="0.25">
      <c r="A1" s="14"/>
      <c r="B1" s="230">
        <v>2025</v>
      </c>
      <c r="C1" s="230"/>
      <c r="D1" s="230"/>
      <c r="E1" s="230"/>
      <c r="F1" s="230"/>
      <c r="G1" s="230"/>
      <c r="J1" s="231">
        <v>2026</v>
      </c>
      <c r="K1" s="231"/>
      <c r="L1" s="231"/>
      <c r="M1" s="231"/>
      <c r="N1" s="231"/>
      <c r="O1" s="231"/>
    </row>
    <row r="2" spans="1:16" x14ac:dyDescent="0.25">
      <c r="A2" s="37"/>
      <c r="B2" s="37" t="s">
        <v>74</v>
      </c>
      <c r="C2" s="37" t="s">
        <v>75</v>
      </c>
      <c r="D2" s="37" t="s">
        <v>53</v>
      </c>
      <c r="E2" s="37" t="s">
        <v>48</v>
      </c>
      <c r="F2" s="37" t="s">
        <v>52</v>
      </c>
      <c r="G2" s="37" t="s">
        <v>67</v>
      </c>
      <c r="J2" s="14" t="s">
        <v>74</v>
      </c>
      <c r="K2" s="14" t="s">
        <v>75</v>
      </c>
      <c r="L2" s="14" t="s">
        <v>53</v>
      </c>
      <c r="M2" s="14" t="s">
        <v>48</v>
      </c>
      <c r="N2" s="14" t="s">
        <v>52</v>
      </c>
      <c r="O2" s="36" t="s">
        <v>67</v>
      </c>
    </row>
    <row r="3" spans="1:16" x14ac:dyDescent="0.25">
      <c r="A3" s="37" t="s">
        <v>65</v>
      </c>
      <c r="B3" s="183">
        <v>236.33153865720001</v>
      </c>
      <c r="C3" s="183">
        <v>200.1194480565</v>
      </c>
      <c r="D3" s="183">
        <v>673.87161080250007</v>
      </c>
      <c r="E3" s="183">
        <v>512.14242420990001</v>
      </c>
      <c r="F3" s="183">
        <v>1.0890854316</v>
      </c>
      <c r="G3" s="183">
        <v>1196.0880752547</v>
      </c>
      <c r="H3" s="35"/>
      <c r="I3" s="96" t="s">
        <v>65</v>
      </c>
      <c r="J3" s="35">
        <v>683.40110832900007</v>
      </c>
      <c r="K3" s="35">
        <v>1694.3446602117001</v>
      </c>
      <c r="L3" s="35">
        <v>1274.7744976878</v>
      </c>
      <c r="M3" s="35">
        <v>389.34804179700001</v>
      </c>
      <c r="N3" s="35">
        <v>33.489377021700001</v>
      </c>
      <c r="O3" s="35">
        <v>1996.2935961228002</v>
      </c>
      <c r="P3" s="37"/>
    </row>
    <row r="4" spans="1:16" x14ac:dyDescent="0.25">
      <c r="A4" s="37" t="s">
        <v>60</v>
      </c>
      <c r="B4" s="183">
        <v>2001.7390232808</v>
      </c>
      <c r="C4" s="183">
        <v>2101.6626116300999</v>
      </c>
      <c r="D4" s="183">
        <v>4103.9461776266999</v>
      </c>
      <c r="E4" s="183">
        <v>719.88547028760001</v>
      </c>
      <c r="F4" s="183">
        <v>43.835688621900005</v>
      </c>
      <c r="G4" s="183">
        <v>900.12910921740001</v>
      </c>
      <c r="H4" s="35"/>
      <c r="I4" s="96" t="s">
        <v>60</v>
      </c>
      <c r="J4" s="35">
        <v>2446.6304220893999</v>
      </c>
      <c r="K4" s="35">
        <v>2190.9676170213002</v>
      </c>
      <c r="L4" s="35">
        <v>4111.8420470057999</v>
      </c>
      <c r="M4" s="35">
        <v>87.671377243800009</v>
      </c>
      <c r="N4" s="35">
        <v>34.306191095400003</v>
      </c>
      <c r="O4" s="35">
        <v>2593.6569553554</v>
      </c>
      <c r="P4" s="37"/>
    </row>
    <row r="5" spans="1:16" x14ac:dyDescent="0.25">
      <c r="A5" s="37" t="s">
        <v>6</v>
      </c>
      <c r="B5" s="183">
        <v>536.97500000000002</v>
      </c>
      <c r="C5" s="183">
        <v>391.27500000000003</v>
      </c>
      <c r="D5" s="183">
        <v>1851.8000000000002</v>
      </c>
      <c r="E5" s="183">
        <v>79.900000000000006</v>
      </c>
      <c r="F5" s="183">
        <v>117.5</v>
      </c>
      <c r="G5" s="183">
        <v>1482.8500000000001</v>
      </c>
      <c r="H5" s="35"/>
      <c r="I5" s="96" t="s">
        <v>6</v>
      </c>
      <c r="J5" s="35">
        <v>1045.75</v>
      </c>
      <c r="K5" s="35">
        <v>1545.125</v>
      </c>
      <c r="L5" s="35">
        <v>2138.5</v>
      </c>
      <c r="M5" s="35">
        <v>110.45</v>
      </c>
      <c r="N5" s="35">
        <v>727.32500000000005</v>
      </c>
      <c r="O5" s="35">
        <v>1120.95</v>
      </c>
      <c r="P5" s="37"/>
    </row>
    <row r="6" spans="1:16" x14ac:dyDescent="0.25">
      <c r="A6" s="37" t="s">
        <v>78</v>
      </c>
      <c r="B6" s="183">
        <v>178.6</v>
      </c>
      <c r="C6" s="183">
        <v>15.275</v>
      </c>
      <c r="D6" s="183">
        <v>55.225000000000001</v>
      </c>
      <c r="E6" s="183">
        <v>22.324999999999999</v>
      </c>
      <c r="F6" s="183">
        <v>3.5250000000000004</v>
      </c>
      <c r="G6" s="183">
        <v>23.5</v>
      </c>
      <c r="H6" s="35"/>
      <c r="I6" s="96" t="s">
        <v>78</v>
      </c>
      <c r="J6" s="35">
        <v>278.47500000000002</v>
      </c>
      <c r="K6" s="35">
        <v>139.82500000000002</v>
      </c>
      <c r="L6" s="35">
        <v>17.625</v>
      </c>
      <c r="M6" s="35">
        <v>16.45</v>
      </c>
      <c r="N6" s="35">
        <v>5.875</v>
      </c>
      <c r="O6" s="35">
        <v>65.8</v>
      </c>
      <c r="P6" s="37"/>
    </row>
    <row r="7" spans="1:16" x14ac:dyDescent="0.25">
      <c r="A7" s="37" t="s">
        <v>14</v>
      </c>
      <c r="B7" s="183">
        <v>689.80799999999999</v>
      </c>
      <c r="C7" s="183">
        <v>735.6</v>
      </c>
      <c r="D7" s="183">
        <v>1370.9280000000001</v>
      </c>
      <c r="E7" s="183">
        <v>0</v>
      </c>
      <c r="F7" s="183">
        <v>59.28</v>
      </c>
      <c r="G7" s="183">
        <v>1573.68</v>
      </c>
      <c r="H7" s="35"/>
      <c r="I7" s="96" t="s">
        <v>14</v>
      </c>
      <c r="J7" s="35">
        <v>818.06399999999996</v>
      </c>
      <c r="K7" s="35">
        <v>1909.5360000000001</v>
      </c>
      <c r="L7" s="35">
        <v>1619.76</v>
      </c>
      <c r="M7" s="35">
        <v>0</v>
      </c>
      <c r="N7" s="35">
        <v>61.872</v>
      </c>
      <c r="O7" s="35">
        <v>2619.7440000000001</v>
      </c>
      <c r="P7" s="37"/>
    </row>
    <row r="8" spans="1:16" x14ac:dyDescent="0.25">
      <c r="A8" s="37" t="s">
        <v>89</v>
      </c>
      <c r="B8" s="183">
        <v>182.07000000000002</v>
      </c>
      <c r="C8" s="183">
        <v>40.152000000000001</v>
      </c>
      <c r="D8" s="183">
        <v>16.359000000000002</v>
      </c>
      <c r="E8" s="183">
        <v>0</v>
      </c>
      <c r="F8" s="183">
        <v>0</v>
      </c>
      <c r="G8" s="183">
        <v>0</v>
      </c>
      <c r="H8" s="35"/>
      <c r="I8" s="96" t="s">
        <v>89</v>
      </c>
      <c r="J8" s="35">
        <v>49.707000000000001</v>
      </c>
      <c r="K8" s="35">
        <v>73.332000000000008</v>
      </c>
      <c r="L8" s="35">
        <v>13.566000000000001</v>
      </c>
      <c r="M8" s="35">
        <v>0</v>
      </c>
      <c r="N8" s="35">
        <v>0</v>
      </c>
      <c r="O8" s="35">
        <v>0</v>
      </c>
      <c r="P8" s="37"/>
    </row>
    <row r="9" spans="1:16" x14ac:dyDescent="0.25">
      <c r="A9" s="37" t="s">
        <v>26</v>
      </c>
      <c r="B9" s="183">
        <v>2917.5250000000001</v>
      </c>
      <c r="C9" s="183">
        <v>1279.575</v>
      </c>
      <c r="D9" s="183">
        <v>4092.5250000000001</v>
      </c>
      <c r="E9" s="183">
        <v>0</v>
      </c>
      <c r="F9" s="183">
        <v>225.60000000000002</v>
      </c>
      <c r="G9" s="183">
        <v>3411.0250000000001</v>
      </c>
      <c r="H9" s="35"/>
      <c r="I9" s="96" t="s">
        <v>26</v>
      </c>
      <c r="J9" s="35">
        <v>2788.2750000000001</v>
      </c>
      <c r="K9" s="35">
        <v>1693.175</v>
      </c>
      <c r="L9" s="35">
        <v>4963.2</v>
      </c>
      <c r="M9" s="35">
        <v>0</v>
      </c>
      <c r="N9" s="35">
        <v>359.55</v>
      </c>
      <c r="O9" s="35">
        <v>3727.1000000000004</v>
      </c>
      <c r="P9" s="37"/>
    </row>
    <row r="10" spans="1:16" x14ac:dyDescent="0.25">
      <c r="A10" s="37" t="s">
        <v>27</v>
      </c>
      <c r="B10" s="183">
        <v>2169.0500000000002</v>
      </c>
      <c r="C10" s="183">
        <v>1330.1000000000001</v>
      </c>
      <c r="D10" s="183">
        <v>3932.7250000000004</v>
      </c>
      <c r="E10" s="183">
        <v>0</v>
      </c>
      <c r="F10" s="183">
        <v>239.70000000000002</v>
      </c>
      <c r="G10" s="183">
        <v>2380.5500000000002</v>
      </c>
      <c r="H10" s="35"/>
      <c r="I10" s="96" t="s">
        <v>27</v>
      </c>
      <c r="J10" s="35">
        <v>2861.125</v>
      </c>
      <c r="K10" s="35">
        <v>2279.5</v>
      </c>
      <c r="L10" s="35">
        <v>3929.2000000000003</v>
      </c>
      <c r="M10" s="35">
        <v>0</v>
      </c>
      <c r="N10" s="35">
        <v>246.75</v>
      </c>
      <c r="O10" s="35">
        <v>2710.7249999999999</v>
      </c>
      <c r="P10" s="37"/>
    </row>
    <row r="11" spans="1:16" x14ac:dyDescent="0.25">
      <c r="A11" s="37" t="s">
        <v>28</v>
      </c>
      <c r="B11" s="183">
        <v>2342.9500000000003</v>
      </c>
      <c r="C11" s="183">
        <v>1724.9</v>
      </c>
      <c r="D11" s="183">
        <v>4117.2</v>
      </c>
      <c r="E11" s="183">
        <v>0</v>
      </c>
      <c r="F11" s="183">
        <v>251.45000000000002</v>
      </c>
      <c r="G11" s="183">
        <v>4262.9000000000005</v>
      </c>
      <c r="H11" s="35"/>
      <c r="I11" s="96" t="s">
        <v>28</v>
      </c>
      <c r="J11" s="35">
        <v>2518.0250000000001</v>
      </c>
      <c r="K11" s="35">
        <v>2372.3250000000003</v>
      </c>
      <c r="L11" s="35">
        <v>5372.1</v>
      </c>
      <c r="M11" s="35">
        <v>0</v>
      </c>
      <c r="N11" s="35">
        <v>526.4</v>
      </c>
      <c r="O11" s="35">
        <v>5442.6</v>
      </c>
      <c r="P11" s="37"/>
    </row>
    <row r="12" spans="1:16" x14ac:dyDescent="0.25">
      <c r="A12" s="37" t="s">
        <v>29</v>
      </c>
      <c r="B12" s="183">
        <v>2407.5750000000003</v>
      </c>
      <c r="C12" s="183">
        <v>1471.1000000000001</v>
      </c>
      <c r="D12" s="183">
        <v>2681.35</v>
      </c>
      <c r="E12" s="183">
        <v>0</v>
      </c>
      <c r="F12" s="183">
        <v>262.02500000000003</v>
      </c>
      <c r="G12" s="183">
        <v>958.80000000000007</v>
      </c>
      <c r="H12" s="35"/>
      <c r="I12" s="96" t="s">
        <v>29</v>
      </c>
      <c r="J12" s="35">
        <v>2865.8250000000003</v>
      </c>
      <c r="K12" s="35">
        <v>1807.15</v>
      </c>
      <c r="L12" s="35">
        <v>3327.6</v>
      </c>
      <c r="M12" s="35">
        <v>0</v>
      </c>
      <c r="N12" s="35">
        <v>387.75</v>
      </c>
      <c r="O12" s="35">
        <v>1573.325</v>
      </c>
      <c r="P12" s="37"/>
    </row>
    <row r="13" spans="1:16" x14ac:dyDescent="0.25">
      <c r="A13" s="37" t="s">
        <v>23</v>
      </c>
      <c r="B13" s="183">
        <v>0</v>
      </c>
      <c r="C13" s="183">
        <v>0</v>
      </c>
      <c r="D13" s="183">
        <v>0</v>
      </c>
      <c r="E13" s="183">
        <v>3413.375</v>
      </c>
      <c r="F13" s="183">
        <v>0</v>
      </c>
      <c r="G13" s="183">
        <v>0</v>
      </c>
      <c r="H13" s="35"/>
      <c r="I13" s="96" t="s">
        <v>23</v>
      </c>
      <c r="J13" s="35">
        <v>0</v>
      </c>
      <c r="K13" s="35">
        <v>0</v>
      </c>
      <c r="L13" s="35">
        <v>0</v>
      </c>
      <c r="M13" s="35">
        <v>4167.7250000000004</v>
      </c>
      <c r="N13" s="35">
        <v>0</v>
      </c>
      <c r="O13" s="35">
        <v>0</v>
      </c>
      <c r="P13" s="37"/>
    </row>
    <row r="14" spans="1:16" x14ac:dyDescent="0.25">
      <c r="A14" s="37" t="s">
        <v>5</v>
      </c>
      <c r="B14" s="183">
        <v>4348.6750000000002</v>
      </c>
      <c r="C14" s="183">
        <v>4869.2</v>
      </c>
      <c r="D14" s="183">
        <v>7750.3</v>
      </c>
      <c r="E14" s="183">
        <v>1076.3</v>
      </c>
      <c r="F14" s="183">
        <v>1243.1500000000001</v>
      </c>
      <c r="G14" s="183">
        <v>9396.4750000000004</v>
      </c>
      <c r="H14" s="35"/>
      <c r="I14" s="96" t="s">
        <v>5</v>
      </c>
      <c r="J14" s="35">
        <v>2953.9500000000003</v>
      </c>
      <c r="K14" s="35">
        <v>8135.7000000000007</v>
      </c>
      <c r="L14" s="35">
        <v>9431.7250000000004</v>
      </c>
      <c r="M14" s="35">
        <v>1102.1500000000001</v>
      </c>
      <c r="N14" s="35">
        <v>1632.075</v>
      </c>
      <c r="O14" s="35">
        <v>10934.550000000001</v>
      </c>
      <c r="P14" s="37"/>
    </row>
    <row r="15" spans="1:16" x14ac:dyDescent="0.25">
      <c r="A15" s="37" t="s">
        <v>11</v>
      </c>
      <c r="B15" s="183">
        <v>950.57500000000005</v>
      </c>
      <c r="C15" s="183">
        <v>327.82499999999999</v>
      </c>
      <c r="D15" s="183">
        <v>368.95</v>
      </c>
      <c r="E15" s="183">
        <v>263.2</v>
      </c>
      <c r="F15" s="183">
        <v>160.97499999999999</v>
      </c>
      <c r="G15" s="183">
        <v>659.17500000000007</v>
      </c>
      <c r="H15" s="35"/>
      <c r="I15" s="96" t="s">
        <v>11</v>
      </c>
      <c r="J15" s="35">
        <v>824.85</v>
      </c>
      <c r="K15" s="35">
        <v>383.05</v>
      </c>
      <c r="L15" s="35">
        <v>652.125</v>
      </c>
      <c r="M15" s="35">
        <v>344.27500000000003</v>
      </c>
      <c r="N15" s="35">
        <v>152.75</v>
      </c>
      <c r="O15" s="35">
        <v>1536.9</v>
      </c>
      <c r="P15" s="37"/>
    </row>
    <row r="16" spans="1:16" x14ac:dyDescent="0.25">
      <c r="A16" s="37" t="s">
        <v>8</v>
      </c>
      <c r="B16" s="183">
        <v>920.17050970349999</v>
      </c>
      <c r="C16" s="183">
        <v>969.23289675410001</v>
      </c>
      <c r="D16" s="183">
        <v>1126.4076061557</v>
      </c>
      <c r="E16" s="183">
        <v>0</v>
      </c>
      <c r="F16" s="183">
        <v>77.961233295</v>
      </c>
      <c r="G16" s="183">
        <v>983.90723727449995</v>
      </c>
      <c r="H16" s="35"/>
      <c r="I16" s="96" t="s">
        <v>8</v>
      </c>
      <c r="J16" s="35">
        <v>1232.8300085958999</v>
      </c>
      <c r="K16" s="35">
        <v>1340.264539328</v>
      </c>
      <c r="L16" s="35">
        <v>1559.2459418700998</v>
      </c>
      <c r="M16" s="35">
        <v>0</v>
      </c>
      <c r="N16" s="35">
        <v>11.1090958165</v>
      </c>
      <c r="O16" s="35">
        <v>769.62478470019994</v>
      </c>
      <c r="P16" s="37"/>
    </row>
    <row r="17" spans="1:16" x14ac:dyDescent="0.25">
      <c r="A17" s="37" t="s">
        <v>64</v>
      </c>
      <c r="B17" s="183">
        <v>161</v>
      </c>
      <c r="C17" s="183">
        <v>10</v>
      </c>
      <c r="D17" s="183">
        <v>181</v>
      </c>
      <c r="E17" s="183">
        <v>1214</v>
      </c>
      <c r="F17" s="183">
        <v>83</v>
      </c>
      <c r="G17" s="183">
        <v>0</v>
      </c>
      <c r="H17" s="35"/>
      <c r="I17" s="96" t="s">
        <v>64</v>
      </c>
      <c r="J17" s="35">
        <v>57</v>
      </c>
      <c r="K17" s="35">
        <v>0</v>
      </c>
      <c r="L17" s="35">
        <v>126</v>
      </c>
      <c r="M17" s="35">
        <v>768</v>
      </c>
      <c r="N17" s="35">
        <v>13</v>
      </c>
      <c r="O17" s="35">
        <v>0</v>
      </c>
      <c r="P17" s="37"/>
    </row>
    <row r="18" spans="1:16" x14ac:dyDescent="0.25">
      <c r="A18" s="37" t="s">
        <v>42</v>
      </c>
      <c r="B18" s="183">
        <v>118</v>
      </c>
      <c r="C18" s="183">
        <v>15</v>
      </c>
      <c r="D18" s="183">
        <v>124</v>
      </c>
      <c r="E18" s="183">
        <v>89</v>
      </c>
      <c r="F18" s="183">
        <v>3</v>
      </c>
      <c r="G18" s="183">
        <v>0</v>
      </c>
      <c r="H18" s="35"/>
      <c r="I18" s="96" t="s">
        <v>42</v>
      </c>
      <c r="J18" s="35">
        <v>113</v>
      </c>
      <c r="K18" s="35">
        <v>-15</v>
      </c>
      <c r="L18" s="35">
        <v>330</v>
      </c>
      <c r="M18" s="35">
        <v>185</v>
      </c>
      <c r="N18" s="35">
        <v>0</v>
      </c>
      <c r="O18" s="35">
        <v>0</v>
      </c>
      <c r="P18" s="37"/>
    </row>
    <row r="19" spans="1:16" x14ac:dyDescent="0.25">
      <c r="A19" s="37" t="s">
        <v>0</v>
      </c>
      <c r="B19" s="183">
        <v>1081</v>
      </c>
      <c r="C19" s="183">
        <v>250.27500000000001</v>
      </c>
      <c r="D19" s="183">
        <v>1152.675</v>
      </c>
      <c r="E19" s="183">
        <v>169.20000000000002</v>
      </c>
      <c r="F19" s="183">
        <v>1095.1000000000001</v>
      </c>
      <c r="G19" s="183">
        <v>419.47500000000002</v>
      </c>
      <c r="H19" s="35"/>
      <c r="I19" s="96" t="s">
        <v>0</v>
      </c>
      <c r="J19" s="35">
        <v>1574.5</v>
      </c>
      <c r="K19" s="35">
        <v>551.07500000000005</v>
      </c>
      <c r="L19" s="35">
        <v>1391.2</v>
      </c>
      <c r="M19" s="35">
        <v>439.45</v>
      </c>
      <c r="N19" s="35">
        <v>524.05000000000007</v>
      </c>
      <c r="O19" s="35">
        <v>1438.2</v>
      </c>
      <c r="P19" s="37"/>
    </row>
    <row r="20" spans="1:16" x14ac:dyDescent="0.25">
      <c r="A20" s="37" t="s">
        <v>31</v>
      </c>
      <c r="B20" s="183">
        <v>2964.2244107189999</v>
      </c>
      <c r="C20" s="183">
        <v>0.93243926099999996</v>
      </c>
      <c r="D20" s="183">
        <v>1108.6702813289999</v>
      </c>
      <c r="E20" s="183">
        <v>112.51433749399999</v>
      </c>
      <c r="F20" s="183">
        <v>1251.644301349</v>
      </c>
      <c r="G20" s="183">
        <v>2436.1529759059999</v>
      </c>
      <c r="H20" s="35"/>
      <c r="I20" s="96" t="s">
        <v>31</v>
      </c>
      <c r="J20" s="35">
        <v>3522.4447149709999</v>
      </c>
      <c r="K20" s="35">
        <v>23.932607698999998</v>
      </c>
      <c r="L20" s="35">
        <v>1077.588972629</v>
      </c>
      <c r="M20" s="35">
        <v>230.623310554</v>
      </c>
      <c r="N20" s="35">
        <v>3641.4861272919998</v>
      </c>
      <c r="O20" s="35">
        <v>1653.5256228399999</v>
      </c>
      <c r="P20" s="37"/>
    </row>
    <row r="21" spans="1:16" x14ac:dyDescent="0.25">
      <c r="A21" s="37" t="s">
        <v>2</v>
      </c>
      <c r="B21" s="183">
        <v>2358.2249999999999</v>
      </c>
      <c r="C21" s="183">
        <v>1767.2</v>
      </c>
      <c r="D21" s="183">
        <v>5244.0250000000005</v>
      </c>
      <c r="E21" s="183">
        <v>398.32499999999999</v>
      </c>
      <c r="F21" s="183">
        <v>180.95000000000002</v>
      </c>
      <c r="G21" s="183">
        <v>3094.9500000000003</v>
      </c>
      <c r="H21" s="35"/>
      <c r="I21" s="96" t="s">
        <v>2</v>
      </c>
      <c r="J21" s="35">
        <v>3456.85</v>
      </c>
      <c r="K21" s="35">
        <v>2627.3</v>
      </c>
      <c r="L21" s="35">
        <v>5605.9250000000002</v>
      </c>
      <c r="M21" s="35">
        <v>810.75</v>
      </c>
      <c r="N21" s="35">
        <v>353.67500000000001</v>
      </c>
      <c r="O21" s="35">
        <v>3525</v>
      </c>
      <c r="P21" s="37"/>
    </row>
    <row r="22" spans="1:16" x14ac:dyDescent="0.25">
      <c r="A22" s="37" t="s">
        <v>32</v>
      </c>
      <c r="B22" s="183">
        <v>328.93458183800004</v>
      </c>
      <c r="C22" s="183">
        <v>78.162672912000005</v>
      </c>
      <c r="D22" s="183">
        <v>374.52947437</v>
      </c>
      <c r="E22" s="183">
        <v>162.8389019</v>
      </c>
      <c r="F22" s="183">
        <v>71.649116836000005</v>
      </c>
      <c r="G22" s="183">
        <v>241.001574812</v>
      </c>
      <c r="H22" s="35"/>
      <c r="I22" s="96" t="s">
        <v>32</v>
      </c>
      <c r="J22" s="35">
        <v>511.31415196600005</v>
      </c>
      <c r="K22" s="35">
        <v>563.42260057400006</v>
      </c>
      <c r="L22" s="35">
        <v>569.93615665000004</v>
      </c>
      <c r="M22" s="35">
        <v>231.23124069800002</v>
      </c>
      <c r="N22" s="35">
        <v>0</v>
      </c>
      <c r="O22" s="35">
        <v>120.500787406</v>
      </c>
      <c r="P22" s="37"/>
    </row>
    <row r="23" spans="1:16" x14ac:dyDescent="0.25">
      <c r="A23" s="37" t="s">
        <v>33</v>
      </c>
      <c r="B23" s="183">
        <v>142</v>
      </c>
      <c r="C23" s="183">
        <v>46</v>
      </c>
      <c r="D23" s="183">
        <v>158</v>
      </c>
      <c r="E23" s="183">
        <v>3</v>
      </c>
      <c r="F23" s="183">
        <v>3</v>
      </c>
      <c r="G23" s="183">
        <v>0</v>
      </c>
      <c r="H23" s="35"/>
      <c r="I23" s="96" t="s">
        <v>33</v>
      </c>
      <c r="J23" s="35">
        <v>289</v>
      </c>
      <c r="K23" s="35">
        <v>25</v>
      </c>
      <c r="L23" s="35">
        <v>127</v>
      </c>
      <c r="M23" s="35">
        <v>7</v>
      </c>
      <c r="N23" s="35">
        <v>7</v>
      </c>
      <c r="O23" s="35">
        <v>0</v>
      </c>
      <c r="P23" s="37"/>
    </row>
    <row r="24" spans="1:16" x14ac:dyDescent="0.25">
      <c r="A24" s="37" t="s">
        <v>25</v>
      </c>
      <c r="B24" s="183">
        <v>2520.375</v>
      </c>
      <c r="C24" s="183">
        <v>786.07500000000005</v>
      </c>
      <c r="D24" s="183">
        <v>3261.8</v>
      </c>
      <c r="E24" s="183">
        <v>512.30000000000007</v>
      </c>
      <c r="F24" s="183">
        <v>1444.075</v>
      </c>
      <c r="G24" s="183">
        <v>1689.65</v>
      </c>
      <c r="H24" s="35"/>
      <c r="I24" s="96" t="s">
        <v>25</v>
      </c>
      <c r="J24" s="35">
        <v>3184.25</v>
      </c>
      <c r="K24" s="35">
        <v>2049.2000000000003</v>
      </c>
      <c r="L24" s="35">
        <v>3407.5</v>
      </c>
      <c r="M24" s="35">
        <v>582.80000000000007</v>
      </c>
      <c r="N24" s="35">
        <v>860.1</v>
      </c>
      <c r="O24" s="35">
        <v>2608.5</v>
      </c>
      <c r="P24" s="37"/>
    </row>
    <row r="25" spans="1:16" x14ac:dyDescent="0.25">
      <c r="A25" s="37" t="s">
        <v>7</v>
      </c>
      <c r="B25" s="183">
        <v>899.41785218159998</v>
      </c>
      <c r="C25" s="183">
        <v>1075.1980366092</v>
      </c>
      <c r="D25" s="183">
        <v>1845.6919364897999</v>
      </c>
      <c r="E25" s="183">
        <v>302.20883442600001</v>
      </c>
      <c r="F25" s="183">
        <v>43.806418201199996</v>
      </c>
      <c r="G25" s="183">
        <v>1621.3919850672</v>
      </c>
      <c r="H25" s="35"/>
      <c r="I25" s="96" t="s">
        <v>7</v>
      </c>
      <c r="J25" s="35">
        <v>1187.4866402262001</v>
      </c>
      <c r="K25" s="35">
        <v>2401.5898383467998</v>
      </c>
      <c r="L25" s="35">
        <v>2185.3303054548001</v>
      </c>
      <c r="M25" s="35">
        <v>371.24553146459999</v>
      </c>
      <c r="N25" s="35">
        <v>47.133487938000002</v>
      </c>
      <c r="O25" s="35">
        <v>8983.3655451714003</v>
      </c>
      <c r="P25" s="37"/>
    </row>
    <row r="26" spans="1:16" x14ac:dyDescent="0.25">
      <c r="A26" s="37" t="s">
        <v>4</v>
      </c>
      <c r="B26" s="183">
        <v>507.6</v>
      </c>
      <c r="C26" s="183">
        <v>312.55</v>
      </c>
      <c r="D26" s="183">
        <v>679.15</v>
      </c>
      <c r="E26" s="183">
        <v>153.92500000000001</v>
      </c>
      <c r="F26" s="183">
        <v>68.150000000000006</v>
      </c>
      <c r="G26" s="183">
        <v>843.65</v>
      </c>
      <c r="H26" s="35"/>
      <c r="I26" s="96" t="s">
        <v>4</v>
      </c>
      <c r="J26" s="35">
        <v>1211.425</v>
      </c>
      <c r="K26" s="35">
        <v>679.15</v>
      </c>
      <c r="L26" s="35">
        <v>1158.55</v>
      </c>
      <c r="M26" s="35">
        <v>198.57500000000002</v>
      </c>
      <c r="N26" s="35">
        <v>171.55</v>
      </c>
      <c r="O26" s="35">
        <v>1365.3500000000001</v>
      </c>
      <c r="P26" s="37"/>
    </row>
    <row r="27" spans="1:16" x14ac:dyDescent="0.25">
      <c r="A27" s="37" t="s">
        <v>56</v>
      </c>
      <c r="B27" s="183">
        <v>291.3033706704</v>
      </c>
      <c r="C27" s="183">
        <v>100.6669840264</v>
      </c>
      <c r="D27" s="183">
        <v>643.22636932400007</v>
      </c>
      <c r="E27" s="183">
        <v>781.47203676080005</v>
      </c>
      <c r="F27" s="183">
        <v>0</v>
      </c>
      <c r="G27" s="183">
        <v>194.20224711360001</v>
      </c>
      <c r="H27" s="35"/>
      <c r="I27" s="96" t="s">
        <v>56</v>
      </c>
      <c r="J27" s="35">
        <v>1014.6244520808001</v>
      </c>
      <c r="K27" s="35">
        <v>63.088300616000005</v>
      </c>
      <c r="L27" s="35">
        <v>709.60623345040005</v>
      </c>
      <c r="M27" s="35">
        <v>763.36843745360011</v>
      </c>
      <c r="N27" s="35">
        <v>6.583127020800001</v>
      </c>
      <c r="O27" s="35">
        <v>185.15044746000001</v>
      </c>
      <c r="P27" s="37"/>
    </row>
    <row r="28" spans="1:16" x14ac:dyDescent="0.25">
      <c r="A28" s="37" t="s">
        <v>10</v>
      </c>
      <c r="B28" s="183">
        <v>808.71444776600003</v>
      </c>
      <c r="C28" s="183">
        <v>1201.689423948</v>
      </c>
      <c r="D28" s="183">
        <v>650.05281314599995</v>
      </c>
      <c r="E28" s="183">
        <v>148.544081108</v>
      </c>
      <c r="F28" s="183">
        <v>236.15289674599998</v>
      </c>
      <c r="G28" s="183">
        <v>234.77323035800001</v>
      </c>
      <c r="H28" s="35"/>
      <c r="I28" s="96" t="s">
        <v>10</v>
      </c>
      <c r="J28" s="35">
        <v>1060.503563576</v>
      </c>
      <c r="K28" s="35">
        <v>1085.3375585599999</v>
      </c>
      <c r="L28" s="35">
        <v>1081.1985593960001</v>
      </c>
      <c r="M28" s="35">
        <v>156.822079436</v>
      </c>
      <c r="N28" s="35">
        <v>144.175137546</v>
      </c>
      <c r="O28" s="35">
        <v>110.60325543799999</v>
      </c>
      <c r="P28" s="37"/>
    </row>
    <row r="29" spans="1:16" x14ac:dyDescent="0.25">
      <c r="A29" s="37" t="s">
        <v>9</v>
      </c>
      <c r="B29" s="183">
        <v>0</v>
      </c>
      <c r="C29" s="183">
        <v>0</v>
      </c>
      <c r="D29" s="183">
        <v>0</v>
      </c>
      <c r="E29" s="183">
        <v>0</v>
      </c>
      <c r="F29" s="183">
        <v>0</v>
      </c>
      <c r="G29" s="183">
        <v>0</v>
      </c>
      <c r="H29" s="35"/>
      <c r="I29" s="96" t="s">
        <v>9</v>
      </c>
      <c r="J29" s="35">
        <v>0</v>
      </c>
      <c r="K29" s="35">
        <v>0</v>
      </c>
      <c r="L29" s="35">
        <v>0</v>
      </c>
      <c r="M29" s="35">
        <v>0</v>
      </c>
      <c r="N29" s="35">
        <v>0</v>
      </c>
      <c r="O29" s="35">
        <v>0</v>
      </c>
      <c r="P29" s="37"/>
    </row>
    <row r="30" spans="1:16" x14ac:dyDescent="0.25">
      <c r="A30" s="37" t="s">
        <v>79</v>
      </c>
      <c r="B30" s="183">
        <v>142.17500000000001</v>
      </c>
      <c r="C30" s="183">
        <v>301.97500000000002</v>
      </c>
      <c r="D30" s="183">
        <v>401.85</v>
      </c>
      <c r="E30" s="183">
        <v>0</v>
      </c>
      <c r="F30" s="183">
        <v>10.575000000000001</v>
      </c>
      <c r="G30" s="183">
        <v>165.67500000000001</v>
      </c>
      <c r="H30" s="35"/>
      <c r="I30" s="96" t="s">
        <v>79</v>
      </c>
      <c r="J30" s="35">
        <v>229.125</v>
      </c>
      <c r="K30" s="35">
        <v>472.35</v>
      </c>
      <c r="L30" s="35">
        <v>662.7</v>
      </c>
      <c r="M30" s="35">
        <v>0</v>
      </c>
      <c r="N30" s="35">
        <v>16.45</v>
      </c>
      <c r="O30" s="35">
        <v>327.82499999999999</v>
      </c>
      <c r="P30" s="37"/>
    </row>
    <row r="31" spans="1:16" x14ac:dyDescent="0.25">
      <c r="A31" s="37" t="s">
        <v>34</v>
      </c>
      <c r="B31" s="183">
        <v>959.28195515099992</v>
      </c>
      <c r="C31" s="183">
        <v>-15.459392441999999</v>
      </c>
      <c r="D31" s="183">
        <v>391.01601228299995</v>
      </c>
      <c r="E31" s="183">
        <v>0</v>
      </c>
      <c r="F31" s="183">
        <v>124.47476328299999</v>
      </c>
      <c r="G31" s="183">
        <v>2229.0844653869999</v>
      </c>
      <c r="H31" s="35"/>
      <c r="I31" s="96" t="s">
        <v>34</v>
      </c>
      <c r="J31" s="35">
        <v>715.39671231599993</v>
      </c>
      <c r="K31" s="35">
        <v>872.12296672799994</v>
      </c>
      <c r="L31" s="35">
        <v>614.64412019399992</v>
      </c>
      <c r="M31" s="35">
        <v>0</v>
      </c>
      <c r="N31" s="35">
        <v>93.822519647999997</v>
      </c>
      <c r="O31" s="35">
        <v>2779.2256033229996</v>
      </c>
      <c r="P31" s="37"/>
    </row>
    <row r="32" spans="1:16" x14ac:dyDescent="0.25">
      <c r="A32" s="37" t="s">
        <v>3</v>
      </c>
      <c r="B32" s="183">
        <v>1144.45</v>
      </c>
      <c r="C32" s="183">
        <v>1794.2250000000001</v>
      </c>
      <c r="D32" s="183">
        <v>3555.55</v>
      </c>
      <c r="E32" s="183">
        <v>858.92500000000007</v>
      </c>
      <c r="F32" s="183">
        <v>131.6</v>
      </c>
      <c r="G32" s="183">
        <v>1696.7</v>
      </c>
      <c r="H32" s="35"/>
      <c r="I32" s="96" t="s">
        <v>3</v>
      </c>
      <c r="J32" s="35">
        <v>1717.8500000000001</v>
      </c>
      <c r="K32" s="35">
        <v>2350</v>
      </c>
      <c r="L32" s="35">
        <v>4408.6000000000004</v>
      </c>
      <c r="M32" s="35">
        <v>927.07500000000005</v>
      </c>
      <c r="N32" s="35">
        <v>213.85</v>
      </c>
      <c r="O32" s="35">
        <v>1820.075</v>
      </c>
      <c r="P32" s="37"/>
    </row>
    <row r="33" spans="1:16" x14ac:dyDescent="0.25">
      <c r="A33" s="37" t="s">
        <v>1</v>
      </c>
      <c r="B33" s="183">
        <v>267.3800872512</v>
      </c>
      <c r="C33" s="183">
        <v>363.85632951360003</v>
      </c>
      <c r="D33" s="183">
        <v>243.71813262719999</v>
      </c>
      <c r="E33" s="183">
        <v>187.25210454719999</v>
      </c>
      <c r="F33" s="183">
        <v>54.852712992000001</v>
      </c>
      <c r="G33" s="183">
        <v>60.122875612800001</v>
      </c>
      <c r="H33" s="35"/>
      <c r="I33" s="96" t="s">
        <v>1</v>
      </c>
      <c r="J33" s="35">
        <v>443.01632316479999</v>
      </c>
      <c r="K33" s="35">
        <v>106.80145882560001</v>
      </c>
      <c r="L33" s="35">
        <v>309.21872519999999</v>
      </c>
      <c r="M33" s="35">
        <v>164.2354759584</v>
      </c>
      <c r="N33" s="35">
        <v>15.595379184</v>
      </c>
      <c r="O33" s="35">
        <v>396.98306598720001</v>
      </c>
      <c r="P33" s="37"/>
    </row>
    <row r="34" spans="1:16" x14ac:dyDescent="0.25">
      <c r="A34" s="37" t="s">
        <v>30</v>
      </c>
      <c r="B34" s="183">
        <v>637.20194383080002</v>
      </c>
      <c r="C34" s="183">
        <v>322.36397552069997</v>
      </c>
      <c r="D34" s="183">
        <v>707.4446777963999</v>
      </c>
      <c r="E34" s="183">
        <v>87.803417456999995</v>
      </c>
      <c r="F34" s="183">
        <v>195.67618747559999</v>
      </c>
      <c r="G34" s="183">
        <v>1547.8488163134</v>
      </c>
      <c r="H34" s="35"/>
      <c r="I34" s="96" t="s">
        <v>30</v>
      </c>
      <c r="J34" s="35">
        <v>1123.8837434495999</v>
      </c>
      <c r="K34" s="35">
        <v>242.08656527429997</v>
      </c>
      <c r="L34" s="35">
        <v>1307.0165855742</v>
      </c>
      <c r="M34" s="35">
        <v>107.87277001859999</v>
      </c>
      <c r="N34" s="35">
        <v>297.27728481869997</v>
      </c>
      <c r="O34" s="35">
        <v>1455.0280607159998</v>
      </c>
      <c r="P34" s="37"/>
    </row>
    <row r="35" spans="1:16" x14ac:dyDescent="0.25">
      <c r="A35" s="37" t="s">
        <v>35</v>
      </c>
      <c r="B35" s="183">
        <v>1358.3</v>
      </c>
      <c r="C35" s="183">
        <v>1176.175</v>
      </c>
      <c r="D35" s="183">
        <v>1593.3</v>
      </c>
      <c r="E35" s="183">
        <v>465.3</v>
      </c>
      <c r="F35" s="183">
        <v>38.774999999999999</v>
      </c>
      <c r="G35" s="183">
        <v>883.6</v>
      </c>
      <c r="H35" s="35"/>
      <c r="I35" s="96" t="s">
        <v>35</v>
      </c>
      <c r="J35" s="35">
        <v>1713.15</v>
      </c>
      <c r="K35" s="35">
        <v>1394.7250000000001</v>
      </c>
      <c r="L35" s="35">
        <v>1451.125</v>
      </c>
      <c r="M35" s="35">
        <v>347.8</v>
      </c>
      <c r="N35" s="35">
        <v>124.55000000000001</v>
      </c>
      <c r="O35" s="35">
        <v>1245.5</v>
      </c>
      <c r="P35" s="37"/>
    </row>
    <row r="36" spans="1:16" x14ac:dyDescent="0.25">
      <c r="A36" s="37" t="s">
        <v>24</v>
      </c>
      <c r="B36" s="183">
        <v>3951.6600000000003</v>
      </c>
      <c r="C36" s="183">
        <v>4196.88</v>
      </c>
      <c r="D36" s="183">
        <v>3608.6200000000003</v>
      </c>
      <c r="E36" s="183">
        <v>620.42000000000007</v>
      </c>
      <c r="F36" s="183">
        <v>858.94</v>
      </c>
      <c r="G36" s="183">
        <v>2678.6600000000003</v>
      </c>
      <c r="H36" s="35"/>
      <c r="I36" s="96" t="s">
        <v>24</v>
      </c>
      <c r="J36" s="35">
        <v>5555.64</v>
      </c>
      <c r="K36" s="35">
        <v>3963.7200000000003</v>
      </c>
      <c r="L36" s="35">
        <v>4526.5200000000004</v>
      </c>
      <c r="M36" s="35">
        <v>913.88000000000011</v>
      </c>
      <c r="N36" s="35">
        <v>738.34</v>
      </c>
      <c r="O36" s="35">
        <v>1901.46</v>
      </c>
      <c r="P36" s="37"/>
    </row>
    <row r="37" spans="1:16" x14ac:dyDescent="0.25">
      <c r="A37" s="37" t="s">
        <v>72</v>
      </c>
      <c r="B37" s="183">
        <v>0</v>
      </c>
      <c r="C37" s="183">
        <v>0</v>
      </c>
      <c r="D37" s="183">
        <v>0</v>
      </c>
      <c r="E37" s="183">
        <v>191.64315803099998</v>
      </c>
      <c r="F37" s="183">
        <v>0</v>
      </c>
      <c r="G37" s="183">
        <v>0</v>
      </c>
      <c r="H37" s="35"/>
      <c r="I37" s="96" t="s">
        <v>72</v>
      </c>
      <c r="J37" s="35">
        <v>0</v>
      </c>
      <c r="K37" s="35">
        <v>0</v>
      </c>
      <c r="L37" s="35">
        <v>0</v>
      </c>
      <c r="M37" s="35">
        <v>193.24240552499998</v>
      </c>
      <c r="N37" s="35">
        <v>0</v>
      </c>
      <c r="O37" s="35">
        <v>0</v>
      </c>
      <c r="P37" s="37"/>
    </row>
    <row r="38" spans="1:16" x14ac:dyDescent="0.25">
      <c r="A38" s="37" t="s">
        <v>90</v>
      </c>
      <c r="B38" s="183">
        <v>94</v>
      </c>
      <c r="C38" s="183">
        <v>0</v>
      </c>
      <c r="D38" s="183">
        <v>4.7</v>
      </c>
      <c r="E38" s="183">
        <v>0</v>
      </c>
      <c r="F38" s="183">
        <v>57.575000000000003</v>
      </c>
      <c r="G38" s="183">
        <v>1043.4000000000001</v>
      </c>
      <c r="H38" s="35"/>
      <c r="I38" s="96" t="s">
        <v>90</v>
      </c>
      <c r="J38" s="35">
        <v>196.22499999999999</v>
      </c>
      <c r="K38" s="35">
        <v>0</v>
      </c>
      <c r="L38" s="35">
        <v>58.75</v>
      </c>
      <c r="M38" s="35">
        <v>0</v>
      </c>
      <c r="N38" s="35">
        <v>99.875</v>
      </c>
      <c r="O38" s="35">
        <v>870.67500000000007</v>
      </c>
    </row>
    <row r="39" spans="1:16" x14ac:dyDescent="0.25">
      <c r="A39" s="37" t="s">
        <v>88</v>
      </c>
      <c r="B39" s="183">
        <v>559.125</v>
      </c>
      <c r="C39" s="183">
        <v>613.99800000000005</v>
      </c>
      <c r="D39" s="183">
        <v>196.476</v>
      </c>
      <c r="E39" s="183">
        <v>55.608000000000004</v>
      </c>
      <c r="F39" s="183">
        <v>0</v>
      </c>
      <c r="G39" s="183">
        <v>595.09800000000007</v>
      </c>
      <c r="H39" s="35"/>
      <c r="I39" s="96" t="s">
        <v>88</v>
      </c>
      <c r="J39" s="35">
        <v>408.84900000000005</v>
      </c>
      <c r="K39" s="35">
        <v>-871.9620000000001</v>
      </c>
      <c r="L39" s="35">
        <v>132.99299999999999</v>
      </c>
      <c r="M39" s="35">
        <v>45.486000000000004</v>
      </c>
      <c r="N39" s="35">
        <v>0</v>
      </c>
      <c r="O39" s="35">
        <v>251.81100000000001</v>
      </c>
    </row>
    <row r="40" spans="1:16" x14ac:dyDescent="0.25">
      <c r="A40" s="37" t="s">
        <v>83</v>
      </c>
      <c r="B40" s="183">
        <v>60</v>
      </c>
      <c r="C40" s="183">
        <v>78</v>
      </c>
      <c r="D40" s="183">
        <v>46</v>
      </c>
      <c r="E40" s="183">
        <v>244</v>
      </c>
      <c r="F40" s="183">
        <v>0</v>
      </c>
      <c r="G40" s="183">
        <v>249</v>
      </c>
      <c r="H40" s="35"/>
      <c r="I40" s="96" t="s">
        <v>83</v>
      </c>
      <c r="J40" s="35">
        <v>-12</v>
      </c>
      <c r="K40" s="35">
        <v>92</v>
      </c>
      <c r="L40" s="35">
        <v>5</v>
      </c>
      <c r="M40" s="35">
        <v>269</v>
      </c>
      <c r="N40" s="35">
        <v>17</v>
      </c>
      <c r="O40" s="35">
        <v>38</v>
      </c>
    </row>
    <row r="41" spans="1:16" x14ac:dyDescent="0.25">
      <c r="A41" s="37" t="s">
        <v>86</v>
      </c>
      <c r="B41" s="183">
        <v>43</v>
      </c>
      <c r="C41" s="183">
        <v>1</v>
      </c>
      <c r="D41" s="183">
        <v>120</v>
      </c>
      <c r="E41" s="183">
        <v>266</v>
      </c>
      <c r="F41" s="183">
        <v>12</v>
      </c>
      <c r="G41" s="183">
        <v>0</v>
      </c>
      <c r="H41" s="35"/>
      <c r="I41" s="96" t="s">
        <v>86</v>
      </c>
      <c r="J41" s="35">
        <v>20</v>
      </c>
      <c r="K41" s="35">
        <v>3</v>
      </c>
      <c r="L41" s="35">
        <v>148</v>
      </c>
      <c r="M41" s="35">
        <v>598</v>
      </c>
      <c r="N41" s="35">
        <v>8</v>
      </c>
      <c r="O41" s="35">
        <v>0</v>
      </c>
    </row>
    <row r="42" spans="1:16" x14ac:dyDescent="0.25">
      <c r="A42" s="37" t="s">
        <v>87</v>
      </c>
      <c r="B42" s="183">
        <v>1.1547000000000001</v>
      </c>
      <c r="C42" s="183">
        <v>13.086600000000001</v>
      </c>
      <c r="D42" s="183">
        <v>-0.38490000000000002</v>
      </c>
      <c r="E42" s="183">
        <v>7.3131000000000004</v>
      </c>
      <c r="F42" s="183">
        <v>0</v>
      </c>
      <c r="G42" s="183">
        <v>53.116200000000006</v>
      </c>
      <c r="H42" s="35"/>
      <c r="I42" s="96" t="s">
        <v>87</v>
      </c>
      <c r="J42" s="35">
        <v>2.6943000000000001</v>
      </c>
      <c r="K42" s="35">
        <v>26.173200000000001</v>
      </c>
      <c r="L42" s="35">
        <v>1.1547000000000001</v>
      </c>
      <c r="M42" s="35">
        <v>36.950400000000002</v>
      </c>
      <c r="N42" s="35">
        <v>0.76980000000000004</v>
      </c>
      <c r="O42" s="35">
        <v>13.856400000000001</v>
      </c>
    </row>
    <row r="43" spans="1:16" x14ac:dyDescent="0.25">
      <c r="A43" s="37" t="s">
        <v>81</v>
      </c>
      <c r="B43" s="183">
        <v>6080.6041999999998</v>
      </c>
      <c r="C43" s="183">
        <v>812.59659999999997</v>
      </c>
      <c r="D43" s="183">
        <v>2816.6857999999997</v>
      </c>
      <c r="E43" s="183">
        <v>439.11340000000001</v>
      </c>
      <c r="F43" s="183">
        <v>652.24239999999998</v>
      </c>
      <c r="G43" s="183">
        <v>1240.2077999999999</v>
      </c>
      <c r="I43" s="96" t="s">
        <v>81</v>
      </c>
      <c r="J43" s="35">
        <v>6230.1327999999994</v>
      </c>
      <c r="K43" s="35">
        <v>1583.9205999999999</v>
      </c>
      <c r="L43" s="35">
        <v>3383</v>
      </c>
      <c r="M43" s="35">
        <v>389.72159999999997</v>
      </c>
      <c r="N43" s="35">
        <v>928.97179999999992</v>
      </c>
      <c r="O43" s="35">
        <v>1172.5478000000001</v>
      </c>
    </row>
    <row r="44" spans="1:16" x14ac:dyDescent="0.25">
      <c r="A44" s="37" t="s">
        <v>82</v>
      </c>
      <c r="B44" s="183">
        <v>155.428</v>
      </c>
      <c r="C44" s="183">
        <v>12.687999999999999</v>
      </c>
      <c r="D44" s="183">
        <v>286.11439999999999</v>
      </c>
      <c r="E44" s="183">
        <v>170.65359999999998</v>
      </c>
      <c r="F44" s="183">
        <v>385.08079999999995</v>
      </c>
      <c r="G44" s="183">
        <v>6.9783999999999997</v>
      </c>
      <c r="I44" s="96" t="s">
        <v>82</v>
      </c>
      <c r="J44" s="35">
        <v>194.12639999999999</v>
      </c>
      <c r="K44" s="35">
        <v>211.8896</v>
      </c>
      <c r="L44" s="35">
        <v>437.10159999999996</v>
      </c>
      <c r="M44" s="35">
        <v>300.7056</v>
      </c>
      <c r="N44" s="35">
        <v>138.29919999999998</v>
      </c>
      <c r="O44" s="35">
        <v>133.22399999999999</v>
      </c>
    </row>
    <row r="45" spans="1:16" x14ac:dyDescent="0.25">
      <c r="A45" s="37" t="s">
        <v>93</v>
      </c>
      <c r="B45" s="37">
        <v>412</v>
      </c>
      <c r="C45" s="37">
        <v>533</v>
      </c>
      <c r="D45" s="37">
        <v>125</v>
      </c>
      <c r="E45" s="37">
        <v>1907</v>
      </c>
      <c r="F45" s="37">
        <v>1683</v>
      </c>
      <c r="G45" s="37">
        <v>155</v>
      </c>
      <c r="H45" s="35"/>
      <c r="I45" s="96" t="s">
        <v>93</v>
      </c>
      <c r="J45" s="35">
        <v>679</v>
      </c>
      <c r="K45" s="35">
        <v>1804</v>
      </c>
      <c r="L45" s="35">
        <v>549</v>
      </c>
      <c r="M45" s="35">
        <v>1711</v>
      </c>
      <c r="N45" s="35">
        <v>811</v>
      </c>
      <c r="O45" s="35">
        <v>1141</v>
      </c>
    </row>
    <row r="46" spans="1:16" x14ac:dyDescent="0.25">
      <c r="A46" s="37" t="s">
        <v>95</v>
      </c>
      <c r="B46" s="183">
        <v>1494.6000000000001</v>
      </c>
      <c r="C46" s="183">
        <v>0</v>
      </c>
      <c r="D46" s="183">
        <v>0</v>
      </c>
      <c r="E46" s="183">
        <v>0</v>
      </c>
      <c r="F46" s="183">
        <v>41.125</v>
      </c>
      <c r="G46" s="183">
        <v>67113.650000000009</v>
      </c>
      <c r="I46" s="96" t="s">
        <v>95</v>
      </c>
      <c r="J46" s="35">
        <v>499.375</v>
      </c>
      <c r="K46" s="35">
        <v>0</v>
      </c>
      <c r="L46" s="35">
        <v>0</v>
      </c>
      <c r="M46" s="35">
        <v>0</v>
      </c>
      <c r="N46" s="35">
        <v>0</v>
      </c>
      <c r="O46" s="35">
        <v>22521.225000000002</v>
      </c>
    </row>
    <row r="47" spans="1:16" x14ac:dyDescent="0.25">
      <c r="A47" s="37" t="s">
        <v>96</v>
      </c>
      <c r="B47" s="183">
        <v>124.55000000000001</v>
      </c>
      <c r="C47" s="183">
        <v>0</v>
      </c>
      <c r="D47" s="183">
        <v>229.125</v>
      </c>
      <c r="E47" s="183">
        <v>0</v>
      </c>
      <c r="F47" s="183">
        <v>2.35</v>
      </c>
      <c r="G47" s="183">
        <v>3225.375</v>
      </c>
      <c r="I47" s="96" t="s">
        <v>96</v>
      </c>
      <c r="J47" s="35">
        <v>314.90000000000003</v>
      </c>
      <c r="K47" s="35">
        <v>0</v>
      </c>
      <c r="L47" s="35">
        <v>225.60000000000002</v>
      </c>
      <c r="M47" s="35">
        <v>0</v>
      </c>
      <c r="N47" s="35">
        <v>0</v>
      </c>
      <c r="O47" s="35">
        <v>2243.0750000000003</v>
      </c>
    </row>
    <row r="48" spans="1:16" x14ac:dyDescent="0.25">
      <c r="A48" s="37" t="s">
        <v>97</v>
      </c>
      <c r="B48" s="183">
        <v>14.100000000000001</v>
      </c>
      <c r="C48" s="183">
        <v>0</v>
      </c>
      <c r="D48" s="183">
        <v>1.175</v>
      </c>
      <c r="E48" s="183">
        <v>0</v>
      </c>
      <c r="F48" s="183">
        <v>0</v>
      </c>
      <c r="G48" s="183">
        <v>306.67500000000001</v>
      </c>
      <c r="I48" s="96" t="s">
        <v>97</v>
      </c>
      <c r="J48" s="35">
        <v>4.7</v>
      </c>
      <c r="K48" s="35">
        <v>0</v>
      </c>
      <c r="L48" s="35">
        <v>0</v>
      </c>
      <c r="M48" s="35">
        <v>7.0500000000000007</v>
      </c>
      <c r="N48" s="35">
        <v>0</v>
      </c>
      <c r="O48" s="35">
        <v>485.27500000000003</v>
      </c>
    </row>
    <row r="49" spans="1:15" x14ac:dyDescent="0.25">
      <c r="A49" s="37" t="s">
        <v>98</v>
      </c>
      <c r="B49" s="183">
        <v>821.32500000000005</v>
      </c>
      <c r="C49" s="183">
        <v>1216.125</v>
      </c>
      <c r="D49" s="183">
        <v>2.35</v>
      </c>
      <c r="E49" s="183">
        <v>158.625</v>
      </c>
      <c r="F49" s="183">
        <v>133.95000000000002</v>
      </c>
      <c r="G49" s="183">
        <v>6325.0250000000005</v>
      </c>
      <c r="I49" s="96" t="s">
        <v>98</v>
      </c>
      <c r="J49" s="35">
        <v>1266.6500000000001</v>
      </c>
      <c r="K49" s="35">
        <v>977.6</v>
      </c>
      <c r="L49" s="35">
        <v>0</v>
      </c>
      <c r="M49" s="35">
        <v>213.85</v>
      </c>
      <c r="N49" s="35">
        <v>364.25</v>
      </c>
      <c r="O49" s="35">
        <v>17442.875</v>
      </c>
    </row>
  </sheetData>
  <mergeCells count="2">
    <mergeCell ref="B1:G1"/>
    <mergeCell ref="J1:O1"/>
  </mergeCells>
  <phoneticPr fontId="2"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5"/>
  <sheetViews>
    <sheetView zoomScale="90" zoomScaleNormal="90" workbookViewId="0">
      <selection activeCell="G107" sqref="G107"/>
    </sheetView>
  </sheetViews>
  <sheetFormatPr defaultColWidth="8.90625" defaultRowHeight="15" customHeight="1" x14ac:dyDescent="0.25"/>
  <cols>
    <col min="4" max="4" width="19.6328125" bestFit="1" customWidth="1"/>
    <col min="5" max="5" width="21.6328125" bestFit="1" customWidth="1"/>
  </cols>
  <sheetData>
    <row r="1" spans="1:5" s="178" customFormat="1" ht="15" customHeight="1" x14ac:dyDescent="0.35">
      <c r="A1" s="211" t="s">
        <v>122</v>
      </c>
      <c r="B1" s="211" t="s">
        <v>22</v>
      </c>
      <c r="C1" s="211" t="s">
        <v>123</v>
      </c>
      <c r="D1" s="211" t="s">
        <v>124</v>
      </c>
      <c r="E1" s="211" t="s">
        <v>91</v>
      </c>
    </row>
    <row r="2" spans="1:5" s="178" customFormat="1" ht="15" customHeight="1" x14ac:dyDescent="0.25">
      <c r="A2" t="s">
        <v>125</v>
      </c>
      <c r="B2" t="s">
        <v>2</v>
      </c>
      <c r="C2" t="s">
        <v>44</v>
      </c>
      <c r="D2" s="212">
        <v>0.56999999999999995</v>
      </c>
      <c r="E2" s="212">
        <v>0.43</v>
      </c>
    </row>
    <row r="3" spans="1:5" s="178" customFormat="1" ht="15" customHeight="1" x14ac:dyDescent="0.25">
      <c r="A3" t="s">
        <v>125</v>
      </c>
      <c r="B3" t="s">
        <v>4</v>
      </c>
      <c r="C3" t="s">
        <v>126</v>
      </c>
      <c r="D3" s="212">
        <v>0.18</v>
      </c>
      <c r="E3" s="212">
        <v>0.82</v>
      </c>
    </row>
    <row r="4" spans="1:5" s="178" customFormat="1" ht="15" customHeight="1" x14ac:dyDescent="0.25">
      <c r="A4" t="s">
        <v>125</v>
      </c>
      <c r="B4" t="s">
        <v>3</v>
      </c>
      <c r="C4" t="s">
        <v>127</v>
      </c>
      <c r="D4" s="212">
        <v>0.1</v>
      </c>
      <c r="E4" s="212">
        <v>0.9</v>
      </c>
    </row>
    <row r="5" spans="1:5" s="178" customFormat="1" ht="15" customHeight="1" x14ac:dyDescent="0.25">
      <c r="A5" t="s">
        <v>125</v>
      </c>
      <c r="B5" t="s">
        <v>24</v>
      </c>
      <c r="C5" t="s">
        <v>176</v>
      </c>
      <c r="D5" s="212">
        <v>0.32</v>
      </c>
      <c r="E5" s="212">
        <v>0.68</v>
      </c>
    </row>
    <row r="6" spans="1:5" s="178" customFormat="1" ht="15" customHeight="1" x14ac:dyDescent="0.25">
      <c r="A6" t="s">
        <v>125</v>
      </c>
      <c r="B6" t="s">
        <v>0</v>
      </c>
      <c r="C6" t="s">
        <v>43</v>
      </c>
      <c r="D6" s="212">
        <v>0</v>
      </c>
      <c r="E6" s="212">
        <v>1</v>
      </c>
    </row>
    <row r="7" spans="1:5" s="178" customFormat="1" ht="15" customHeight="1" x14ac:dyDescent="0.25">
      <c r="A7" t="s">
        <v>125</v>
      </c>
      <c r="B7" t="s">
        <v>25</v>
      </c>
      <c r="C7" t="s">
        <v>165</v>
      </c>
      <c r="D7" s="212">
        <v>0.48</v>
      </c>
      <c r="E7" s="212">
        <v>0.52</v>
      </c>
    </row>
    <row r="8" spans="1:5" s="178" customFormat="1" ht="15" customHeight="1" x14ac:dyDescent="0.25">
      <c r="A8" t="s">
        <v>125</v>
      </c>
      <c r="B8" t="s">
        <v>1</v>
      </c>
      <c r="C8" t="s">
        <v>128</v>
      </c>
      <c r="D8" s="212">
        <v>0.2</v>
      </c>
      <c r="E8" s="212">
        <v>0.8</v>
      </c>
    </row>
    <row r="9" spans="1:5" s="178" customFormat="1" ht="15" customHeight="1" x14ac:dyDescent="0.25">
      <c r="A9" t="s">
        <v>125</v>
      </c>
      <c r="B9" t="s">
        <v>11</v>
      </c>
      <c r="C9" t="s">
        <v>129</v>
      </c>
      <c r="D9" s="212">
        <v>0.28999999999999998</v>
      </c>
      <c r="E9" s="212">
        <v>0.71</v>
      </c>
    </row>
    <row r="10" spans="1:5" s="178" customFormat="1" ht="15" customHeight="1" x14ac:dyDescent="0.25">
      <c r="A10" t="s">
        <v>125</v>
      </c>
      <c r="B10" t="s">
        <v>8</v>
      </c>
      <c r="C10" t="s">
        <v>130</v>
      </c>
      <c r="D10" s="212">
        <v>0.44</v>
      </c>
      <c r="E10" s="212">
        <v>0.56000000000000005</v>
      </c>
    </row>
    <row r="11" spans="1:5" s="178" customFormat="1" ht="15" customHeight="1" x14ac:dyDescent="0.25">
      <c r="A11" t="s">
        <v>125</v>
      </c>
      <c r="B11" t="s">
        <v>78</v>
      </c>
      <c r="C11" t="s">
        <v>131</v>
      </c>
      <c r="D11" s="212">
        <v>0.43</v>
      </c>
      <c r="E11" s="212">
        <v>0.56999999999999995</v>
      </c>
    </row>
    <row r="12" spans="1:5" s="178" customFormat="1" ht="15" customHeight="1" x14ac:dyDescent="0.25">
      <c r="A12" t="s">
        <v>125</v>
      </c>
      <c r="B12" t="s">
        <v>14</v>
      </c>
      <c r="C12" t="s">
        <v>132</v>
      </c>
      <c r="D12" s="212">
        <v>0.11</v>
      </c>
      <c r="E12" s="212">
        <v>0.89</v>
      </c>
    </row>
    <row r="13" spans="1:5" s="178" customFormat="1" ht="15" customHeight="1" x14ac:dyDescent="0.25">
      <c r="A13" t="s">
        <v>125</v>
      </c>
      <c r="B13" t="s">
        <v>31</v>
      </c>
      <c r="C13" t="s">
        <v>133</v>
      </c>
      <c r="D13" s="212">
        <v>0.44</v>
      </c>
      <c r="E13" s="212">
        <v>0.56000000000000005</v>
      </c>
    </row>
    <row r="14" spans="1:5" s="178" customFormat="1" ht="15" customHeight="1" x14ac:dyDescent="0.25">
      <c r="A14" t="s">
        <v>125</v>
      </c>
      <c r="B14" t="s">
        <v>10</v>
      </c>
      <c r="C14" t="s">
        <v>134</v>
      </c>
      <c r="D14" s="212">
        <v>0.26</v>
      </c>
      <c r="E14" s="212">
        <v>0.74</v>
      </c>
    </row>
    <row r="15" spans="1:5" s="178" customFormat="1" ht="15" customHeight="1" x14ac:dyDescent="0.25">
      <c r="A15" t="s">
        <v>125</v>
      </c>
      <c r="B15" t="s">
        <v>9</v>
      </c>
      <c r="C15" t="s">
        <v>166</v>
      </c>
      <c r="D15" s="212"/>
      <c r="E15" s="212"/>
    </row>
    <row r="16" spans="1:5" s="178" customFormat="1" ht="15" customHeight="1" x14ac:dyDescent="0.25">
      <c r="A16" t="s">
        <v>125</v>
      </c>
      <c r="B16" t="s">
        <v>79</v>
      </c>
      <c r="C16" t="s">
        <v>135</v>
      </c>
      <c r="D16" s="212">
        <v>0.06</v>
      </c>
      <c r="E16" s="212">
        <v>0.94</v>
      </c>
    </row>
    <row r="17" spans="1:5" s="178" customFormat="1" ht="15" customHeight="1" x14ac:dyDescent="0.25">
      <c r="A17" t="s">
        <v>125</v>
      </c>
      <c r="B17" t="s">
        <v>35</v>
      </c>
      <c r="C17" t="s">
        <v>136</v>
      </c>
      <c r="D17" s="212">
        <v>0</v>
      </c>
      <c r="E17" s="212">
        <v>1</v>
      </c>
    </row>
    <row r="18" spans="1:5" s="178" customFormat="1" ht="15" customHeight="1" x14ac:dyDescent="0.25">
      <c r="A18" t="s">
        <v>125</v>
      </c>
      <c r="B18" t="s">
        <v>7</v>
      </c>
      <c r="C18" t="s">
        <v>137</v>
      </c>
      <c r="D18" s="212">
        <v>0.56000000000000005</v>
      </c>
      <c r="E18" s="212">
        <v>0.44</v>
      </c>
    </row>
    <row r="19" spans="1:5" s="178" customFormat="1" ht="15" customHeight="1" x14ac:dyDescent="0.25">
      <c r="A19" t="s">
        <v>125</v>
      </c>
      <c r="B19" t="s">
        <v>41</v>
      </c>
      <c r="C19" t="s">
        <v>167</v>
      </c>
      <c r="D19" s="212">
        <v>0.03</v>
      </c>
      <c r="E19" s="212">
        <v>0.97</v>
      </c>
    </row>
    <row r="20" spans="1:5" s="178" customFormat="1" ht="15" customHeight="1" x14ac:dyDescent="0.25">
      <c r="A20" t="s">
        <v>125</v>
      </c>
      <c r="B20" t="s">
        <v>41</v>
      </c>
      <c r="C20" t="s">
        <v>168</v>
      </c>
      <c r="D20" s="212">
        <v>0.46</v>
      </c>
      <c r="E20" s="212">
        <v>0.54</v>
      </c>
    </row>
    <row r="21" spans="1:5" s="178" customFormat="1" ht="15" customHeight="1" x14ac:dyDescent="0.25">
      <c r="A21" t="s">
        <v>125</v>
      </c>
      <c r="B21" t="s">
        <v>41</v>
      </c>
      <c r="C21" t="s">
        <v>169</v>
      </c>
      <c r="D21" s="212">
        <v>0.45</v>
      </c>
      <c r="E21" s="212">
        <v>0.55000000000000004</v>
      </c>
    </row>
    <row r="22" spans="1:5" s="178" customFormat="1" ht="15" customHeight="1" x14ac:dyDescent="0.25">
      <c r="A22" t="s">
        <v>125</v>
      </c>
      <c r="B22" t="s">
        <v>41</v>
      </c>
      <c r="C22" t="s">
        <v>170</v>
      </c>
      <c r="D22" s="212">
        <v>0.35</v>
      </c>
      <c r="E22" s="212">
        <v>0.65</v>
      </c>
    </row>
    <row r="23" spans="1:5" s="178" customFormat="1" ht="15" customHeight="1" x14ac:dyDescent="0.25">
      <c r="A23" t="s">
        <v>125</v>
      </c>
      <c r="B23" t="s">
        <v>41</v>
      </c>
      <c r="C23" t="s">
        <v>171</v>
      </c>
      <c r="D23" s="212">
        <v>0.34</v>
      </c>
      <c r="E23" s="212">
        <v>0.66</v>
      </c>
    </row>
    <row r="24" spans="1:5" s="178" customFormat="1" ht="15" customHeight="1" x14ac:dyDescent="0.25">
      <c r="A24" t="s">
        <v>125</v>
      </c>
      <c r="B24" t="s">
        <v>41</v>
      </c>
      <c r="C24" t="s">
        <v>172</v>
      </c>
      <c r="D24" s="212">
        <v>1</v>
      </c>
      <c r="E24" s="212">
        <v>0</v>
      </c>
    </row>
    <row r="25" spans="1:5" s="178" customFormat="1" ht="15" customHeight="1" x14ac:dyDescent="0.25">
      <c r="A25" t="s">
        <v>125</v>
      </c>
      <c r="B25" t="s">
        <v>6</v>
      </c>
      <c r="C25" t="s">
        <v>138</v>
      </c>
      <c r="D25" s="212">
        <v>0.17</v>
      </c>
      <c r="E25" s="212">
        <v>0.83</v>
      </c>
    </row>
    <row r="26" spans="1:5" s="178" customFormat="1" ht="15" customHeight="1" x14ac:dyDescent="0.25">
      <c r="A26" t="s">
        <v>125</v>
      </c>
      <c r="B26" t="s">
        <v>5</v>
      </c>
      <c r="C26" t="s">
        <v>184</v>
      </c>
      <c r="D26" s="212">
        <v>0.39</v>
      </c>
      <c r="E26" s="212">
        <v>0.61</v>
      </c>
    </row>
    <row r="27" spans="1:5" s="178" customFormat="1" ht="15" customHeight="1" x14ac:dyDescent="0.25">
      <c r="A27" t="s">
        <v>125</v>
      </c>
      <c r="B27" t="s">
        <v>30</v>
      </c>
      <c r="C27" t="s">
        <v>139</v>
      </c>
      <c r="D27" s="212">
        <v>0.23</v>
      </c>
      <c r="E27" s="212">
        <v>0.77</v>
      </c>
    </row>
    <row r="28" spans="1:5" s="178" customFormat="1" ht="15" customHeight="1" x14ac:dyDescent="0.25">
      <c r="A28" t="s">
        <v>125</v>
      </c>
      <c r="B28" t="s">
        <v>65</v>
      </c>
      <c r="C28" t="s">
        <v>140</v>
      </c>
      <c r="D28" s="212">
        <v>0.08</v>
      </c>
      <c r="E28" s="212">
        <v>0.92</v>
      </c>
    </row>
    <row r="29" spans="1:5" s="178" customFormat="1" ht="15" customHeight="1" x14ac:dyDescent="0.25">
      <c r="A29" t="s">
        <v>125</v>
      </c>
      <c r="B29" t="s">
        <v>60</v>
      </c>
      <c r="C29" t="s">
        <v>141</v>
      </c>
      <c r="D29" s="212">
        <v>0.2</v>
      </c>
      <c r="E29" s="212">
        <v>0.8</v>
      </c>
    </row>
    <row r="30" spans="1:5" s="178" customFormat="1" ht="15" customHeight="1" x14ac:dyDescent="0.25">
      <c r="A30" t="s">
        <v>125</v>
      </c>
      <c r="B30" t="s">
        <v>89</v>
      </c>
      <c r="C30" t="s">
        <v>142</v>
      </c>
      <c r="D30" s="212">
        <v>0.01</v>
      </c>
      <c r="E30" s="212">
        <v>0.99</v>
      </c>
    </row>
    <row r="31" spans="1:5" s="178" customFormat="1" ht="15" customHeight="1" x14ac:dyDescent="0.25">
      <c r="A31" t="s">
        <v>125</v>
      </c>
      <c r="B31" t="s">
        <v>88</v>
      </c>
      <c r="C31" t="s">
        <v>80</v>
      </c>
      <c r="D31" s="212">
        <v>0.02</v>
      </c>
      <c r="E31" s="212">
        <v>0.98</v>
      </c>
    </row>
    <row r="32" spans="1:5" s="178" customFormat="1" ht="15" customHeight="1" x14ac:dyDescent="0.25">
      <c r="A32" t="s">
        <v>125</v>
      </c>
      <c r="B32" t="s">
        <v>64</v>
      </c>
      <c r="C32" t="s">
        <v>64</v>
      </c>
      <c r="D32" s="212">
        <v>0</v>
      </c>
      <c r="E32" s="212">
        <v>1</v>
      </c>
    </row>
    <row r="33" spans="1:5" s="178" customFormat="1" ht="15" customHeight="1" x14ac:dyDescent="0.25">
      <c r="A33" t="s">
        <v>125</v>
      </c>
      <c r="B33" t="s">
        <v>42</v>
      </c>
      <c r="C33" t="s">
        <v>42</v>
      </c>
      <c r="D33" s="212">
        <v>0</v>
      </c>
      <c r="E33" s="212">
        <v>0</v>
      </c>
    </row>
    <row r="34" spans="1:5" s="178" customFormat="1" ht="15" customHeight="1" x14ac:dyDescent="0.25">
      <c r="A34" t="s">
        <v>125</v>
      </c>
      <c r="B34" t="s">
        <v>72</v>
      </c>
      <c r="C34" t="s">
        <v>72</v>
      </c>
      <c r="D34" s="212">
        <v>0</v>
      </c>
      <c r="E34" s="212">
        <v>0</v>
      </c>
    </row>
    <row r="35" spans="1:5" s="178" customFormat="1" ht="15" customHeight="1" x14ac:dyDescent="0.25">
      <c r="A35" t="s">
        <v>125</v>
      </c>
      <c r="B35" t="s">
        <v>83</v>
      </c>
      <c r="C35" t="s">
        <v>143</v>
      </c>
      <c r="D35" s="212">
        <v>0</v>
      </c>
      <c r="E35" s="212">
        <v>1</v>
      </c>
    </row>
    <row r="36" spans="1:5" s="178" customFormat="1" ht="15" customHeight="1" x14ac:dyDescent="0.25">
      <c r="A36" t="s">
        <v>125</v>
      </c>
      <c r="B36" t="s">
        <v>32</v>
      </c>
      <c r="C36" t="s">
        <v>144</v>
      </c>
      <c r="D36" s="212">
        <v>0.01</v>
      </c>
      <c r="E36" s="212">
        <v>0.99</v>
      </c>
    </row>
    <row r="37" spans="1:5" s="178" customFormat="1" ht="15" customHeight="1" x14ac:dyDescent="0.25">
      <c r="A37" t="s">
        <v>125</v>
      </c>
      <c r="B37" t="s">
        <v>33</v>
      </c>
      <c r="C37" t="s">
        <v>145</v>
      </c>
      <c r="D37" s="212">
        <v>0.51</v>
      </c>
      <c r="E37" s="212">
        <v>0.49</v>
      </c>
    </row>
    <row r="38" spans="1:5" s="178" customFormat="1" ht="15" customHeight="1" x14ac:dyDescent="0.25">
      <c r="A38" t="s">
        <v>125</v>
      </c>
      <c r="B38" t="s">
        <v>146</v>
      </c>
      <c r="C38" t="s">
        <v>147</v>
      </c>
      <c r="D38" s="212">
        <v>0.02</v>
      </c>
      <c r="E38" s="212">
        <v>0.98</v>
      </c>
    </row>
    <row r="39" spans="1:5" s="178" customFormat="1" ht="15" customHeight="1" x14ac:dyDescent="0.25">
      <c r="A39" t="s">
        <v>125</v>
      </c>
      <c r="B39" t="s">
        <v>86</v>
      </c>
      <c r="C39" t="s">
        <v>148</v>
      </c>
      <c r="D39" s="212">
        <v>0</v>
      </c>
      <c r="E39" s="212">
        <v>1</v>
      </c>
    </row>
    <row r="40" spans="1:5" s="178" customFormat="1" ht="15" customHeight="1" x14ac:dyDescent="0.25">
      <c r="A40" t="s">
        <v>125</v>
      </c>
      <c r="B40" t="s">
        <v>87</v>
      </c>
      <c r="C40" t="s">
        <v>149</v>
      </c>
      <c r="D40" s="212">
        <v>0.01</v>
      </c>
      <c r="E40" s="212">
        <v>0.99</v>
      </c>
    </row>
    <row r="41" spans="1:5" s="178" customFormat="1" ht="15" customHeight="1" x14ac:dyDescent="0.25">
      <c r="A41" t="s">
        <v>125</v>
      </c>
      <c r="B41" t="s">
        <v>56</v>
      </c>
      <c r="C41" t="s">
        <v>150</v>
      </c>
      <c r="D41" s="212">
        <v>0.13</v>
      </c>
      <c r="E41" s="212">
        <v>0.87</v>
      </c>
    </row>
    <row r="42" spans="1:5" s="178" customFormat="1" ht="15" customHeight="1" x14ac:dyDescent="0.25">
      <c r="A42" t="s">
        <v>125</v>
      </c>
      <c r="B42" t="s">
        <v>34</v>
      </c>
      <c r="C42" t="s">
        <v>151</v>
      </c>
      <c r="D42" s="212">
        <v>0.03</v>
      </c>
      <c r="E42" s="212">
        <v>0.97</v>
      </c>
    </row>
    <row r="43" spans="1:5" s="178" customFormat="1" ht="15" customHeight="1" x14ac:dyDescent="0.25">
      <c r="A43" t="s">
        <v>125</v>
      </c>
      <c r="B43" t="s">
        <v>81</v>
      </c>
      <c r="C43" t="s">
        <v>152</v>
      </c>
      <c r="D43" s="212">
        <v>0.37</v>
      </c>
      <c r="E43" s="212">
        <v>0.63</v>
      </c>
    </row>
    <row r="44" spans="1:5" s="178" customFormat="1" ht="15" customHeight="1" x14ac:dyDescent="0.25">
      <c r="A44" t="s">
        <v>125</v>
      </c>
      <c r="B44" t="s">
        <v>82</v>
      </c>
      <c r="C44" t="s">
        <v>153</v>
      </c>
      <c r="D44" s="212">
        <v>0.05</v>
      </c>
      <c r="E44" s="212">
        <v>0.95</v>
      </c>
    </row>
    <row r="45" spans="1:5" s="178" customFormat="1" ht="15" customHeight="1" x14ac:dyDescent="0.25">
      <c r="A45" t="s">
        <v>125</v>
      </c>
      <c r="B45" t="s">
        <v>95</v>
      </c>
      <c r="C45" t="s">
        <v>154</v>
      </c>
      <c r="D45" s="212">
        <v>0.18</v>
      </c>
      <c r="E45" s="212">
        <v>0.82</v>
      </c>
    </row>
    <row r="46" spans="1:5" s="178" customFormat="1" ht="15" customHeight="1" x14ac:dyDescent="0.25">
      <c r="A46" t="s">
        <v>125</v>
      </c>
      <c r="B46" t="s">
        <v>96</v>
      </c>
      <c r="C46" t="s">
        <v>155</v>
      </c>
      <c r="D46" s="212">
        <v>1</v>
      </c>
      <c r="E46" s="212">
        <v>0</v>
      </c>
    </row>
    <row r="47" spans="1:5" s="178" customFormat="1" ht="15" customHeight="1" x14ac:dyDescent="0.25">
      <c r="A47" t="s">
        <v>125</v>
      </c>
      <c r="B47" t="s">
        <v>97</v>
      </c>
      <c r="C47" t="s">
        <v>156</v>
      </c>
      <c r="D47" s="212">
        <v>0</v>
      </c>
      <c r="E47" s="212">
        <v>1</v>
      </c>
    </row>
    <row r="48" spans="1:5" s="178" customFormat="1" ht="15" customHeight="1" x14ac:dyDescent="0.25">
      <c r="A48" t="s">
        <v>125</v>
      </c>
      <c r="B48" t="s">
        <v>98</v>
      </c>
      <c r="C48" t="s">
        <v>157</v>
      </c>
      <c r="D48" s="212">
        <v>0</v>
      </c>
      <c r="E48" s="212">
        <v>1</v>
      </c>
    </row>
    <row r="49" spans="1:5" s="178" customFormat="1" ht="15" customHeight="1" x14ac:dyDescent="0.25">
      <c r="A49" t="s">
        <v>125</v>
      </c>
      <c r="B49" t="s">
        <v>158</v>
      </c>
      <c r="C49" t="s">
        <v>159</v>
      </c>
      <c r="D49" s="212">
        <v>0</v>
      </c>
      <c r="E49" s="212">
        <v>1</v>
      </c>
    </row>
    <row r="50" spans="1:5" s="178" customFormat="1" ht="15" customHeight="1" x14ac:dyDescent="0.25">
      <c r="A50" t="s">
        <v>125</v>
      </c>
      <c r="B50" t="s">
        <v>160</v>
      </c>
      <c r="C50" t="s">
        <v>161</v>
      </c>
      <c r="D50" s="212">
        <v>0.03</v>
      </c>
      <c r="E50" s="212">
        <v>0.97</v>
      </c>
    </row>
    <row r="51" spans="1:5" s="178" customFormat="1" ht="15" customHeight="1" x14ac:dyDescent="0.25">
      <c r="A51" t="s">
        <v>125</v>
      </c>
      <c r="B51" t="s">
        <v>178</v>
      </c>
      <c r="C51" t="s">
        <v>179</v>
      </c>
      <c r="D51" s="212">
        <v>0</v>
      </c>
      <c r="E51" s="212">
        <v>1</v>
      </c>
    </row>
    <row r="52" spans="1:5" s="178" customFormat="1" ht="15" customHeight="1" x14ac:dyDescent="0.25">
      <c r="A52" t="s">
        <v>125</v>
      </c>
      <c r="B52" t="s">
        <v>180</v>
      </c>
      <c r="C52" t="s">
        <v>181</v>
      </c>
      <c r="D52" s="212">
        <v>0</v>
      </c>
      <c r="E52" s="212">
        <v>1</v>
      </c>
    </row>
    <row r="53" spans="1:5" s="178" customFormat="1" ht="15" customHeight="1" x14ac:dyDescent="0.25">
      <c r="A53"/>
      <c r="B53"/>
      <c r="C53"/>
      <c r="D53"/>
      <c r="E53"/>
    </row>
    <row r="54" spans="1:5" s="178" customFormat="1" ht="15" customHeight="1" x14ac:dyDescent="0.25">
      <c r="A54" t="s">
        <v>122</v>
      </c>
      <c r="B54" t="s">
        <v>22</v>
      </c>
      <c r="C54" t="s">
        <v>123</v>
      </c>
      <c r="D54" t="s">
        <v>162</v>
      </c>
      <c r="E54" t="s">
        <v>92</v>
      </c>
    </row>
    <row r="55" spans="1:5" s="178" customFormat="1" ht="15" customHeight="1" x14ac:dyDescent="0.25">
      <c r="A55" t="s">
        <v>163</v>
      </c>
      <c r="B55" t="s">
        <v>2</v>
      </c>
      <c r="C55" t="s">
        <v>44</v>
      </c>
      <c r="D55" s="212">
        <v>0.13</v>
      </c>
      <c r="E55" s="212">
        <v>0.87</v>
      </c>
    </row>
    <row r="56" spans="1:5" s="178" customFormat="1" ht="15" customHeight="1" x14ac:dyDescent="0.25">
      <c r="A56" t="s">
        <v>163</v>
      </c>
      <c r="B56" t="s">
        <v>4</v>
      </c>
      <c r="C56" t="s">
        <v>126</v>
      </c>
      <c r="D56" s="212">
        <v>0.14000000000000001</v>
      </c>
      <c r="E56" s="212">
        <v>0.86</v>
      </c>
    </row>
    <row r="57" spans="1:5" s="178" customFormat="1" ht="15" customHeight="1" x14ac:dyDescent="0.25">
      <c r="A57" t="s">
        <v>163</v>
      </c>
      <c r="B57" t="s">
        <v>3</v>
      </c>
      <c r="C57" t="s">
        <v>127</v>
      </c>
      <c r="D57" s="212">
        <v>0.01</v>
      </c>
      <c r="E57" s="212">
        <v>0.99</v>
      </c>
    </row>
    <row r="58" spans="1:5" s="178" customFormat="1" ht="15" customHeight="1" x14ac:dyDescent="0.25">
      <c r="A58" t="s">
        <v>163</v>
      </c>
      <c r="B58" t="s">
        <v>24</v>
      </c>
      <c r="C58" t="s">
        <v>176</v>
      </c>
      <c r="D58" s="212">
        <v>0</v>
      </c>
      <c r="E58" s="212">
        <v>1</v>
      </c>
    </row>
    <row r="59" spans="1:5" s="178" customFormat="1" ht="15" customHeight="1" x14ac:dyDescent="0.25">
      <c r="A59" t="s">
        <v>163</v>
      </c>
      <c r="B59" t="s">
        <v>0</v>
      </c>
      <c r="C59" t="s">
        <v>43</v>
      </c>
      <c r="D59" s="212">
        <v>0.66</v>
      </c>
      <c r="E59" s="212">
        <v>0.34</v>
      </c>
    </row>
    <row r="60" spans="1:5" s="178" customFormat="1" ht="15" customHeight="1" x14ac:dyDescent="0.25">
      <c r="A60" t="s">
        <v>163</v>
      </c>
      <c r="B60" t="s">
        <v>25</v>
      </c>
      <c r="C60" t="s">
        <v>165</v>
      </c>
      <c r="D60" s="212">
        <v>1</v>
      </c>
      <c r="E60" s="212">
        <v>0</v>
      </c>
    </row>
    <row r="61" spans="1:5" s="178" customFormat="1" ht="15" customHeight="1" x14ac:dyDescent="0.25">
      <c r="A61" t="s">
        <v>163</v>
      </c>
      <c r="B61" t="s">
        <v>1</v>
      </c>
      <c r="C61" t="s">
        <v>128</v>
      </c>
      <c r="D61" s="212">
        <v>0.78</v>
      </c>
      <c r="E61" s="212">
        <v>0.22</v>
      </c>
    </row>
    <row r="62" spans="1:5" s="178" customFormat="1" ht="15" customHeight="1" x14ac:dyDescent="0.25">
      <c r="A62" t="s">
        <v>163</v>
      </c>
      <c r="B62" t="s">
        <v>11</v>
      </c>
      <c r="C62" t="s">
        <v>129</v>
      </c>
      <c r="D62" s="212">
        <v>0.88</v>
      </c>
      <c r="E62" s="212">
        <v>0.12</v>
      </c>
    </row>
    <row r="63" spans="1:5" s="178" customFormat="1" ht="15" customHeight="1" x14ac:dyDescent="0.25">
      <c r="A63" t="s">
        <v>163</v>
      </c>
      <c r="B63" t="s">
        <v>8</v>
      </c>
      <c r="C63" t="s">
        <v>130</v>
      </c>
      <c r="D63" s="212">
        <v>0.36</v>
      </c>
      <c r="E63" s="212">
        <v>0.64</v>
      </c>
    </row>
    <row r="64" spans="1:5" s="178" customFormat="1" ht="15" customHeight="1" x14ac:dyDescent="0.25">
      <c r="A64" t="s">
        <v>163</v>
      </c>
      <c r="B64" t="s">
        <v>78</v>
      </c>
      <c r="C64" t="s">
        <v>131</v>
      </c>
      <c r="D64" s="212">
        <v>0.96</v>
      </c>
      <c r="E64" s="212">
        <v>0.04</v>
      </c>
    </row>
    <row r="65" spans="1:5" s="178" customFormat="1" ht="15" customHeight="1" x14ac:dyDescent="0.25">
      <c r="A65" t="s">
        <v>163</v>
      </c>
      <c r="B65" t="s">
        <v>14</v>
      </c>
      <c r="C65" t="s">
        <v>132</v>
      </c>
      <c r="D65" s="212">
        <v>0</v>
      </c>
      <c r="E65" s="212">
        <v>0</v>
      </c>
    </row>
    <row r="66" spans="1:5" s="178" customFormat="1" ht="15" customHeight="1" x14ac:dyDescent="0.25">
      <c r="A66" t="s">
        <v>163</v>
      </c>
      <c r="B66" t="s">
        <v>31</v>
      </c>
      <c r="C66" t="s">
        <v>133</v>
      </c>
      <c r="D66" s="212">
        <v>0.52</v>
      </c>
      <c r="E66" s="212">
        <v>0.48</v>
      </c>
    </row>
    <row r="67" spans="1:5" s="178" customFormat="1" ht="15" customHeight="1" x14ac:dyDescent="0.25">
      <c r="A67" t="s">
        <v>163</v>
      </c>
      <c r="B67" t="s">
        <v>10</v>
      </c>
      <c r="C67" t="s">
        <v>134</v>
      </c>
      <c r="D67" s="212">
        <v>0</v>
      </c>
      <c r="E67" s="212">
        <v>1</v>
      </c>
    </row>
    <row r="68" spans="1:5" s="178" customFormat="1" ht="15" customHeight="1" x14ac:dyDescent="0.25">
      <c r="A68" t="s">
        <v>163</v>
      </c>
      <c r="B68" t="s">
        <v>9</v>
      </c>
      <c r="C68" t="s">
        <v>166</v>
      </c>
      <c r="D68" s="212"/>
      <c r="E68" s="212"/>
    </row>
    <row r="69" spans="1:5" s="178" customFormat="1" ht="15" customHeight="1" x14ac:dyDescent="0.25">
      <c r="A69" t="s">
        <v>163</v>
      </c>
      <c r="B69" t="s">
        <v>79</v>
      </c>
      <c r="C69" t="s">
        <v>135</v>
      </c>
      <c r="D69" s="212">
        <v>1</v>
      </c>
      <c r="E69" s="212">
        <v>0</v>
      </c>
    </row>
    <row r="70" spans="1:5" s="178" customFormat="1" ht="15" customHeight="1" x14ac:dyDescent="0.25">
      <c r="A70" t="s">
        <v>163</v>
      </c>
      <c r="B70" t="s">
        <v>35</v>
      </c>
      <c r="C70" t="s">
        <v>136</v>
      </c>
      <c r="D70" s="212">
        <v>0</v>
      </c>
      <c r="E70" s="212">
        <v>1</v>
      </c>
    </row>
    <row r="71" spans="1:5" s="178" customFormat="1" ht="15" customHeight="1" x14ac:dyDescent="0.25">
      <c r="A71" t="s">
        <v>163</v>
      </c>
      <c r="B71" t="s">
        <v>7</v>
      </c>
      <c r="C71" t="s">
        <v>137</v>
      </c>
      <c r="D71" s="212">
        <v>0</v>
      </c>
      <c r="E71" s="212">
        <v>1</v>
      </c>
    </row>
    <row r="72" spans="1:5" s="178" customFormat="1" ht="15" customHeight="1" x14ac:dyDescent="0.25">
      <c r="A72" t="s">
        <v>163</v>
      </c>
      <c r="B72" t="s">
        <v>41</v>
      </c>
      <c r="C72" t="s">
        <v>167</v>
      </c>
      <c r="D72" s="212">
        <v>1</v>
      </c>
      <c r="E72" s="212">
        <v>0</v>
      </c>
    </row>
    <row r="73" spans="1:5" s="178" customFormat="1" ht="15" customHeight="1" x14ac:dyDescent="0.25">
      <c r="A73" t="s">
        <v>163</v>
      </c>
      <c r="B73" t="s">
        <v>41</v>
      </c>
      <c r="C73" t="s">
        <v>168</v>
      </c>
      <c r="D73" s="212">
        <v>0</v>
      </c>
      <c r="E73" s="212">
        <v>0</v>
      </c>
    </row>
    <row r="74" spans="1:5" s="178" customFormat="1" ht="15" customHeight="1" x14ac:dyDescent="0.25">
      <c r="A74" t="s">
        <v>163</v>
      </c>
      <c r="B74" t="s">
        <v>41</v>
      </c>
      <c r="C74" t="s">
        <v>169</v>
      </c>
      <c r="D74" s="212">
        <v>0</v>
      </c>
      <c r="E74" s="212">
        <v>0</v>
      </c>
    </row>
    <row r="75" spans="1:5" s="178" customFormat="1" ht="15" customHeight="1" x14ac:dyDescent="0.25">
      <c r="A75" t="s">
        <v>163</v>
      </c>
      <c r="B75" t="s">
        <v>41</v>
      </c>
      <c r="C75" t="s">
        <v>170</v>
      </c>
      <c r="D75" s="212">
        <v>0</v>
      </c>
      <c r="E75" s="212">
        <v>0</v>
      </c>
    </row>
    <row r="76" spans="1:5" s="178" customFormat="1" ht="15" customHeight="1" x14ac:dyDescent="0.25">
      <c r="A76" t="s">
        <v>163</v>
      </c>
      <c r="B76" t="s">
        <v>41</v>
      </c>
      <c r="C76" t="s">
        <v>171</v>
      </c>
      <c r="D76" s="212">
        <v>0</v>
      </c>
      <c r="E76" s="212">
        <v>0</v>
      </c>
    </row>
    <row r="77" spans="1:5" s="178" customFormat="1" ht="15" customHeight="1" x14ac:dyDescent="0.25">
      <c r="A77" t="s">
        <v>163</v>
      </c>
      <c r="B77" t="s">
        <v>41</v>
      </c>
      <c r="C77" t="s">
        <v>172</v>
      </c>
      <c r="D77" s="212">
        <v>0.8</v>
      </c>
      <c r="E77" s="212">
        <v>0.2</v>
      </c>
    </row>
    <row r="78" spans="1:5" s="178" customFormat="1" ht="15" customHeight="1" x14ac:dyDescent="0.25">
      <c r="A78" t="s">
        <v>163</v>
      </c>
      <c r="B78" t="s">
        <v>6</v>
      </c>
      <c r="C78" t="s">
        <v>138</v>
      </c>
      <c r="D78" s="212">
        <v>0.13</v>
      </c>
      <c r="E78" s="212">
        <v>0.87</v>
      </c>
    </row>
    <row r="79" spans="1:5" s="178" customFormat="1" ht="15" customHeight="1" x14ac:dyDescent="0.25">
      <c r="A79" t="s">
        <v>163</v>
      </c>
      <c r="B79" t="s">
        <v>5</v>
      </c>
      <c r="C79" t="s">
        <v>184</v>
      </c>
      <c r="D79" s="212">
        <v>0.4</v>
      </c>
      <c r="E79" s="212">
        <v>0.6</v>
      </c>
    </row>
    <row r="80" spans="1:5" s="178" customFormat="1" ht="15" customHeight="1" x14ac:dyDescent="0.25">
      <c r="A80" t="s">
        <v>163</v>
      </c>
      <c r="B80" t="s">
        <v>30</v>
      </c>
      <c r="C80" t="s">
        <v>139</v>
      </c>
      <c r="D80" s="212">
        <v>0.63</v>
      </c>
      <c r="E80" s="212">
        <v>0.37</v>
      </c>
    </row>
    <row r="81" spans="1:5" s="178" customFormat="1" ht="15" customHeight="1" x14ac:dyDescent="0.25">
      <c r="A81" t="s">
        <v>163</v>
      </c>
      <c r="B81" t="s">
        <v>65</v>
      </c>
      <c r="C81" t="s">
        <v>140</v>
      </c>
      <c r="D81" s="212">
        <v>0.65</v>
      </c>
      <c r="E81" s="212">
        <v>0.35</v>
      </c>
    </row>
    <row r="82" spans="1:5" s="178" customFormat="1" ht="15" customHeight="1" x14ac:dyDescent="0.25">
      <c r="A82" t="s">
        <v>163</v>
      </c>
      <c r="B82" t="s">
        <v>60</v>
      </c>
      <c r="C82" t="s">
        <v>141</v>
      </c>
      <c r="D82" s="212">
        <v>0.74</v>
      </c>
      <c r="E82" s="212">
        <v>0.26</v>
      </c>
    </row>
    <row r="83" spans="1:5" s="178" customFormat="1" ht="15" customHeight="1" x14ac:dyDescent="0.25">
      <c r="A83" t="s">
        <v>163</v>
      </c>
      <c r="B83" t="s">
        <v>89</v>
      </c>
      <c r="C83" t="s">
        <v>142</v>
      </c>
      <c r="D83" s="212">
        <v>1</v>
      </c>
      <c r="E83" s="212">
        <v>0</v>
      </c>
    </row>
    <row r="84" spans="1:5" s="178" customFormat="1" ht="15" customHeight="1" x14ac:dyDescent="0.25">
      <c r="A84" t="s">
        <v>163</v>
      </c>
      <c r="B84" t="s">
        <v>88</v>
      </c>
      <c r="C84" t="s">
        <v>80</v>
      </c>
      <c r="D84" s="212">
        <v>0.46</v>
      </c>
      <c r="E84" s="212">
        <v>0.54</v>
      </c>
    </row>
    <row r="85" spans="1:5" s="178" customFormat="1" ht="15" customHeight="1" x14ac:dyDescent="0.25">
      <c r="A85" t="s">
        <v>163</v>
      </c>
      <c r="B85" t="s">
        <v>64</v>
      </c>
      <c r="C85" t="s">
        <v>64</v>
      </c>
      <c r="D85" s="212">
        <v>0.73</v>
      </c>
      <c r="E85" s="212">
        <v>0.27</v>
      </c>
    </row>
    <row r="86" spans="1:5" s="178" customFormat="1" ht="15" customHeight="1" x14ac:dyDescent="0.25">
      <c r="A86" t="s">
        <v>163</v>
      </c>
      <c r="B86" t="s">
        <v>42</v>
      </c>
      <c r="C86" t="s">
        <v>42</v>
      </c>
      <c r="D86" s="212">
        <v>0</v>
      </c>
      <c r="E86" s="212">
        <v>0</v>
      </c>
    </row>
    <row r="87" spans="1:5" s="178" customFormat="1" ht="15" customHeight="1" x14ac:dyDescent="0.25">
      <c r="A87" t="s">
        <v>163</v>
      </c>
      <c r="B87" t="s">
        <v>72</v>
      </c>
      <c r="C87" t="s">
        <v>72</v>
      </c>
      <c r="D87" s="212">
        <v>0</v>
      </c>
      <c r="E87" s="212">
        <v>0</v>
      </c>
    </row>
    <row r="88" spans="1:5" s="178" customFormat="1" ht="15" customHeight="1" x14ac:dyDescent="0.25">
      <c r="A88" t="s">
        <v>163</v>
      </c>
      <c r="B88" t="s">
        <v>83</v>
      </c>
      <c r="C88" t="s">
        <v>143</v>
      </c>
      <c r="D88" s="212">
        <v>0.39</v>
      </c>
      <c r="E88" s="212">
        <v>0.61</v>
      </c>
    </row>
    <row r="89" spans="1:5" s="178" customFormat="1" ht="15" customHeight="1" x14ac:dyDescent="0.25">
      <c r="A89" t="s">
        <v>163</v>
      </c>
      <c r="B89" t="s">
        <v>32</v>
      </c>
      <c r="C89" t="s">
        <v>144</v>
      </c>
      <c r="D89" s="212">
        <v>0.84</v>
      </c>
      <c r="E89" s="212">
        <v>0.16</v>
      </c>
    </row>
    <row r="90" spans="1:5" s="178" customFormat="1" ht="15" customHeight="1" x14ac:dyDescent="0.25">
      <c r="A90" t="s">
        <v>163</v>
      </c>
      <c r="B90" t="s">
        <v>33</v>
      </c>
      <c r="C90" t="s">
        <v>145</v>
      </c>
      <c r="D90" s="212">
        <v>0.68</v>
      </c>
      <c r="E90" s="212">
        <v>0.32</v>
      </c>
    </row>
    <row r="91" spans="1:5" s="178" customFormat="1" ht="15" customHeight="1" x14ac:dyDescent="0.25">
      <c r="A91" t="s">
        <v>163</v>
      </c>
      <c r="B91" t="s">
        <v>146</v>
      </c>
      <c r="C91" t="s">
        <v>147</v>
      </c>
      <c r="D91" s="212">
        <v>0.37</v>
      </c>
      <c r="E91" s="212">
        <v>0.63</v>
      </c>
    </row>
    <row r="92" spans="1:5" s="178" customFormat="1" ht="15" customHeight="1" x14ac:dyDescent="0.25">
      <c r="A92" t="s">
        <v>163</v>
      </c>
      <c r="B92" t="s">
        <v>86</v>
      </c>
      <c r="C92" t="s">
        <v>148</v>
      </c>
      <c r="D92" s="212">
        <v>0.11</v>
      </c>
      <c r="E92" s="212">
        <v>0.89</v>
      </c>
    </row>
    <row r="93" spans="1:5" s="178" customFormat="1" ht="15" customHeight="1" x14ac:dyDescent="0.25">
      <c r="A93" t="s">
        <v>163</v>
      </c>
      <c r="B93" t="s">
        <v>87</v>
      </c>
      <c r="C93" t="s">
        <v>149</v>
      </c>
      <c r="D93" s="212">
        <v>1</v>
      </c>
      <c r="E93" s="212">
        <v>0</v>
      </c>
    </row>
    <row r="94" spans="1:5" s="178" customFormat="1" ht="15" customHeight="1" x14ac:dyDescent="0.25">
      <c r="A94" t="s">
        <v>163</v>
      </c>
      <c r="B94" t="s">
        <v>56</v>
      </c>
      <c r="C94" t="s">
        <v>150</v>
      </c>
      <c r="D94" s="212">
        <v>0.54</v>
      </c>
      <c r="E94" s="212">
        <v>0.46</v>
      </c>
    </row>
    <row r="95" spans="1:5" s="178" customFormat="1" ht="15" customHeight="1" x14ac:dyDescent="0.25">
      <c r="A95" t="s">
        <v>163</v>
      </c>
      <c r="B95" t="s">
        <v>34</v>
      </c>
      <c r="C95" t="s">
        <v>151</v>
      </c>
      <c r="D95" s="212">
        <v>0</v>
      </c>
      <c r="E95" s="212">
        <v>0</v>
      </c>
    </row>
    <row r="96" spans="1:5" s="178" customFormat="1" ht="15" customHeight="1" x14ac:dyDescent="0.25">
      <c r="A96" t="s">
        <v>163</v>
      </c>
      <c r="B96" t="s">
        <v>81</v>
      </c>
      <c r="C96" t="s">
        <v>152</v>
      </c>
      <c r="D96" s="212">
        <v>0</v>
      </c>
      <c r="E96" s="212">
        <v>1</v>
      </c>
    </row>
    <row r="97" spans="1:5" s="178" customFormat="1" ht="15" customHeight="1" x14ac:dyDescent="0.25">
      <c r="A97" t="s">
        <v>163</v>
      </c>
      <c r="B97" t="s">
        <v>82</v>
      </c>
      <c r="C97" t="s">
        <v>153</v>
      </c>
      <c r="D97" s="212">
        <v>0</v>
      </c>
      <c r="E97" s="212">
        <v>1</v>
      </c>
    </row>
    <row r="98" spans="1:5" s="178" customFormat="1" ht="15" customHeight="1" x14ac:dyDescent="0.25">
      <c r="A98" t="s">
        <v>163</v>
      </c>
      <c r="B98" t="s">
        <v>95</v>
      </c>
      <c r="C98" t="s">
        <v>154</v>
      </c>
      <c r="D98" s="212">
        <v>0</v>
      </c>
      <c r="E98" s="212">
        <v>0</v>
      </c>
    </row>
    <row r="99" spans="1:5" s="178" customFormat="1" ht="15" customHeight="1" x14ac:dyDescent="0.25">
      <c r="A99" t="s">
        <v>163</v>
      </c>
      <c r="B99" t="s">
        <v>96</v>
      </c>
      <c r="C99" t="s">
        <v>155</v>
      </c>
      <c r="D99" s="212">
        <v>0</v>
      </c>
      <c r="E99" s="212">
        <v>0</v>
      </c>
    </row>
    <row r="100" spans="1:5" s="178" customFormat="1" ht="15" customHeight="1" x14ac:dyDescent="0.25">
      <c r="A100" t="s">
        <v>163</v>
      </c>
      <c r="B100" t="s">
        <v>97</v>
      </c>
      <c r="C100" t="s">
        <v>156</v>
      </c>
      <c r="D100" s="212">
        <v>0</v>
      </c>
      <c r="E100" s="212">
        <v>0</v>
      </c>
    </row>
    <row r="101" spans="1:5" s="178" customFormat="1" ht="15" customHeight="1" x14ac:dyDescent="0.25">
      <c r="A101" t="s">
        <v>163</v>
      </c>
      <c r="B101" t="s">
        <v>98</v>
      </c>
      <c r="C101" t="s">
        <v>157</v>
      </c>
      <c r="D101" s="212">
        <v>1</v>
      </c>
      <c r="E101" s="212">
        <v>0</v>
      </c>
    </row>
    <row r="102" spans="1:5" s="178" customFormat="1" ht="15" customHeight="1" x14ac:dyDescent="0.25">
      <c r="A102" t="s">
        <v>163</v>
      </c>
      <c r="B102" t="s">
        <v>158</v>
      </c>
      <c r="C102" t="s">
        <v>159</v>
      </c>
      <c r="D102" s="212">
        <v>0</v>
      </c>
      <c r="E102" s="212">
        <v>0</v>
      </c>
    </row>
    <row r="103" spans="1:5" s="178" customFormat="1" ht="15" customHeight="1" x14ac:dyDescent="0.25">
      <c r="A103" t="s">
        <v>163</v>
      </c>
      <c r="B103" t="s">
        <v>160</v>
      </c>
      <c r="C103" t="s">
        <v>161</v>
      </c>
      <c r="D103" s="212">
        <v>0.41</v>
      </c>
      <c r="E103" s="212">
        <v>0.59</v>
      </c>
    </row>
    <row r="104" spans="1:5" ht="15" customHeight="1" x14ac:dyDescent="0.25">
      <c r="A104" t="s">
        <v>163</v>
      </c>
      <c r="B104" t="s">
        <v>178</v>
      </c>
      <c r="C104" t="s">
        <v>179</v>
      </c>
      <c r="D104" s="212">
        <v>0</v>
      </c>
      <c r="E104" s="212">
        <v>1</v>
      </c>
    </row>
    <row r="105" spans="1:5" ht="15" customHeight="1" x14ac:dyDescent="0.25">
      <c r="A105" t="s">
        <v>163</v>
      </c>
      <c r="B105" t="s">
        <v>180</v>
      </c>
      <c r="C105" t="s">
        <v>181</v>
      </c>
      <c r="D105" s="212">
        <v>0</v>
      </c>
      <c r="E105" s="212">
        <v>0</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Serviceorderfile_Current</vt:lpstr>
      <vt:lpstr>Serviceorderfile_PREVIOUS</vt:lpstr>
      <vt:lpstr>YOY Orders</vt:lpstr>
      <vt:lpstr>Aged</vt:lpstr>
      <vt:lpstr>Dashboard!Print_Area</vt:lpstr>
    </vt:vector>
  </TitlesOfParts>
  <Company>Trane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Trane employee</dc:creator>
  <cp:lastModifiedBy>McGovern, Michael</cp:lastModifiedBy>
  <cp:lastPrinted>2014-01-09T13:52:52Z</cp:lastPrinted>
  <dcterms:created xsi:type="dcterms:W3CDTF">2010-06-28T09:49:17Z</dcterms:created>
  <dcterms:modified xsi:type="dcterms:W3CDTF">2026-04-29T22:37:13Z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TitusGUID">
    <vt:lpwstr>b5a9e66b-b81a-4ba1-95f6-2689831b450f</vt:lpwstr>
  </property>
  <property fmtid="{D5CDD505-2E9C-101B-9397-08002B2CF9AE}" pid="5" name="CLASSIFICATION">
    <vt:lpwstr>TT-DC-3</vt:lpwstr>
  </property>
  <property fmtid="{D5CDD505-2E9C-101B-9397-08002B2CF9AE}" pid="6" name="MSIP_Label_162b2348-a379-47d7-bf25-1402d7b08038_Enabled">
    <vt:lpwstr>true</vt:lpwstr>
  </property>
  <property fmtid="{D5CDD505-2E9C-101B-9397-08002B2CF9AE}" pid="7" name="MSIP_Label_162b2348-a379-47d7-bf25-1402d7b08038_SetDate">
    <vt:lpwstr>2022-02-25T11:37:42Z</vt:lpwstr>
  </property>
  <property fmtid="{D5CDD505-2E9C-101B-9397-08002B2CF9AE}" pid="8" name="MSIP_Label_162b2348-a379-47d7-bf25-1402d7b08038_Method">
    <vt:lpwstr>Standard</vt:lpwstr>
  </property>
  <property fmtid="{D5CDD505-2E9C-101B-9397-08002B2CF9AE}" pid="9" name="MSIP_Label_162b2348-a379-47d7-bf25-1402d7b08038_Name">
    <vt:lpwstr>Business</vt:lpwstr>
  </property>
  <property fmtid="{D5CDD505-2E9C-101B-9397-08002B2CF9AE}" pid="10" name="MSIP_Label_162b2348-a379-47d7-bf25-1402d7b08038_SiteId">
    <vt:lpwstr>abf9983b-ca77-4f20-9633-ca9c5a847041</vt:lpwstr>
  </property>
  <property fmtid="{D5CDD505-2E9C-101B-9397-08002B2CF9AE}" pid="11" name="MSIP_Label_162b2348-a379-47d7-bf25-1402d7b08038_ActionId">
    <vt:lpwstr>a7e6986b-d981-43eb-98d1-47f58ff0ccc3</vt:lpwstr>
  </property>
  <property fmtid="{D5CDD505-2E9C-101B-9397-08002B2CF9AE}" pid="12" name="MSIP_Label_162b2348-a379-47d7-bf25-1402d7b08038_ContentBits">
    <vt:lpwstr>0</vt:lpwstr>
  </property>
</Properties>
</file>